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AB26FBB-8C2A-4EBD-A24A-B8C154C228D8}" xr6:coauthVersionLast="47" xr6:coauthVersionMax="47" xr10:uidLastSave="{00000000-0000-0000-0000-000000000000}"/>
  <bookViews>
    <workbookView xWindow="-120" yWindow="-120" windowWidth="29040" windowHeight="15840" xr2:uid="{358C163F-8E0D-437A-9674-12A4F5CCA547}"/>
  </bookViews>
  <sheets>
    <sheet name="26년 1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6" i="1" l="1"/>
  <c r="G136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20" i="1"/>
  <c r="Z135" i="1"/>
  <c r="J135" i="1"/>
  <c r="I135" i="1"/>
  <c r="H135" i="1"/>
  <c r="G135" i="1"/>
  <c r="R114" i="1"/>
  <c r="R113" i="1"/>
  <c r="L111" i="1"/>
  <c r="L107" i="1"/>
  <c r="L108" i="1"/>
  <c r="L109" i="1"/>
  <c r="L110" i="1"/>
  <c r="L106" i="1"/>
  <c r="I107" i="1"/>
  <c r="I108" i="1"/>
  <c r="I109" i="1"/>
  <c r="I110" i="1"/>
  <c r="I111" i="1"/>
  <c r="I112" i="1"/>
  <c r="I113" i="1"/>
  <c r="I114" i="1"/>
  <c r="I115" i="1"/>
  <c r="I116" i="1"/>
  <c r="I106" i="1"/>
  <c r="F107" i="1"/>
  <c r="F108" i="1"/>
  <c r="F109" i="1"/>
  <c r="F110" i="1"/>
  <c r="F111" i="1"/>
  <c r="F112" i="1"/>
  <c r="F113" i="1"/>
  <c r="F114" i="1"/>
  <c r="F115" i="1"/>
  <c r="F116" i="1"/>
  <c r="F106" i="1"/>
  <c r="C110" i="1"/>
  <c r="C111" i="1"/>
  <c r="C112" i="1"/>
  <c r="C113" i="1"/>
  <c r="C114" i="1"/>
  <c r="C115" i="1"/>
  <c r="C116" i="1"/>
  <c r="C108" i="1"/>
  <c r="C109" i="1"/>
  <c r="C107" i="1"/>
  <c r="C106" i="1"/>
  <c r="P110" i="1"/>
  <c r="P106" i="1"/>
  <c r="L116" i="1"/>
  <c r="K135" i="1" l="1"/>
</calcChain>
</file>

<file path=xl/sharedStrings.xml><?xml version="1.0" encoding="utf-8"?>
<sst xmlns="http://schemas.openxmlformats.org/spreadsheetml/2006/main" count="1056" uniqueCount="331">
  <si>
    <t>차트번호</t>
    <phoneticPr fontId="1" type="noConversion"/>
  </si>
  <si>
    <t>내원날짜</t>
    <phoneticPr fontId="1" type="noConversion"/>
  </si>
  <si>
    <t>보호자 이름</t>
    <phoneticPr fontId="1" type="noConversion"/>
  </si>
  <si>
    <t>환축 이름</t>
    <phoneticPr fontId="1" type="noConversion"/>
  </si>
  <si>
    <t>환축 분류</t>
    <phoneticPr fontId="1" type="noConversion"/>
  </si>
  <si>
    <t>가구 분류</t>
    <phoneticPr fontId="1" type="noConversion"/>
  </si>
  <si>
    <t>내원 경로</t>
    <phoneticPr fontId="1" type="noConversion"/>
  </si>
  <si>
    <t>거주 구역</t>
    <phoneticPr fontId="1" type="noConversion"/>
  </si>
  <si>
    <t>온라인 예약</t>
    <phoneticPr fontId="1" type="noConversion"/>
  </si>
  <si>
    <t>수납금액</t>
    <phoneticPr fontId="1" type="noConversion"/>
  </si>
  <si>
    <t>담당자</t>
    <phoneticPr fontId="1" type="noConversion"/>
  </si>
  <si>
    <t>재진여부</t>
    <phoneticPr fontId="1" type="noConversion"/>
  </si>
  <si>
    <t>발송여부</t>
    <phoneticPr fontId="1" type="noConversion"/>
  </si>
  <si>
    <t>재진 항목</t>
    <phoneticPr fontId="1" type="noConversion"/>
  </si>
  <si>
    <t>재진 수납금액</t>
    <phoneticPr fontId="1" type="noConversion"/>
  </si>
  <si>
    <t>주간/야간</t>
    <phoneticPr fontId="1" type="noConversion"/>
  </si>
  <si>
    <t>연락처</t>
    <phoneticPr fontId="1" type="noConversion"/>
  </si>
  <si>
    <t>반려동물 정보</t>
    <phoneticPr fontId="1" type="noConversion"/>
  </si>
  <si>
    <t>검진 종류</t>
    <phoneticPr fontId="1" type="noConversion"/>
  </si>
  <si>
    <t>검진 비용</t>
    <phoneticPr fontId="1" type="noConversion"/>
  </si>
  <si>
    <t>최종 수납금액</t>
    <phoneticPr fontId="1" type="noConversion"/>
  </si>
  <si>
    <t>적립금</t>
    <phoneticPr fontId="1" type="noConversion"/>
  </si>
  <si>
    <t>희망 요일</t>
    <phoneticPr fontId="1" type="noConversion"/>
  </si>
  <si>
    <t>걱정되는 증상</t>
    <phoneticPr fontId="1" type="noConversion"/>
  </si>
  <si>
    <t>검진 완료 일정</t>
    <phoneticPr fontId="1" type="noConversion"/>
  </si>
  <si>
    <t>예약 일정</t>
    <phoneticPr fontId="1" type="noConversion"/>
  </si>
  <si>
    <t>비고</t>
    <phoneticPr fontId="1" type="noConversion"/>
  </si>
  <si>
    <t>재진 여부</t>
    <phoneticPr fontId="1" type="noConversion"/>
  </si>
  <si>
    <t>검진 후 재진</t>
    <phoneticPr fontId="1" type="noConversion"/>
  </si>
  <si>
    <t>진료과목</t>
    <phoneticPr fontId="1" type="noConversion"/>
  </si>
  <si>
    <t>과목별 수납</t>
    <phoneticPr fontId="1" type="noConversion"/>
  </si>
  <si>
    <t>고객별 거주 구역</t>
    <phoneticPr fontId="1" type="noConversion"/>
  </si>
  <si>
    <t>내원경로</t>
    <phoneticPr fontId="1" type="noConversion"/>
  </si>
  <si>
    <t>수납 합계</t>
    <phoneticPr fontId="1" type="noConversion"/>
  </si>
  <si>
    <t>당월 리뷰</t>
    <phoneticPr fontId="1" type="noConversion"/>
  </si>
  <si>
    <t>프로모션</t>
    <phoneticPr fontId="1" type="noConversion"/>
  </si>
  <si>
    <t>일반</t>
    <phoneticPr fontId="1" type="noConversion"/>
  </si>
  <si>
    <t>합계</t>
    <phoneticPr fontId="1" type="noConversion"/>
  </si>
  <si>
    <t>구월동</t>
    <phoneticPr fontId="1" type="noConversion"/>
  </si>
  <si>
    <t>간석동</t>
    <phoneticPr fontId="1" type="noConversion"/>
  </si>
  <si>
    <t>만수동</t>
    <phoneticPr fontId="1" type="noConversion"/>
  </si>
  <si>
    <t>논현동</t>
    <phoneticPr fontId="1" type="noConversion"/>
  </si>
  <si>
    <t>장수동</t>
    <phoneticPr fontId="1" type="noConversion"/>
  </si>
  <si>
    <t>서창동</t>
    <phoneticPr fontId="1" type="noConversion"/>
  </si>
  <si>
    <t>고잔동</t>
    <phoneticPr fontId="1" type="noConversion"/>
  </si>
  <si>
    <t>남촌동</t>
    <phoneticPr fontId="1" type="noConversion"/>
  </si>
  <si>
    <t>도림동</t>
    <phoneticPr fontId="1" type="noConversion"/>
  </si>
  <si>
    <t>정보X</t>
    <phoneticPr fontId="1" type="noConversion"/>
  </si>
  <si>
    <t>그 외</t>
    <phoneticPr fontId="1" type="noConversion"/>
  </si>
  <si>
    <t>예방의학과</t>
    <phoneticPr fontId="1" type="noConversion"/>
  </si>
  <si>
    <t>기본검진</t>
    <phoneticPr fontId="1" type="noConversion"/>
  </si>
  <si>
    <t>건강검진</t>
    <phoneticPr fontId="1" type="noConversion"/>
  </si>
  <si>
    <t>외과</t>
    <phoneticPr fontId="1" type="noConversion"/>
  </si>
  <si>
    <t>치과</t>
    <phoneticPr fontId="1" type="noConversion"/>
  </si>
  <si>
    <t>내과</t>
    <phoneticPr fontId="1" type="noConversion"/>
  </si>
  <si>
    <t>피부과</t>
    <phoneticPr fontId="1" type="noConversion"/>
  </si>
  <si>
    <t>안과</t>
    <phoneticPr fontId="1" type="noConversion"/>
  </si>
  <si>
    <t>재활</t>
    <phoneticPr fontId="1" type="noConversion"/>
  </si>
  <si>
    <t>기타</t>
    <phoneticPr fontId="1" type="noConversion"/>
  </si>
  <si>
    <t>기본관리</t>
    <phoneticPr fontId="1" type="noConversion"/>
  </si>
  <si>
    <t>인터넷</t>
    <phoneticPr fontId="1" type="noConversion"/>
  </si>
  <si>
    <t>병원추천</t>
    <phoneticPr fontId="1" type="noConversion"/>
  </si>
  <si>
    <t>지인</t>
    <phoneticPr fontId="1" type="noConversion"/>
  </si>
  <si>
    <t>미작성</t>
    <phoneticPr fontId="1" type="noConversion"/>
  </si>
  <si>
    <t>희망 예약일</t>
    <phoneticPr fontId="1" type="noConversion"/>
  </si>
  <si>
    <t>정혜</t>
  </si>
  <si>
    <t>인터넷</t>
  </si>
  <si>
    <t>1마리</t>
  </si>
  <si>
    <t>주간</t>
  </si>
  <si>
    <t>재진 O</t>
  </si>
  <si>
    <t>재진 수납 합계</t>
    <phoneticPr fontId="1" type="noConversion"/>
  </si>
  <si>
    <t>재진 메시지
(1일전)</t>
    <phoneticPr fontId="1" type="noConversion"/>
  </si>
  <si>
    <t>퇴원 메시지
(당일)</t>
    <phoneticPr fontId="1" type="noConversion"/>
  </si>
  <si>
    <t>*재진 환자
내원 1일전 발송</t>
    <phoneticPr fontId="1" type="noConversion"/>
  </si>
  <si>
    <t>*퇴원 당일 
3시간 이내 100% 발송 
(사망/입원 제외)</t>
    <phoneticPr fontId="1" type="noConversion"/>
  </si>
  <si>
    <t>01월 27일</t>
    <phoneticPr fontId="1" type="noConversion"/>
  </si>
  <si>
    <t>01월 28일</t>
    <phoneticPr fontId="1" type="noConversion"/>
  </si>
  <si>
    <t>야간</t>
  </si>
  <si>
    <t>길준우</t>
    <phoneticPr fontId="1" type="noConversion"/>
  </si>
  <si>
    <t>서현정</t>
    <phoneticPr fontId="1" type="noConversion"/>
  </si>
  <si>
    <t>오정환</t>
    <phoneticPr fontId="1" type="noConversion"/>
  </si>
  <si>
    <t>최연희</t>
    <phoneticPr fontId="1" type="noConversion"/>
  </si>
  <si>
    <t>김경미</t>
    <phoneticPr fontId="1" type="noConversion"/>
  </si>
  <si>
    <t>김도윤</t>
    <phoneticPr fontId="1" type="noConversion"/>
  </si>
  <si>
    <t>김희원</t>
    <phoneticPr fontId="1" type="noConversion"/>
  </si>
  <si>
    <t>유주현</t>
    <phoneticPr fontId="1" type="noConversion"/>
  </si>
  <si>
    <t>송수권</t>
    <phoneticPr fontId="1" type="noConversion"/>
  </si>
  <si>
    <t>정유진</t>
    <phoneticPr fontId="1" type="noConversion"/>
  </si>
  <si>
    <t>권아람</t>
    <phoneticPr fontId="1" type="noConversion"/>
  </si>
  <si>
    <t>신희경</t>
    <phoneticPr fontId="1" type="noConversion"/>
  </si>
  <si>
    <t>박규리</t>
    <phoneticPr fontId="1" type="noConversion"/>
  </si>
  <si>
    <t>김정미</t>
    <phoneticPr fontId="1" type="noConversion"/>
  </si>
  <si>
    <t>송은지</t>
    <phoneticPr fontId="1" type="noConversion"/>
  </si>
  <si>
    <t>안성혁</t>
    <phoneticPr fontId="1" type="noConversion"/>
  </si>
  <si>
    <t>조성기</t>
    <phoneticPr fontId="1" type="noConversion"/>
  </si>
  <si>
    <t>신지연</t>
    <phoneticPr fontId="1" type="noConversion"/>
  </si>
  <si>
    <t>김윤걸</t>
    <phoneticPr fontId="1" type="noConversion"/>
  </si>
  <si>
    <t>염선영</t>
    <phoneticPr fontId="1" type="noConversion"/>
  </si>
  <si>
    <t>김수현</t>
    <phoneticPr fontId="1" type="noConversion"/>
  </si>
  <si>
    <t>정상래</t>
    <phoneticPr fontId="1" type="noConversion"/>
  </si>
  <si>
    <t>육지희</t>
    <phoneticPr fontId="1" type="noConversion"/>
  </si>
  <si>
    <t>탁기상</t>
    <phoneticPr fontId="1" type="noConversion"/>
  </si>
  <si>
    <t>김서윤</t>
    <phoneticPr fontId="1" type="noConversion"/>
  </si>
  <si>
    <t>김성환</t>
    <phoneticPr fontId="1" type="noConversion"/>
  </si>
  <si>
    <t>유훈경</t>
    <phoneticPr fontId="1" type="noConversion"/>
  </si>
  <si>
    <t>박은주</t>
    <phoneticPr fontId="1" type="noConversion"/>
  </si>
  <si>
    <t>양가영</t>
    <phoneticPr fontId="1" type="noConversion"/>
  </si>
  <si>
    <t>김지나</t>
    <phoneticPr fontId="1" type="noConversion"/>
  </si>
  <si>
    <t>전상미</t>
    <phoneticPr fontId="1" type="noConversion"/>
  </si>
  <si>
    <t>김민서</t>
    <phoneticPr fontId="1" type="noConversion"/>
  </si>
  <si>
    <t>조은진</t>
    <phoneticPr fontId="1" type="noConversion"/>
  </si>
  <si>
    <t>최하은</t>
    <phoneticPr fontId="1" type="noConversion"/>
  </si>
  <si>
    <t>전선영</t>
    <phoneticPr fontId="1" type="noConversion"/>
  </si>
  <si>
    <t>윤아영</t>
    <phoneticPr fontId="1" type="noConversion"/>
  </si>
  <si>
    <t>신슬기</t>
    <phoneticPr fontId="1" type="noConversion"/>
  </si>
  <si>
    <t>장한나</t>
    <phoneticPr fontId="1" type="noConversion"/>
  </si>
  <si>
    <t>김서희</t>
    <phoneticPr fontId="1" type="noConversion"/>
  </si>
  <si>
    <t>양종현</t>
    <phoneticPr fontId="1" type="noConversion"/>
  </si>
  <si>
    <t>윤미애</t>
    <phoneticPr fontId="1" type="noConversion"/>
  </si>
  <si>
    <t>이은영</t>
    <phoneticPr fontId="1" type="noConversion"/>
  </si>
  <si>
    <t>엄혜정</t>
    <phoneticPr fontId="1" type="noConversion"/>
  </si>
  <si>
    <t>이유신</t>
    <phoneticPr fontId="1" type="noConversion"/>
  </si>
  <si>
    <t>한혜영</t>
    <phoneticPr fontId="1" type="noConversion"/>
  </si>
  <si>
    <t>전영주</t>
    <phoneticPr fontId="1" type="noConversion"/>
  </si>
  <si>
    <t>전이서</t>
    <phoneticPr fontId="1" type="noConversion"/>
  </si>
  <si>
    <t>전소연</t>
    <phoneticPr fontId="1" type="noConversion"/>
  </si>
  <si>
    <t>김종환</t>
    <phoneticPr fontId="1" type="noConversion"/>
  </si>
  <si>
    <t>최현이</t>
    <phoneticPr fontId="1" type="noConversion"/>
  </si>
  <si>
    <t>이영석</t>
    <phoneticPr fontId="1" type="noConversion"/>
  </si>
  <si>
    <t>김나현</t>
    <phoneticPr fontId="1" type="noConversion"/>
  </si>
  <si>
    <t>윤서하</t>
    <phoneticPr fontId="1" type="noConversion"/>
  </si>
  <si>
    <t>이주아</t>
    <phoneticPr fontId="1" type="noConversion"/>
  </si>
  <si>
    <t>김채민</t>
    <phoneticPr fontId="1" type="noConversion"/>
  </si>
  <si>
    <t>송용주</t>
    <phoneticPr fontId="1" type="noConversion"/>
  </si>
  <si>
    <t>안소현</t>
    <phoneticPr fontId="1" type="noConversion"/>
  </si>
  <si>
    <t>복기남</t>
    <phoneticPr fontId="1" type="noConversion"/>
  </si>
  <si>
    <t>장주은</t>
    <phoneticPr fontId="1" type="noConversion"/>
  </si>
  <si>
    <t>김민정</t>
    <phoneticPr fontId="1" type="noConversion"/>
  </si>
  <si>
    <t>손 랑</t>
    <phoneticPr fontId="1" type="noConversion"/>
  </si>
  <si>
    <t>고광진</t>
    <phoneticPr fontId="1" type="noConversion"/>
  </si>
  <si>
    <t>김지혜</t>
    <phoneticPr fontId="1" type="noConversion"/>
  </si>
  <si>
    <t>이주연</t>
    <phoneticPr fontId="1" type="noConversion"/>
  </si>
  <si>
    <t>공명희</t>
    <phoneticPr fontId="1" type="noConversion"/>
  </si>
  <si>
    <t>석유라</t>
    <phoneticPr fontId="1" type="noConversion"/>
  </si>
  <si>
    <t>진호걸</t>
    <phoneticPr fontId="1" type="noConversion"/>
  </si>
  <si>
    <t>김별이</t>
    <phoneticPr fontId="1" type="noConversion"/>
  </si>
  <si>
    <t>장유리</t>
    <phoneticPr fontId="1" type="noConversion"/>
  </si>
  <si>
    <t>신선호</t>
    <phoneticPr fontId="1" type="noConversion"/>
  </si>
  <si>
    <t>최윤정</t>
    <phoneticPr fontId="1" type="noConversion"/>
  </si>
  <si>
    <t>솜솜이</t>
    <phoneticPr fontId="1" type="noConversion"/>
  </si>
  <si>
    <t>땅콩</t>
    <phoneticPr fontId="1" type="noConversion"/>
  </si>
  <si>
    <t>여름</t>
    <phoneticPr fontId="1" type="noConversion"/>
  </si>
  <si>
    <t>떠꾸</t>
    <phoneticPr fontId="1" type="noConversion"/>
  </si>
  <si>
    <t>또아</t>
    <phoneticPr fontId="1" type="noConversion"/>
  </si>
  <si>
    <t>카누</t>
    <phoneticPr fontId="1" type="noConversion"/>
  </si>
  <si>
    <t>몽실이</t>
    <phoneticPr fontId="1" type="noConversion"/>
  </si>
  <si>
    <t>랑이</t>
    <phoneticPr fontId="1" type="noConversion"/>
  </si>
  <si>
    <t>담보</t>
    <phoneticPr fontId="1" type="noConversion"/>
  </si>
  <si>
    <t>꽁이</t>
    <phoneticPr fontId="1" type="noConversion"/>
  </si>
  <si>
    <t>콩이</t>
    <phoneticPr fontId="1" type="noConversion"/>
  </si>
  <si>
    <t>테리</t>
    <phoneticPr fontId="1" type="noConversion"/>
  </si>
  <si>
    <t>이순금</t>
    <phoneticPr fontId="1" type="noConversion"/>
  </si>
  <si>
    <t>봉이</t>
    <phoneticPr fontId="1" type="noConversion"/>
  </si>
  <si>
    <t>프림</t>
    <phoneticPr fontId="1" type="noConversion"/>
  </si>
  <si>
    <t>오둥이</t>
    <phoneticPr fontId="1" type="noConversion"/>
  </si>
  <si>
    <t>달래</t>
    <phoneticPr fontId="1" type="noConversion"/>
  </si>
  <si>
    <t>비비</t>
    <phoneticPr fontId="1" type="noConversion"/>
  </si>
  <si>
    <t>만두</t>
    <phoneticPr fontId="1" type="noConversion"/>
  </si>
  <si>
    <t>준</t>
    <phoneticPr fontId="1" type="noConversion"/>
  </si>
  <si>
    <t>초롱</t>
    <phoneticPr fontId="1" type="noConversion"/>
  </si>
  <si>
    <t>짜장</t>
    <phoneticPr fontId="1" type="noConversion"/>
  </si>
  <si>
    <t>이쁜이</t>
    <phoneticPr fontId="1" type="noConversion"/>
  </si>
  <si>
    <t>이오</t>
    <phoneticPr fontId="1" type="noConversion"/>
  </si>
  <si>
    <t>코코</t>
    <phoneticPr fontId="1" type="noConversion"/>
  </si>
  <si>
    <t>에나</t>
    <phoneticPr fontId="1" type="noConversion"/>
  </si>
  <si>
    <t>토리</t>
    <phoneticPr fontId="1" type="noConversion"/>
  </si>
  <si>
    <t>양군</t>
    <phoneticPr fontId="1" type="noConversion"/>
  </si>
  <si>
    <t>포키</t>
    <phoneticPr fontId="1" type="noConversion"/>
  </si>
  <si>
    <t>빵이</t>
    <phoneticPr fontId="1" type="noConversion"/>
  </si>
  <si>
    <t>꼬맹이</t>
    <phoneticPr fontId="1" type="noConversion"/>
  </si>
  <si>
    <t>엥두</t>
    <phoneticPr fontId="1" type="noConversion"/>
  </si>
  <si>
    <t>방울</t>
    <phoneticPr fontId="1" type="noConversion"/>
  </si>
  <si>
    <t>콩순</t>
    <phoneticPr fontId="1" type="noConversion"/>
  </si>
  <si>
    <t>콩나물</t>
    <phoneticPr fontId="1" type="noConversion"/>
  </si>
  <si>
    <t>레오</t>
    <phoneticPr fontId="1" type="noConversion"/>
  </si>
  <si>
    <t>이꼬</t>
    <phoneticPr fontId="1" type="noConversion"/>
  </si>
  <si>
    <t>사랑이</t>
    <phoneticPr fontId="1" type="noConversion"/>
  </si>
  <si>
    <t>호빵</t>
    <phoneticPr fontId="1" type="noConversion"/>
  </si>
  <si>
    <t>하루</t>
    <phoneticPr fontId="1" type="noConversion"/>
  </si>
  <si>
    <t>구름</t>
    <phoneticPr fontId="1" type="noConversion"/>
  </si>
  <si>
    <t>감자</t>
    <phoneticPr fontId="1" type="noConversion"/>
  </si>
  <si>
    <t>탄이</t>
    <phoneticPr fontId="1" type="noConversion"/>
  </si>
  <si>
    <t>소다</t>
    <phoneticPr fontId="1" type="noConversion"/>
  </si>
  <si>
    <t>콩</t>
    <phoneticPr fontId="1" type="noConversion"/>
  </si>
  <si>
    <t>공탄이</t>
    <phoneticPr fontId="1" type="noConversion"/>
  </si>
  <si>
    <t>이민정</t>
    <phoneticPr fontId="1" type="noConversion"/>
  </si>
  <si>
    <t>모찌</t>
    <phoneticPr fontId="1" type="noConversion"/>
  </si>
  <si>
    <t>가을</t>
    <phoneticPr fontId="1" type="noConversion"/>
  </si>
  <si>
    <t>쪼꼬</t>
    <phoneticPr fontId="1" type="noConversion"/>
  </si>
  <si>
    <t>누룽지</t>
    <phoneticPr fontId="1" type="noConversion"/>
  </si>
  <si>
    <t>아리</t>
    <phoneticPr fontId="1" type="noConversion"/>
  </si>
  <si>
    <t>레이</t>
    <phoneticPr fontId="1" type="noConversion"/>
  </si>
  <si>
    <t>선님이</t>
    <phoneticPr fontId="1" type="noConversion"/>
  </si>
  <si>
    <t>피넛</t>
    <phoneticPr fontId="1" type="noConversion"/>
  </si>
  <si>
    <t>커피</t>
    <phoneticPr fontId="1" type="noConversion"/>
  </si>
  <si>
    <t>손콩콩</t>
    <phoneticPr fontId="1" type="noConversion"/>
  </si>
  <si>
    <t>창식이</t>
    <phoneticPr fontId="1" type="noConversion"/>
  </si>
  <si>
    <t>길고양이</t>
    <phoneticPr fontId="1" type="noConversion"/>
  </si>
  <si>
    <t>구찌</t>
    <phoneticPr fontId="1" type="noConversion"/>
  </si>
  <si>
    <t>로이</t>
    <phoneticPr fontId="1" type="noConversion"/>
  </si>
  <si>
    <t>김호걸</t>
    <phoneticPr fontId="1" type="noConversion"/>
  </si>
  <si>
    <t>로라</t>
    <phoneticPr fontId="1" type="noConversion"/>
  </si>
  <si>
    <t>히릿</t>
    <phoneticPr fontId="1" type="noConversion"/>
  </si>
  <si>
    <t>뽀야</t>
    <phoneticPr fontId="1" type="noConversion"/>
  </si>
  <si>
    <t>오찌</t>
    <phoneticPr fontId="1" type="noConversion"/>
  </si>
  <si>
    <t>강아지</t>
  </si>
  <si>
    <t>고양이</t>
  </si>
  <si>
    <t>강아지</t>
    <phoneticPr fontId="1" type="noConversion"/>
  </si>
  <si>
    <t>고양이</t>
    <phoneticPr fontId="1" type="noConversion"/>
  </si>
  <si>
    <t>1마리</t>
    <phoneticPr fontId="1" type="noConversion"/>
  </si>
  <si>
    <t>다묘</t>
  </si>
  <si>
    <t>다묘</t>
    <phoneticPr fontId="1" type="noConversion"/>
  </si>
  <si>
    <t>지인</t>
  </si>
  <si>
    <t>미작성</t>
  </si>
  <si>
    <t>기타</t>
  </si>
  <si>
    <t>병원추천</t>
  </si>
  <si>
    <t>피부과</t>
  </si>
  <si>
    <t>외과</t>
  </si>
  <si>
    <t>내과</t>
  </si>
  <si>
    <t>정보없음</t>
    <phoneticPr fontId="1" type="noConversion"/>
  </si>
  <si>
    <t>그외</t>
    <phoneticPr fontId="1" type="noConversion"/>
  </si>
  <si>
    <t>정보없음</t>
  </si>
  <si>
    <t>논현동</t>
  </si>
  <si>
    <t>팀장</t>
  </si>
  <si>
    <t>정혜</t>
    <phoneticPr fontId="1" type="noConversion"/>
  </si>
  <si>
    <t>-</t>
    <phoneticPr fontId="1" type="noConversion"/>
  </si>
  <si>
    <t>입원중</t>
    <phoneticPr fontId="1" type="noConversion"/>
  </si>
  <si>
    <t>네이버예약X</t>
  </si>
  <si>
    <t>네이버예약O</t>
    <phoneticPr fontId="1" type="noConversion"/>
  </si>
  <si>
    <t>네이버예약O</t>
  </si>
  <si>
    <t>재진O</t>
  </si>
  <si>
    <t>재진X</t>
  </si>
  <si>
    <t>재진X</t>
    <phoneticPr fontId="1" type="noConversion"/>
  </si>
  <si>
    <t>재진 날짜</t>
    <phoneticPr fontId="1" type="noConversion"/>
  </si>
  <si>
    <t>01월30일</t>
    <phoneticPr fontId="1" type="noConversion"/>
  </si>
  <si>
    <t>01월29일</t>
    <phoneticPr fontId="1" type="noConversion"/>
  </si>
  <si>
    <t>사망</t>
    <phoneticPr fontId="1" type="noConversion"/>
  </si>
  <si>
    <t>누락</t>
    <phoneticPr fontId="1" type="noConversion"/>
  </si>
  <si>
    <t>당일</t>
    <phoneticPr fontId="1" type="noConversion"/>
  </si>
  <si>
    <t>당일</t>
  </si>
  <si>
    <t>미발송</t>
  </si>
  <si>
    <t>발송완료</t>
  </si>
  <si>
    <t>재진1일전</t>
  </si>
  <si>
    <t>재진날짜</t>
    <phoneticPr fontId="1" type="noConversion"/>
  </si>
  <si>
    <t>주간</t>
    <phoneticPr fontId="1" type="noConversion"/>
  </si>
  <si>
    <t>COZYAMC 월간 초진 /  프로모션 관리표</t>
    <phoneticPr fontId="1" type="noConversion"/>
  </si>
  <si>
    <t>야간</t>
    <phoneticPr fontId="1" type="noConversion"/>
  </si>
  <si>
    <t>추가 금액
(체중)</t>
    <phoneticPr fontId="1" type="noConversion"/>
  </si>
  <si>
    <t>검진 외 추가 비용
(약 값, 추가 검사)</t>
    <phoneticPr fontId="1" type="noConversion"/>
  </si>
  <si>
    <t>완료</t>
  </si>
  <si>
    <t>적립 O</t>
  </si>
  <si>
    <t>포인트
적립 여부</t>
    <phoneticPr fontId="1" type="noConversion"/>
  </si>
  <si>
    <t>리뷰작성</t>
    <phoneticPr fontId="1" type="noConversion"/>
  </si>
  <si>
    <t>검진 후 특이사항</t>
    <phoneticPr fontId="1" type="noConversion"/>
  </si>
  <si>
    <t>이하진</t>
    <phoneticPr fontId="1" type="noConversion"/>
  </si>
  <si>
    <t>박현선</t>
    <phoneticPr fontId="1" type="noConversion"/>
  </si>
  <si>
    <t>함형인</t>
    <phoneticPr fontId="1" type="noConversion"/>
  </si>
  <si>
    <t>손영대</t>
    <phoneticPr fontId="1" type="noConversion"/>
  </si>
  <si>
    <t>정예지</t>
    <phoneticPr fontId="1" type="noConversion"/>
  </si>
  <si>
    <t>김순옥</t>
    <phoneticPr fontId="1" type="noConversion"/>
  </si>
  <si>
    <t>최서윤</t>
    <phoneticPr fontId="1" type="noConversion"/>
  </si>
  <si>
    <t>박재영</t>
    <phoneticPr fontId="1" type="noConversion"/>
  </si>
  <si>
    <t>고미서</t>
    <phoneticPr fontId="1" type="noConversion"/>
  </si>
  <si>
    <t>김은혜</t>
    <phoneticPr fontId="1" type="noConversion"/>
  </si>
  <si>
    <t>010-7658-4419</t>
    <phoneticPr fontId="1" type="noConversion"/>
  </si>
  <si>
    <t>010-3102-0789</t>
    <phoneticPr fontId="1" type="noConversion"/>
  </si>
  <si>
    <t>010-4812-3747</t>
    <phoneticPr fontId="1" type="noConversion"/>
  </si>
  <si>
    <t>010-6235-6343</t>
    <phoneticPr fontId="1" type="noConversion"/>
  </si>
  <si>
    <t>010-5592-7975</t>
    <phoneticPr fontId="1" type="noConversion"/>
  </si>
  <si>
    <t>010-86705296</t>
    <phoneticPr fontId="1" type="noConversion"/>
  </si>
  <si>
    <t>010-5277-6560</t>
    <phoneticPr fontId="1" type="noConversion"/>
  </si>
  <si>
    <t>010-3109-6798</t>
    <phoneticPr fontId="1" type="noConversion"/>
  </si>
  <si>
    <t>010-3932-6614</t>
    <phoneticPr fontId="1" type="noConversion"/>
  </si>
  <si>
    <t>010-8923-9646</t>
    <phoneticPr fontId="1" type="noConversion"/>
  </si>
  <si>
    <t>010-5049-1546</t>
    <phoneticPr fontId="1" type="noConversion"/>
  </si>
  <si>
    <t>010-7722-7470</t>
    <phoneticPr fontId="1" type="noConversion"/>
  </si>
  <si>
    <t>2018/여/10kg/초롱</t>
  </si>
  <si>
    <t>2023/남/4.2kg/단콩</t>
  </si>
  <si>
    <t>2021/여/18kg/하리</t>
  </si>
  <si>
    <t>2020/남/5kg/다솜이</t>
  </si>
  <si>
    <t>2011/여/3.5kg/밀키</t>
  </si>
  <si>
    <t>2013/여/2.7kg/쿠키</t>
  </si>
  <si>
    <t>2018/남/7.4kg/스파크</t>
  </si>
  <si>
    <t>2017/남/3.8kg/달이</t>
  </si>
  <si>
    <t>2011/여/17kg/순이</t>
  </si>
  <si>
    <t>(누락)/여/4.7kg/동자</t>
  </si>
  <si>
    <t>2010/여/2.5kg/랑</t>
  </si>
  <si>
    <t>2014/여/4.5kg/꼬미</t>
  </si>
  <si>
    <t>2022/남/18.1kg/설이</t>
  </si>
  <si>
    <t>2020/여/4.67kg/로나</t>
  </si>
  <si>
    <t>나혼자 검진</t>
    <phoneticPr fontId="1" type="noConversion"/>
  </si>
  <si>
    <t>두마리 검진</t>
    <phoneticPr fontId="1" type="noConversion"/>
  </si>
  <si>
    <t>월간 합계</t>
    <phoneticPr fontId="1" type="noConversion"/>
  </si>
  <si>
    <t>내복약, 사상충</t>
    <phoneticPr fontId="1" type="noConversion"/>
  </si>
  <si>
    <t>선택검사 진행</t>
    <phoneticPr fontId="1" type="noConversion"/>
  </si>
  <si>
    <t>스케일링 예정</t>
    <phoneticPr fontId="1" type="noConversion"/>
  </si>
  <si>
    <t>내복약, 심장초음파, T4</t>
    <phoneticPr fontId="1" type="noConversion"/>
  </si>
  <si>
    <t>술전 검진</t>
    <phoneticPr fontId="1" type="noConversion"/>
  </si>
  <si>
    <t>스케일링</t>
    <phoneticPr fontId="1" type="noConversion"/>
  </si>
  <si>
    <t>재진 X</t>
  </si>
  <si>
    <t>수술</t>
    <phoneticPr fontId="1" type="noConversion"/>
  </si>
  <si>
    <t>후지 절단술</t>
    <phoneticPr fontId="1" type="noConversion"/>
  </si>
  <si>
    <t>재진 수납금액은
*익월까지 집계</t>
    <phoneticPr fontId="1" type="noConversion"/>
  </si>
  <si>
    <t>2025년 1월 합계 (초진 수납 + 재진 + 프로모션)</t>
    <phoneticPr fontId="1" type="noConversion"/>
  </si>
  <si>
    <t>1월 10일</t>
    <phoneticPr fontId="1" type="noConversion"/>
  </si>
  <si>
    <t>1월 17일</t>
    <phoneticPr fontId="1" type="noConversion"/>
  </si>
  <si>
    <t>1월 31일</t>
    <phoneticPr fontId="1" type="noConversion"/>
  </si>
  <si>
    <t>1월 15일</t>
    <phoneticPr fontId="1" type="noConversion"/>
  </si>
  <si>
    <t>1월 18일</t>
    <phoneticPr fontId="1" type="noConversion"/>
  </si>
  <si>
    <t>1월 8일</t>
    <phoneticPr fontId="1" type="noConversion"/>
  </si>
  <si>
    <t>1월 11일</t>
    <phoneticPr fontId="1" type="noConversion"/>
  </si>
  <si>
    <t>1월 16일</t>
    <phoneticPr fontId="1" type="noConversion"/>
  </si>
  <si>
    <t>1월 20일</t>
    <phoneticPr fontId="1" type="noConversion"/>
  </si>
  <si>
    <t>구토, 기침, 이빨 외</t>
    <phoneticPr fontId="1" type="noConversion"/>
  </si>
  <si>
    <t>특이사항 없음</t>
    <phoneticPr fontId="1" type="noConversion"/>
  </si>
  <si>
    <t>식욕부진, 이빨, 눈</t>
    <phoneticPr fontId="1" type="noConversion"/>
  </si>
  <si>
    <t>없음</t>
    <phoneticPr fontId="1" type="noConversion"/>
  </si>
  <si>
    <t>심장</t>
    <phoneticPr fontId="1" type="noConversion"/>
  </si>
  <si>
    <t>이빨, 눈</t>
    <phoneticPr fontId="1" type="noConversion"/>
  </si>
  <si>
    <t>켁켁거림</t>
    <phoneticPr fontId="1" type="noConversion"/>
  </si>
  <si>
    <t>프로모션 관리 항목 (강아지 건강검진)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</si>
</sst>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1" fontId="3" fillId="0" borderId="8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41" fontId="3" fillId="0" borderId="9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41" fontId="6" fillId="0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41" fontId="3" fillId="0" borderId="16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176" fontId="3" fillId="0" borderId="23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1" fontId="3" fillId="0" borderId="26" xfId="0" applyNumberFormat="1" applyFont="1" applyFill="1" applyBorder="1" applyAlignment="1">
      <alignment horizontal="center" vertical="center"/>
    </xf>
    <xf numFmtId="41" fontId="3" fillId="0" borderId="27" xfId="0" applyNumberFormat="1" applyFont="1" applyFill="1" applyBorder="1" applyAlignment="1">
      <alignment horizontal="center" vertical="center"/>
    </xf>
    <xf numFmtId="41" fontId="3" fillId="0" borderId="28" xfId="0" applyNumberFormat="1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41" fontId="3" fillId="0" borderId="11" xfId="0" applyNumberFormat="1" applyFont="1" applyFill="1" applyBorder="1" applyAlignment="1">
      <alignment horizontal="center" vertical="center"/>
    </xf>
    <xf numFmtId="41" fontId="3" fillId="0" borderId="7" xfId="0" applyNumberFormat="1" applyFont="1" applyFill="1" applyBorder="1" applyAlignment="1">
      <alignment horizontal="center" vertical="center"/>
    </xf>
    <xf numFmtId="41" fontId="3" fillId="0" borderId="17" xfId="0" applyNumberFormat="1" applyFont="1" applyFill="1" applyBorder="1" applyAlignment="1">
      <alignment horizontal="center" vertical="center"/>
    </xf>
    <xf numFmtId="41" fontId="3" fillId="0" borderId="11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1" fontId="3" fillId="0" borderId="7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1" fontId="8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3" fillId="0" borderId="29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41" fontId="3" fillId="0" borderId="15" xfId="0" applyNumberFormat="1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42" fontId="5" fillId="3" borderId="30" xfId="0" applyNumberFormat="1" applyFont="1" applyFill="1" applyBorder="1" applyAlignment="1">
      <alignment horizontal="center" vertical="center"/>
    </xf>
    <xf numFmtId="42" fontId="5" fillId="3" borderId="31" xfId="0" applyNumberFormat="1" applyFont="1" applyFill="1" applyBorder="1" applyAlignment="1">
      <alignment horizontal="center" vertical="center"/>
    </xf>
    <xf numFmtId="42" fontId="5" fillId="3" borderId="32" xfId="0" applyNumberFormat="1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2" fontId="3" fillId="0" borderId="26" xfId="0" applyNumberFormat="1" applyFont="1" applyBorder="1" applyAlignment="1">
      <alignment horizontal="center" vertical="center"/>
    </xf>
    <xf numFmtId="42" fontId="3" fillId="0" borderId="38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42" fontId="0" fillId="0" borderId="26" xfId="0" applyNumberFormat="1" applyFill="1" applyBorder="1" applyAlignment="1">
      <alignment horizontal="center" vertical="center"/>
    </xf>
    <xf numFmtId="42" fontId="0" fillId="0" borderId="28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42" fontId="0" fillId="0" borderId="16" xfId="0" applyNumberForma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42" fontId="0" fillId="0" borderId="54" xfId="0" applyNumberFormat="1" applyBorder="1">
      <alignment vertical="center"/>
    </xf>
    <xf numFmtId="42" fontId="0" fillId="0" borderId="37" xfId="0" applyNumberFormat="1" applyBorder="1">
      <alignment vertical="center"/>
    </xf>
    <xf numFmtId="42" fontId="4" fillId="3" borderId="38" xfId="0" applyNumberFormat="1" applyFont="1" applyFill="1" applyBorder="1">
      <alignment vertical="center"/>
    </xf>
    <xf numFmtId="0" fontId="12" fillId="6" borderId="10" xfId="0" applyFont="1" applyFill="1" applyBorder="1" applyAlignment="1">
      <alignment horizontal="center" vertical="center"/>
    </xf>
    <xf numFmtId="42" fontId="4" fillId="4" borderId="23" xfId="0" applyNumberFormat="1" applyFont="1" applyFill="1" applyBorder="1">
      <alignment vertical="center"/>
    </xf>
    <xf numFmtId="42" fontId="4" fillId="3" borderId="35" xfId="0" applyNumberFormat="1" applyFont="1" applyFill="1" applyBorder="1" applyAlignment="1">
      <alignment horizontal="center" vertical="center"/>
    </xf>
    <xf numFmtId="42" fontId="0" fillId="0" borderId="29" xfId="0" applyNumberFormat="1" applyBorder="1" applyAlignment="1">
      <alignment horizontal="center" vertical="center"/>
    </xf>
    <xf numFmtId="42" fontId="0" fillId="0" borderId="27" xfId="0" applyNumberFormat="1" applyBorder="1" applyAlignment="1">
      <alignment horizontal="center" vertical="center"/>
    </xf>
    <xf numFmtId="42" fontId="0" fillId="0" borderId="28" xfId="0" applyNumberFormat="1" applyBorder="1" applyAlignment="1">
      <alignment horizontal="center" vertical="center"/>
    </xf>
    <xf numFmtId="42" fontId="14" fillId="6" borderId="34" xfId="0" applyNumberFormat="1" applyFont="1" applyFill="1" applyBorder="1" applyAlignment="1">
      <alignment horizontal="center" vertical="center"/>
    </xf>
    <xf numFmtId="42" fontId="14" fillId="6" borderId="35" xfId="0" applyNumberFormat="1" applyFont="1" applyFill="1" applyBorder="1" applyAlignment="1">
      <alignment horizontal="center" vertical="center"/>
    </xf>
    <xf numFmtId="42" fontId="13" fillId="3" borderId="30" xfId="0" applyNumberFormat="1" applyFont="1" applyFill="1" applyBorder="1" applyAlignment="1">
      <alignment horizontal="center" vertical="center"/>
    </xf>
    <xf numFmtId="42" fontId="13" fillId="3" borderId="31" xfId="0" applyNumberFormat="1" applyFont="1" applyFill="1" applyBorder="1" applyAlignment="1">
      <alignment horizontal="center" vertical="center"/>
    </xf>
    <xf numFmtId="42" fontId="13" fillId="3" borderId="32" xfId="0" applyNumberFormat="1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42" fontId="13" fillId="0" borderId="33" xfId="0" applyNumberFormat="1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2" fontId="0" fillId="0" borderId="38" xfId="0" applyNumberForma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8" borderId="46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885E-2629-461E-9B54-87BEC952F214}">
  <dimension ref="A1:Z136"/>
  <sheetViews>
    <sheetView tabSelected="1" zoomScale="80" zoomScaleNormal="80" workbookViewId="0">
      <pane ySplit="18" topLeftCell="A113" activePane="bottomLeft" state="frozen"/>
      <selection pane="bottomLeft" activeCell="R116" sqref="R116"/>
    </sheetView>
  </sheetViews>
  <sheetFormatPr defaultRowHeight="16.5" x14ac:dyDescent="0.3"/>
  <cols>
    <col min="1" max="1" width="4" style="10" customWidth="1"/>
    <col min="2" max="2" width="10.25" style="14" customWidth="1"/>
    <col min="3" max="3" width="13.375" customWidth="1"/>
    <col min="4" max="5" width="11.625" customWidth="1"/>
    <col min="6" max="6" width="13.375" customWidth="1"/>
    <col min="7" max="7" width="14.5" customWidth="1"/>
    <col min="8" max="8" width="13.875" customWidth="1"/>
    <col min="9" max="10" width="14.125" customWidth="1"/>
    <col min="11" max="11" width="12.75" customWidth="1"/>
    <col min="12" max="13" width="11.625" customWidth="1"/>
    <col min="14" max="14" width="9.875" style="14" customWidth="1"/>
    <col min="15" max="15" width="2.375" customWidth="1"/>
    <col min="16" max="16" width="11.625" customWidth="1"/>
    <col min="17" max="17" width="10" style="1" customWidth="1"/>
    <col min="18" max="18" width="17.875" customWidth="1"/>
    <col min="19" max="19" width="2" customWidth="1"/>
    <col min="20" max="20" width="13.875" customWidth="1"/>
    <col min="21" max="21" width="8.875" customWidth="1"/>
    <col min="22" max="22" width="13.625" customWidth="1"/>
    <col min="23" max="23" width="8.875" customWidth="1"/>
    <col min="24" max="26" width="12.625" customWidth="1"/>
  </cols>
  <sheetData>
    <row r="1" spans="1:23" ht="41.25" customHeight="1" thickBot="1" x14ac:dyDescent="0.35">
      <c r="A1" s="85" t="s">
        <v>255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7"/>
    </row>
    <row r="2" spans="1:23" ht="53.25" customHeight="1" thickBot="1" x14ac:dyDescent="0.35">
      <c r="R2" s="187" t="s">
        <v>312</v>
      </c>
      <c r="T2" s="23" t="s">
        <v>74</v>
      </c>
      <c r="U2" s="13"/>
      <c r="V2" s="23" t="s">
        <v>73</v>
      </c>
      <c r="W2" s="13"/>
    </row>
    <row r="3" spans="1:23" s="10" customFormat="1" ht="39.950000000000003" customHeight="1" thickBot="1" x14ac:dyDescent="0.35">
      <c r="A3" s="54"/>
      <c r="B3" s="88" t="s">
        <v>0</v>
      </c>
      <c r="C3" s="89" t="s">
        <v>1</v>
      </c>
      <c r="D3" s="90" t="s">
        <v>15</v>
      </c>
      <c r="E3" s="90" t="s">
        <v>2</v>
      </c>
      <c r="F3" s="90" t="s">
        <v>3</v>
      </c>
      <c r="G3" s="90" t="s">
        <v>4</v>
      </c>
      <c r="H3" s="90" t="s">
        <v>5</v>
      </c>
      <c r="I3" s="90" t="s">
        <v>6</v>
      </c>
      <c r="J3" s="90" t="s">
        <v>29</v>
      </c>
      <c r="K3" s="90" t="s">
        <v>7</v>
      </c>
      <c r="L3" s="90" t="s">
        <v>8</v>
      </c>
      <c r="M3" s="90" t="s">
        <v>9</v>
      </c>
      <c r="N3" s="91" t="s">
        <v>10</v>
      </c>
      <c r="O3" s="11"/>
      <c r="P3" s="92" t="s">
        <v>11</v>
      </c>
      <c r="Q3" s="93" t="s">
        <v>243</v>
      </c>
      <c r="R3" s="94" t="s">
        <v>14</v>
      </c>
      <c r="S3" s="11"/>
      <c r="T3" s="95" t="s">
        <v>72</v>
      </c>
      <c r="U3" s="96" t="s">
        <v>12</v>
      </c>
      <c r="V3" s="97" t="s">
        <v>71</v>
      </c>
      <c r="W3" s="98" t="s">
        <v>12</v>
      </c>
    </row>
    <row r="4" spans="1:23" x14ac:dyDescent="0.3">
      <c r="A4" s="189">
        <v>1</v>
      </c>
      <c r="B4" s="49">
        <v>12629</v>
      </c>
      <c r="C4" s="43">
        <v>46023</v>
      </c>
      <c r="D4" s="26" t="s">
        <v>68</v>
      </c>
      <c r="E4" s="27" t="s">
        <v>78</v>
      </c>
      <c r="F4" s="28" t="s">
        <v>149</v>
      </c>
      <c r="G4" s="27" t="s">
        <v>215</v>
      </c>
      <c r="H4" s="29" t="s">
        <v>67</v>
      </c>
      <c r="I4" s="28" t="s">
        <v>222</v>
      </c>
      <c r="J4" s="28" t="s">
        <v>226</v>
      </c>
      <c r="K4" s="28" t="s">
        <v>41</v>
      </c>
      <c r="L4" s="28" t="s">
        <v>237</v>
      </c>
      <c r="M4" s="22">
        <v>250000</v>
      </c>
      <c r="N4" s="55" t="s">
        <v>65</v>
      </c>
      <c r="O4" s="1"/>
      <c r="P4" s="62" t="s">
        <v>240</v>
      </c>
      <c r="Q4" s="104" t="s">
        <v>253</v>
      </c>
      <c r="R4" s="151"/>
      <c r="S4" s="1"/>
      <c r="T4" s="63" t="s">
        <v>248</v>
      </c>
      <c r="U4" s="19" t="s">
        <v>250</v>
      </c>
      <c r="V4" s="19" t="s">
        <v>252</v>
      </c>
      <c r="W4" s="73" t="s">
        <v>250</v>
      </c>
    </row>
    <row r="5" spans="1:23" x14ac:dyDescent="0.3">
      <c r="A5" s="190">
        <v>2</v>
      </c>
      <c r="B5" s="50">
        <v>12629</v>
      </c>
      <c r="C5" s="44">
        <v>46023</v>
      </c>
      <c r="D5" s="15" t="s">
        <v>68</v>
      </c>
      <c r="E5" s="30" t="s">
        <v>79</v>
      </c>
      <c r="F5" s="6" t="s">
        <v>150</v>
      </c>
      <c r="G5" s="30" t="s">
        <v>217</v>
      </c>
      <c r="H5" s="31" t="s">
        <v>67</v>
      </c>
      <c r="I5" s="6" t="s">
        <v>66</v>
      </c>
      <c r="J5" s="28" t="s">
        <v>52</v>
      </c>
      <c r="K5" s="28" t="s">
        <v>43</v>
      </c>
      <c r="L5" s="28" t="s">
        <v>238</v>
      </c>
      <c r="M5" s="20">
        <v>38000</v>
      </c>
      <c r="N5" s="56" t="s">
        <v>65</v>
      </c>
      <c r="O5" s="1"/>
      <c r="P5" s="63" t="s">
        <v>241</v>
      </c>
      <c r="Q5" s="28"/>
      <c r="R5" s="151"/>
      <c r="S5" s="1"/>
      <c r="T5" s="62"/>
      <c r="U5" s="20"/>
      <c r="V5" s="20"/>
      <c r="W5" s="56"/>
    </row>
    <row r="6" spans="1:23" x14ac:dyDescent="0.3">
      <c r="A6" s="190">
        <v>3</v>
      </c>
      <c r="B6" s="50">
        <v>12629</v>
      </c>
      <c r="C6" s="44">
        <v>46023</v>
      </c>
      <c r="D6" s="15" t="s">
        <v>68</v>
      </c>
      <c r="E6" s="32" t="s">
        <v>80</v>
      </c>
      <c r="F6" s="33" t="s">
        <v>151</v>
      </c>
      <c r="G6" s="30" t="s">
        <v>218</v>
      </c>
      <c r="H6" s="31" t="s">
        <v>219</v>
      </c>
      <c r="I6" s="6" t="s">
        <v>66</v>
      </c>
      <c r="J6" s="28" t="s">
        <v>52</v>
      </c>
      <c r="K6" s="28" t="s">
        <v>229</v>
      </c>
      <c r="L6" s="28" t="s">
        <v>237</v>
      </c>
      <c r="M6" s="20">
        <v>58000</v>
      </c>
      <c r="N6" s="56" t="s">
        <v>65</v>
      </c>
      <c r="O6" s="1"/>
      <c r="P6" s="63" t="s">
        <v>241</v>
      </c>
      <c r="Q6" s="28"/>
      <c r="R6" s="151"/>
      <c r="S6" s="1"/>
      <c r="T6" s="62"/>
      <c r="U6" s="20"/>
      <c r="V6" s="20"/>
      <c r="W6" s="56"/>
    </row>
    <row r="7" spans="1:23" x14ac:dyDescent="0.3">
      <c r="A7" s="190">
        <v>4</v>
      </c>
      <c r="B7" s="50">
        <v>12629</v>
      </c>
      <c r="C7" s="44">
        <v>46023</v>
      </c>
      <c r="D7" s="15" t="s">
        <v>68</v>
      </c>
      <c r="E7" s="32" t="s">
        <v>81</v>
      </c>
      <c r="F7" s="33" t="s">
        <v>152</v>
      </c>
      <c r="G7" s="30" t="s">
        <v>217</v>
      </c>
      <c r="H7" s="31" t="s">
        <v>67</v>
      </c>
      <c r="I7" s="6" t="s">
        <v>222</v>
      </c>
      <c r="J7" s="28" t="s">
        <v>50</v>
      </c>
      <c r="K7" s="28" t="s">
        <v>41</v>
      </c>
      <c r="L7" s="28" t="s">
        <v>237</v>
      </c>
      <c r="M7" s="20">
        <v>257000</v>
      </c>
      <c r="N7" s="56" t="s">
        <v>65</v>
      </c>
      <c r="O7" s="1"/>
      <c r="P7" s="63" t="s">
        <v>241</v>
      </c>
      <c r="Q7" s="28"/>
      <c r="R7" s="151"/>
      <c r="S7" s="1"/>
      <c r="T7" s="62"/>
      <c r="U7" s="20"/>
      <c r="V7" s="20"/>
      <c r="W7" s="56"/>
    </row>
    <row r="8" spans="1:23" x14ac:dyDescent="0.3">
      <c r="A8" s="190">
        <v>5</v>
      </c>
      <c r="B8" s="50">
        <v>12629</v>
      </c>
      <c r="C8" s="44">
        <v>46023</v>
      </c>
      <c r="D8" s="15" t="s">
        <v>77</v>
      </c>
      <c r="E8" s="32" t="s">
        <v>82</v>
      </c>
      <c r="F8" s="33" t="s">
        <v>153</v>
      </c>
      <c r="G8" s="30" t="s">
        <v>217</v>
      </c>
      <c r="H8" s="31" t="s">
        <v>67</v>
      </c>
      <c r="I8" s="6" t="s">
        <v>66</v>
      </c>
      <c r="J8" s="28" t="s">
        <v>54</v>
      </c>
      <c r="K8" s="28" t="s">
        <v>43</v>
      </c>
      <c r="L8" s="28" t="s">
        <v>237</v>
      </c>
      <c r="M8" s="20">
        <v>234500</v>
      </c>
      <c r="N8" s="56" t="s">
        <v>65</v>
      </c>
      <c r="O8" s="1"/>
      <c r="P8" s="63" t="s">
        <v>241</v>
      </c>
      <c r="Q8" s="28"/>
      <c r="R8" s="151"/>
      <c r="S8" s="1"/>
      <c r="T8" s="62"/>
      <c r="U8" s="20"/>
      <c r="V8" s="20"/>
      <c r="W8" s="56"/>
    </row>
    <row r="9" spans="1:23" x14ac:dyDescent="0.3">
      <c r="A9" s="190">
        <v>6</v>
      </c>
      <c r="B9" s="50">
        <v>12629</v>
      </c>
      <c r="C9" s="44">
        <v>46024</v>
      </c>
      <c r="D9" s="15" t="s">
        <v>68</v>
      </c>
      <c r="E9" s="30" t="s">
        <v>83</v>
      </c>
      <c r="F9" s="6" t="s">
        <v>154</v>
      </c>
      <c r="G9" s="30" t="s">
        <v>217</v>
      </c>
      <c r="H9" s="31" t="s">
        <v>67</v>
      </c>
      <c r="I9" s="6" t="s">
        <v>222</v>
      </c>
      <c r="J9" s="28" t="s">
        <v>59</v>
      </c>
      <c r="K9" s="28" t="s">
        <v>41</v>
      </c>
      <c r="L9" s="28" t="s">
        <v>237</v>
      </c>
      <c r="M9" s="20">
        <v>11000</v>
      </c>
      <c r="N9" s="56" t="s">
        <v>65</v>
      </c>
      <c r="O9" s="1"/>
      <c r="P9" s="63" t="s">
        <v>241</v>
      </c>
      <c r="Q9" s="28"/>
      <c r="R9" s="151"/>
      <c r="S9" s="1"/>
      <c r="T9" s="62"/>
      <c r="U9" s="20"/>
      <c r="V9" s="20"/>
      <c r="W9" s="56"/>
    </row>
    <row r="10" spans="1:23" x14ac:dyDescent="0.3">
      <c r="A10" s="190">
        <v>7</v>
      </c>
      <c r="B10" s="50">
        <v>12629</v>
      </c>
      <c r="C10" s="44">
        <v>46024</v>
      </c>
      <c r="D10" s="15" t="s">
        <v>68</v>
      </c>
      <c r="E10" s="30" t="s">
        <v>84</v>
      </c>
      <c r="F10" s="6" t="s">
        <v>155</v>
      </c>
      <c r="G10" s="30" t="s">
        <v>217</v>
      </c>
      <c r="H10" s="31" t="s">
        <v>67</v>
      </c>
      <c r="I10" s="6" t="s">
        <v>66</v>
      </c>
      <c r="J10" s="28" t="s">
        <v>54</v>
      </c>
      <c r="K10" s="28" t="s">
        <v>46</v>
      </c>
      <c r="L10" s="28" t="s">
        <v>237</v>
      </c>
      <c r="M10" s="20">
        <v>127050</v>
      </c>
      <c r="N10" s="56" t="s">
        <v>65</v>
      </c>
      <c r="O10" s="1"/>
      <c r="P10" s="63" t="s">
        <v>241</v>
      </c>
      <c r="Q10" s="28"/>
      <c r="R10" s="151"/>
      <c r="S10" s="1"/>
      <c r="T10" s="62"/>
      <c r="U10" s="20"/>
      <c r="V10" s="20"/>
      <c r="W10" s="56"/>
    </row>
    <row r="11" spans="1:23" x14ac:dyDescent="0.3">
      <c r="A11" s="190">
        <v>8</v>
      </c>
      <c r="B11" s="50">
        <v>12629</v>
      </c>
      <c r="C11" s="44">
        <v>46025</v>
      </c>
      <c r="D11" s="15" t="s">
        <v>68</v>
      </c>
      <c r="E11" s="30" t="s">
        <v>85</v>
      </c>
      <c r="F11" s="6" t="s">
        <v>156</v>
      </c>
      <c r="G11" s="30" t="s">
        <v>217</v>
      </c>
      <c r="H11" s="31" t="s">
        <v>67</v>
      </c>
      <c r="I11" s="6" t="s">
        <v>66</v>
      </c>
      <c r="J11" s="28" t="s">
        <v>54</v>
      </c>
      <c r="K11" s="28" t="s">
        <v>41</v>
      </c>
      <c r="L11" s="28" t="s">
        <v>237</v>
      </c>
      <c r="M11" s="20">
        <v>93500</v>
      </c>
      <c r="N11" s="56" t="s">
        <v>65</v>
      </c>
      <c r="O11" s="1"/>
      <c r="P11" s="63" t="s">
        <v>241</v>
      </c>
      <c r="Q11" s="28"/>
      <c r="R11" s="151"/>
      <c r="S11" s="1"/>
      <c r="T11" s="62"/>
      <c r="U11" s="20"/>
      <c r="V11" s="20"/>
      <c r="W11" s="56"/>
    </row>
    <row r="12" spans="1:23" x14ac:dyDescent="0.3">
      <c r="A12" s="190">
        <v>9</v>
      </c>
      <c r="B12" s="50">
        <v>12629</v>
      </c>
      <c r="C12" s="44">
        <v>46025</v>
      </c>
      <c r="D12" s="15" t="s">
        <v>68</v>
      </c>
      <c r="E12" s="30" t="s">
        <v>86</v>
      </c>
      <c r="F12" s="6" t="s">
        <v>157</v>
      </c>
      <c r="G12" s="30" t="s">
        <v>217</v>
      </c>
      <c r="H12" s="31" t="s">
        <v>67</v>
      </c>
      <c r="I12" s="6" t="s">
        <v>223</v>
      </c>
      <c r="J12" s="28" t="s">
        <v>56</v>
      </c>
      <c r="K12" s="28" t="s">
        <v>40</v>
      </c>
      <c r="L12" s="28" t="s">
        <v>237</v>
      </c>
      <c r="M12" s="20">
        <v>82050</v>
      </c>
      <c r="N12" s="56" t="s">
        <v>65</v>
      </c>
      <c r="O12" s="1"/>
      <c r="P12" s="63" t="s">
        <v>241</v>
      </c>
      <c r="Q12" s="28"/>
      <c r="R12" s="151"/>
      <c r="S12" s="1"/>
      <c r="T12" s="62"/>
      <c r="U12" s="20"/>
      <c r="V12" s="20"/>
      <c r="W12" s="56"/>
    </row>
    <row r="13" spans="1:23" x14ac:dyDescent="0.3">
      <c r="A13" s="190">
        <v>10</v>
      </c>
      <c r="B13" s="50">
        <v>12629</v>
      </c>
      <c r="C13" s="44">
        <v>46025</v>
      </c>
      <c r="D13" s="15" t="s">
        <v>68</v>
      </c>
      <c r="E13" s="30" t="s">
        <v>87</v>
      </c>
      <c r="F13" s="6" t="s">
        <v>158</v>
      </c>
      <c r="G13" s="30" t="s">
        <v>216</v>
      </c>
      <c r="H13" s="31" t="s">
        <v>67</v>
      </c>
      <c r="I13" s="6" t="s">
        <v>66</v>
      </c>
      <c r="J13" s="28" t="s">
        <v>51</v>
      </c>
      <c r="K13" s="28" t="s">
        <v>41</v>
      </c>
      <c r="L13" s="28" t="s">
        <v>237</v>
      </c>
      <c r="M13" s="20">
        <v>592800</v>
      </c>
      <c r="N13" s="56" t="s">
        <v>65</v>
      </c>
      <c r="O13" s="1"/>
      <c r="P13" s="63" t="s">
        <v>241</v>
      </c>
      <c r="Q13" s="28"/>
      <c r="R13" s="151"/>
      <c r="S13" s="1"/>
      <c r="T13" s="62"/>
      <c r="U13" s="20"/>
      <c r="V13" s="20"/>
      <c r="W13" s="56"/>
    </row>
    <row r="14" spans="1:23" x14ac:dyDescent="0.3">
      <c r="A14" s="190">
        <v>11</v>
      </c>
      <c r="B14" s="50">
        <v>12629</v>
      </c>
      <c r="C14" s="44">
        <v>46025</v>
      </c>
      <c r="D14" s="15" t="s">
        <v>68</v>
      </c>
      <c r="E14" s="30" t="s">
        <v>88</v>
      </c>
      <c r="F14" s="6" t="s">
        <v>159</v>
      </c>
      <c r="G14" s="30" t="s">
        <v>217</v>
      </c>
      <c r="H14" s="31" t="s">
        <v>67</v>
      </c>
      <c r="I14" s="6" t="s">
        <v>224</v>
      </c>
      <c r="J14" s="28" t="s">
        <v>55</v>
      </c>
      <c r="K14" s="28" t="s">
        <v>41</v>
      </c>
      <c r="L14" s="28" t="s">
        <v>237</v>
      </c>
      <c r="M14" s="20">
        <v>79400</v>
      </c>
      <c r="N14" s="56" t="s">
        <v>65</v>
      </c>
      <c r="O14" s="1"/>
      <c r="P14" s="63" t="s">
        <v>241</v>
      </c>
      <c r="Q14" s="28"/>
      <c r="R14" s="151"/>
      <c r="S14" s="1"/>
      <c r="T14" s="62"/>
      <c r="U14" s="20"/>
      <c r="V14" s="20"/>
      <c r="W14" s="56"/>
    </row>
    <row r="15" spans="1:23" x14ac:dyDescent="0.3">
      <c r="A15" s="190">
        <v>12</v>
      </c>
      <c r="B15" s="50">
        <v>12629</v>
      </c>
      <c r="C15" s="44">
        <v>46025</v>
      </c>
      <c r="D15" s="15" t="s">
        <v>77</v>
      </c>
      <c r="E15" s="30" t="s">
        <v>89</v>
      </c>
      <c r="F15" s="6" t="s">
        <v>160</v>
      </c>
      <c r="G15" s="30" t="s">
        <v>217</v>
      </c>
      <c r="H15" s="31" t="s">
        <v>67</v>
      </c>
      <c r="I15" s="6" t="s">
        <v>66</v>
      </c>
      <c r="J15" s="28" t="s">
        <v>54</v>
      </c>
      <c r="K15" s="28" t="s">
        <v>43</v>
      </c>
      <c r="L15" s="28" t="s">
        <v>237</v>
      </c>
      <c r="M15" s="20">
        <v>417000</v>
      </c>
      <c r="N15" s="56" t="s">
        <v>65</v>
      </c>
      <c r="O15" s="1"/>
      <c r="P15" s="63" t="s">
        <v>241</v>
      </c>
      <c r="Q15" s="28"/>
      <c r="R15" s="151"/>
      <c r="S15" s="1"/>
      <c r="T15" s="62"/>
      <c r="U15" s="20"/>
      <c r="V15" s="20"/>
      <c r="W15" s="56"/>
    </row>
    <row r="16" spans="1:23" x14ac:dyDescent="0.3">
      <c r="A16" s="190">
        <v>13</v>
      </c>
      <c r="B16" s="50">
        <v>12629</v>
      </c>
      <c r="C16" s="44">
        <v>46025</v>
      </c>
      <c r="D16" s="15" t="s">
        <v>68</v>
      </c>
      <c r="E16" s="30" t="s">
        <v>90</v>
      </c>
      <c r="F16" s="6" t="s">
        <v>161</v>
      </c>
      <c r="G16" s="30" t="s">
        <v>217</v>
      </c>
      <c r="H16" s="31" t="s">
        <v>67</v>
      </c>
      <c r="I16" s="6" t="s">
        <v>66</v>
      </c>
      <c r="J16" s="28" t="s">
        <v>55</v>
      </c>
      <c r="K16" s="28" t="s">
        <v>46</v>
      </c>
      <c r="L16" s="28" t="s">
        <v>237</v>
      </c>
      <c r="M16" s="20">
        <v>28500</v>
      </c>
      <c r="N16" s="56" t="s">
        <v>65</v>
      </c>
      <c r="O16" s="1"/>
      <c r="P16" s="63" t="s">
        <v>241</v>
      </c>
      <c r="Q16" s="28"/>
      <c r="R16" s="151"/>
      <c r="S16" s="1"/>
      <c r="T16" s="62"/>
      <c r="U16" s="20"/>
      <c r="V16" s="20"/>
      <c r="W16" s="56"/>
    </row>
    <row r="17" spans="1:23" x14ac:dyDescent="0.3">
      <c r="A17" s="190">
        <v>14</v>
      </c>
      <c r="B17" s="50">
        <v>12629</v>
      </c>
      <c r="C17" s="44">
        <v>46026</v>
      </c>
      <c r="D17" s="15" t="s">
        <v>68</v>
      </c>
      <c r="E17" s="30" t="s">
        <v>91</v>
      </c>
      <c r="F17" s="6" t="s">
        <v>162</v>
      </c>
      <c r="G17" s="30" t="s">
        <v>217</v>
      </c>
      <c r="H17" s="31" t="s">
        <v>67</v>
      </c>
      <c r="I17" s="6" t="s">
        <v>223</v>
      </c>
      <c r="J17" s="28" t="s">
        <v>54</v>
      </c>
      <c r="K17" s="28" t="s">
        <v>41</v>
      </c>
      <c r="L17" s="28" t="s">
        <v>237</v>
      </c>
      <c r="M17" s="20">
        <v>23500</v>
      </c>
      <c r="N17" s="56" t="s">
        <v>65</v>
      </c>
      <c r="O17" s="1"/>
      <c r="P17" s="63" t="s">
        <v>241</v>
      </c>
      <c r="Q17" s="28"/>
      <c r="R17" s="151"/>
      <c r="S17" s="1"/>
      <c r="T17" s="62"/>
      <c r="U17" s="20"/>
      <c r="V17" s="20"/>
      <c r="W17" s="56"/>
    </row>
    <row r="18" spans="1:23" ht="17.25" thickBot="1" x14ac:dyDescent="0.35">
      <c r="A18" s="191">
        <v>15</v>
      </c>
      <c r="B18" s="51">
        <v>12629</v>
      </c>
      <c r="C18" s="45">
        <v>46026</v>
      </c>
      <c r="D18" s="41" t="s">
        <v>68</v>
      </c>
      <c r="E18" s="42" t="s">
        <v>92</v>
      </c>
      <c r="F18" s="40" t="s">
        <v>163</v>
      </c>
      <c r="G18" s="42" t="s">
        <v>217</v>
      </c>
      <c r="H18" s="42" t="s">
        <v>67</v>
      </c>
      <c r="I18" s="40" t="s">
        <v>66</v>
      </c>
      <c r="J18" s="40" t="s">
        <v>54</v>
      </c>
      <c r="K18" s="40" t="s">
        <v>41</v>
      </c>
      <c r="L18" s="40" t="s">
        <v>237</v>
      </c>
      <c r="M18" s="39">
        <v>324000</v>
      </c>
      <c r="N18" s="57" t="s">
        <v>65</v>
      </c>
      <c r="O18" s="1"/>
      <c r="P18" s="64" t="s">
        <v>241</v>
      </c>
      <c r="Q18" s="40"/>
      <c r="R18" s="152"/>
      <c r="S18" s="1"/>
      <c r="T18" s="64"/>
      <c r="U18" s="39"/>
      <c r="V18" s="39"/>
      <c r="W18" s="57"/>
    </row>
    <row r="19" spans="1:23" x14ac:dyDescent="0.3">
      <c r="A19" s="192">
        <v>16</v>
      </c>
      <c r="B19" s="50">
        <v>12629</v>
      </c>
      <c r="C19" s="43">
        <v>46027</v>
      </c>
      <c r="D19" s="26" t="s">
        <v>68</v>
      </c>
      <c r="E19" s="27" t="s">
        <v>93</v>
      </c>
      <c r="F19" s="28" t="s">
        <v>164</v>
      </c>
      <c r="G19" s="27" t="s">
        <v>217</v>
      </c>
      <c r="H19" s="29" t="s">
        <v>67</v>
      </c>
      <c r="I19" s="28" t="s">
        <v>224</v>
      </c>
      <c r="J19" s="28" t="s">
        <v>55</v>
      </c>
      <c r="K19" s="28" t="s">
        <v>43</v>
      </c>
      <c r="L19" s="28" t="s">
        <v>237</v>
      </c>
      <c r="M19" s="22">
        <v>26000</v>
      </c>
      <c r="N19" s="55" t="s">
        <v>65</v>
      </c>
      <c r="O19" s="1"/>
      <c r="P19" s="65" t="s">
        <v>241</v>
      </c>
      <c r="Q19" s="18"/>
      <c r="R19" s="151"/>
      <c r="S19" s="1"/>
      <c r="T19" s="62"/>
      <c r="U19" s="22"/>
      <c r="V19" s="22"/>
      <c r="W19" s="55"/>
    </row>
    <row r="20" spans="1:23" x14ac:dyDescent="0.3">
      <c r="A20" s="193">
        <v>17</v>
      </c>
      <c r="B20" s="50">
        <v>12629</v>
      </c>
      <c r="C20" s="44">
        <v>46027</v>
      </c>
      <c r="D20" s="15" t="s">
        <v>68</v>
      </c>
      <c r="E20" s="30" t="s">
        <v>94</v>
      </c>
      <c r="F20" s="6" t="s">
        <v>94</v>
      </c>
      <c r="G20" s="30" t="s">
        <v>217</v>
      </c>
      <c r="H20" s="31" t="s">
        <v>67</v>
      </c>
      <c r="I20" s="6" t="s">
        <v>224</v>
      </c>
      <c r="J20" s="28" t="s">
        <v>52</v>
      </c>
      <c r="K20" s="28" t="s">
        <v>230</v>
      </c>
      <c r="L20" s="28" t="s">
        <v>237</v>
      </c>
      <c r="M20" s="20" t="s">
        <v>235</v>
      </c>
      <c r="N20" s="56" t="s">
        <v>65</v>
      </c>
      <c r="O20" s="1"/>
      <c r="P20" s="67" t="s">
        <v>241</v>
      </c>
      <c r="Q20" s="18"/>
      <c r="R20" s="151"/>
      <c r="S20" s="1"/>
      <c r="T20" s="62"/>
      <c r="U20" s="20"/>
      <c r="V20" s="20"/>
      <c r="W20" s="56"/>
    </row>
    <row r="21" spans="1:23" x14ac:dyDescent="0.3">
      <c r="A21" s="193">
        <v>18</v>
      </c>
      <c r="B21" s="50">
        <v>12629</v>
      </c>
      <c r="C21" s="44">
        <v>46028</v>
      </c>
      <c r="D21" s="15" t="s">
        <v>68</v>
      </c>
      <c r="E21" s="30" t="s">
        <v>95</v>
      </c>
      <c r="F21" s="6" t="s">
        <v>165</v>
      </c>
      <c r="G21" s="30" t="s">
        <v>217</v>
      </c>
      <c r="H21" s="31" t="s">
        <v>67</v>
      </c>
      <c r="I21" s="6" t="s">
        <v>223</v>
      </c>
      <c r="J21" s="28" t="s">
        <v>52</v>
      </c>
      <c r="K21" s="28" t="s">
        <v>45</v>
      </c>
      <c r="L21" s="28" t="s">
        <v>239</v>
      </c>
      <c r="M21" s="20">
        <v>200500</v>
      </c>
      <c r="N21" s="56" t="s">
        <v>65</v>
      </c>
      <c r="O21" s="1"/>
      <c r="P21" s="67" t="s">
        <v>240</v>
      </c>
      <c r="Q21" s="24">
        <v>46049</v>
      </c>
      <c r="R21" s="151"/>
      <c r="S21" s="1"/>
      <c r="T21" s="62"/>
      <c r="U21" s="20"/>
      <c r="V21" s="20"/>
      <c r="W21" s="56"/>
    </row>
    <row r="22" spans="1:23" x14ac:dyDescent="0.3">
      <c r="A22" s="193">
        <v>19</v>
      </c>
      <c r="B22" s="50">
        <v>12629</v>
      </c>
      <c r="C22" s="44">
        <v>46030</v>
      </c>
      <c r="D22" s="15" t="s">
        <v>77</v>
      </c>
      <c r="E22" s="30" t="s">
        <v>96</v>
      </c>
      <c r="F22" s="6" t="s">
        <v>166</v>
      </c>
      <c r="G22" s="30" t="s">
        <v>217</v>
      </c>
      <c r="H22" s="31" t="s">
        <v>67</v>
      </c>
      <c r="I22" s="6" t="s">
        <v>66</v>
      </c>
      <c r="J22" s="28" t="s">
        <v>56</v>
      </c>
      <c r="K22" s="28" t="s">
        <v>230</v>
      </c>
      <c r="L22" s="28" t="s">
        <v>237</v>
      </c>
      <c r="M22" s="20">
        <v>107000</v>
      </c>
      <c r="N22" s="56" t="s">
        <v>65</v>
      </c>
      <c r="O22" s="1"/>
      <c r="P22" s="67" t="s">
        <v>241</v>
      </c>
      <c r="Q22" s="18"/>
      <c r="R22" s="151"/>
      <c r="S22" s="1"/>
      <c r="T22" s="62"/>
      <c r="U22" s="20"/>
      <c r="V22" s="20"/>
      <c r="W22" s="56"/>
    </row>
    <row r="23" spans="1:23" x14ac:dyDescent="0.3">
      <c r="A23" s="193">
        <v>20</v>
      </c>
      <c r="B23" s="50">
        <v>12629</v>
      </c>
      <c r="C23" s="44">
        <v>46032</v>
      </c>
      <c r="D23" s="15" t="s">
        <v>68</v>
      </c>
      <c r="E23" s="30" t="s">
        <v>97</v>
      </c>
      <c r="F23" s="6" t="s">
        <v>167</v>
      </c>
      <c r="G23" s="30" t="s">
        <v>217</v>
      </c>
      <c r="H23" s="31" t="s">
        <v>67</v>
      </c>
      <c r="I23" s="6" t="s">
        <v>222</v>
      </c>
      <c r="J23" s="28" t="s">
        <v>49</v>
      </c>
      <c r="K23" s="28" t="s">
        <v>41</v>
      </c>
      <c r="L23" s="28" t="s">
        <v>237</v>
      </c>
      <c r="M23" s="20">
        <v>50000</v>
      </c>
      <c r="N23" s="56" t="s">
        <v>65</v>
      </c>
      <c r="O23" s="1"/>
      <c r="P23" s="67" t="s">
        <v>241</v>
      </c>
      <c r="Q23" s="18"/>
      <c r="R23" s="151"/>
      <c r="S23" s="1"/>
      <c r="T23" s="62"/>
      <c r="U23" s="20"/>
      <c r="V23" s="20" t="s">
        <v>252</v>
      </c>
      <c r="W23" s="56" t="s">
        <v>251</v>
      </c>
    </row>
    <row r="24" spans="1:23" x14ac:dyDescent="0.3">
      <c r="A24" s="193">
        <v>21</v>
      </c>
      <c r="B24" s="50">
        <v>12629</v>
      </c>
      <c r="C24" s="44">
        <v>46031</v>
      </c>
      <c r="D24" s="15" t="s">
        <v>68</v>
      </c>
      <c r="E24" s="30" t="s">
        <v>98</v>
      </c>
      <c r="F24" s="6" t="s">
        <v>168</v>
      </c>
      <c r="G24" s="30" t="s">
        <v>217</v>
      </c>
      <c r="H24" s="31" t="s">
        <v>67</v>
      </c>
      <c r="I24" s="6" t="s">
        <v>224</v>
      </c>
      <c r="J24" s="28" t="s">
        <v>58</v>
      </c>
      <c r="K24" s="28" t="s">
        <v>41</v>
      </c>
      <c r="L24" s="28" t="s">
        <v>237</v>
      </c>
      <c r="M24" s="20">
        <v>66000</v>
      </c>
      <c r="N24" s="56" t="s">
        <v>65</v>
      </c>
      <c r="O24" s="1"/>
      <c r="P24" s="67" t="s">
        <v>241</v>
      </c>
      <c r="Q24" s="18"/>
      <c r="R24" s="151"/>
      <c r="S24" s="1"/>
      <c r="T24" s="62"/>
      <c r="U24" s="20"/>
      <c r="V24" s="20"/>
      <c r="W24" s="56"/>
    </row>
    <row r="25" spans="1:23" x14ac:dyDescent="0.3">
      <c r="A25" s="193">
        <v>22</v>
      </c>
      <c r="B25" s="50">
        <v>12629</v>
      </c>
      <c r="C25" s="44">
        <v>46032</v>
      </c>
      <c r="D25" s="15" t="s">
        <v>68</v>
      </c>
      <c r="E25" s="30" t="s">
        <v>99</v>
      </c>
      <c r="F25" s="6" t="s">
        <v>169</v>
      </c>
      <c r="G25" s="30" t="s">
        <v>217</v>
      </c>
      <c r="H25" s="31" t="s">
        <v>67</v>
      </c>
      <c r="I25" s="6" t="s">
        <v>222</v>
      </c>
      <c r="J25" s="28" t="s">
        <v>51</v>
      </c>
      <c r="K25" s="28" t="s">
        <v>230</v>
      </c>
      <c r="L25" s="28" t="s">
        <v>239</v>
      </c>
      <c r="M25" s="20">
        <v>466300</v>
      </c>
      <c r="N25" s="56" t="s">
        <v>65</v>
      </c>
      <c r="O25" s="1"/>
      <c r="P25" s="67" t="s">
        <v>241</v>
      </c>
      <c r="Q25" s="18"/>
      <c r="R25" s="151"/>
      <c r="S25" s="1"/>
      <c r="T25" s="62"/>
      <c r="U25" s="20"/>
      <c r="V25" s="20"/>
      <c r="W25" s="56"/>
    </row>
    <row r="26" spans="1:23" x14ac:dyDescent="0.3">
      <c r="A26" s="193">
        <v>23</v>
      </c>
      <c r="B26" s="50">
        <v>12629</v>
      </c>
      <c r="C26" s="44">
        <v>46032</v>
      </c>
      <c r="D26" s="15" t="s">
        <v>68</v>
      </c>
      <c r="E26" s="30" t="s">
        <v>100</v>
      </c>
      <c r="F26" s="6" t="s">
        <v>170</v>
      </c>
      <c r="G26" s="30" t="s">
        <v>217</v>
      </c>
      <c r="H26" s="31" t="s">
        <v>67</v>
      </c>
      <c r="I26" s="6" t="s">
        <v>66</v>
      </c>
      <c r="J26" s="28" t="s">
        <v>56</v>
      </c>
      <c r="K26" s="28" t="s">
        <v>230</v>
      </c>
      <c r="L26" s="28" t="s">
        <v>239</v>
      </c>
      <c r="M26" s="20">
        <v>63000</v>
      </c>
      <c r="N26" s="56" t="s">
        <v>65</v>
      </c>
      <c r="O26" s="1"/>
      <c r="P26" s="67" t="s">
        <v>241</v>
      </c>
      <c r="Q26" s="18"/>
      <c r="R26" s="151"/>
      <c r="S26" s="1"/>
      <c r="T26" s="62"/>
      <c r="U26" s="20"/>
      <c r="V26" s="20"/>
      <c r="W26" s="56"/>
    </row>
    <row r="27" spans="1:23" x14ac:dyDescent="0.3">
      <c r="A27" s="193">
        <v>24</v>
      </c>
      <c r="B27" s="50">
        <v>12629</v>
      </c>
      <c r="C27" s="44">
        <v>46032</v>
      </c>
      <c r="D27" s="15" t="s">
        <v>68</v>
      </c>
      <c r="E27" s="30" t="s">
        <v>101</v>
      </c>
      <c r="F27" s="6" t="s">
        <v>171</v>
      </c>
      <c r="G27" s="30" t="s">
        <v>217</v>
      </c>
      <c r="H27" s="31" t="s">
        <v>67</v>
      </c>
      <c r="I27" s="6" t="s">
        <v>224</v>
      </c>
      <c r="J27" s="28" t="s">
        <v>52</v>
      </c>
      <c r="K27" s="28" t="s">
        <v>41</v>
      </c>
      <c r="L27" s="28" t="s">
        <v>237</v>
      </c>
      <c r="M27" s="20">
        <v>655250</v>
      </c>
      <c r="N27" s="56" t="s">
        <v>65</v>
      </c>
      <c r="O27" s="1"/>
      <c r="P27" s="67" t="s">
        <v>241</v>
      </c>
      <c r="Q27" s="18"/>
      <c r="R27" s="151"/>
      <c r="S27" s="1"/>
      <c r="T27" s="62"/>
      <c r="U27" s="20"/>
      <c r="V27" s="20"/>
      <c r="W27" s="56"/>
    </row>
    <row r="28" spans="1:23" x14ac:dyDescent="0.3">
      <c r="A28" s="193">
        <v>25</v>
      </c>
      <c r="B28" s="50">
        <v>12629</v>
      </c>
      <c r="C28" s="44">
        <v>46033</v>
      </c>
      <c r="D28" s="15" t="s">
        <v>68</v>
      </c>
      <c r="E28" s="30" t="s">
        <v>102</v>
      </c>
      <c r="F28" s="6" t="s">
        <v>172</v>
      </c>
      <c r="G28" s="30" t="s">
        <v>217</v>
      </c>
      <c r="H28" s="31" t="s">
        <v>67</v>
      </c>
      <c r="I28" s="6" t="s">
        <v>66</v>
      </c>
      <c r="J28" s="28" t="s">
        <v>54</v>
      </c>
      <c r="K28" s="28" t="s">
        <v>230</v>
      </c>
      <c r="L28" s="28" t="s">
        <v>237</v>
      </c>
      <c r="M28" s="20">
        <v>104500</v>
      </c>
      <c r="N28" s="56" t="s">
        <v>65</v>
      </c>
      <c r="O28" s="1"/>
      <c r="P28" s="67" t="s">
        <v>241</v>
      </c>
      <c r="Q28" s="18"/>
      <c r="R28" s="151"/>
      <c r="S28" s="1"/>
      <c r="T28" s="62"/>
      <c r="U28" s="20"/>
      <c r="V28" s="20"/>
      <c r="W28" s="56"/>
    </row>
    <row r="29" spans="1:23" x14ac:dyDescent="0.3">
      <c r="A29" s="193">
        <v>26</v>
      </c>
      <c r="B29" s="50">
        <v>12629</v>
      </c>
      <c r="C29" s="44">
        <v>46033</v>
      </c>
      <c r="D29" s="15" t="s">
        <v>68</v>
      </c>
      <c r="E29" s="30" t="s">
        <v>103</v>
      </c>
      <c r="F29" s="6" t="s">
        <v>173</v>
      </c>
      <c r="G29" s="30" t="s">
        <v>217</v>
      </c>
      <c r="H29" s="31" t="s">
        <v>67</v>
      </c>
      <c r="I29" s="6" t="s">
        <v>66</v>
      </c>
      <c r="J29" s="28" t="s">
        <v>53</v>
      </c>
      <c r="K29" s="28" t="s">
        <v>40</v>
      </c>
      <c r="L29" s="28" t="s">
        <v>237</v>
      </c>
      <c r="M29" s="20">
        <v>457440</v>
      </c>
      <c r="N29" s="56" t="s">
        <v>65</v>
      </c>
      <c r="O29" s="1"/>
      <c r="P29" s="67" t="s">
        <v>241</v>
      </c>
      <c r="Q29" s="18"/>
      <c r="R29" s="151"/>
      <c r="S29" s="1"/>
      <c r="T29" s="62"/>
      <c r="U29" s="20"/>
      <c r="V29" s="20"/>
      <c r="W29" s="56"/>
    </row>
    <row r="30" spans="1:23" x14ac:dyDescent="0.3">
      <c r="A30" s="193">
        <v>27</v>
      </c>
      <c r="B30" s="50">
        <v>12629</v>
      </c>
      <c r="C30" s="44">
        <v>46033</v>
      </c>
      <c r="D30" s="15" t="s">
        <v>68</v>
      </c>
      <c r="E30" s="30" t="s">
        <v>104</v>
      </c>
      <c r="F30" s="6" t="s">
        <v>174</v>
      </c>
      <c r="G30" s="30" t="s">
        <v>216</v>
      </c>
      <c r="H30" s="31" t="s">
        <v>67</v>
      </c>
      <c r="I30" s="6" t="s">
        <v>224</v>
      </c>
      <c r="J30" s="28" t="s">
        <v>54</v>
      </c>
      <c r="K30" s="28" t="s">
        <v>41</v>
      </c>
      <c r="L30" s="28" t="s">
        <v>237</v>
      </c>
      <c r="M30" s="20">
        <v>535000</v>
      </c>
      <c r="N30" s="56" t="s">
        <v>65</v>
      </c>
      <c r="O30" s="1"/>
      <c r="P30" s="67" t="s">
        <v>241</v>
      </c>
      <c r="Q30" s="18"/>
      <c r="R30" s="151"/>
      <c r="S30" s="1"/>
      <c r="T30" s="62"/>
      <c r="U30" s="20"/>
      <c r="V30" s="20"/>
      <c r="W30" s="56"/>
    </row>
    <row r="31" spans="1:23" x14ac:dyDescent="0.3">
      <c r="A31" s="193">
        <v>28</v>
      </c>
      <c r="B31" s="50">
        <v>12629</v>
      </c>
      <c r="C31" s="44">
        <v>46040</v>
      </c>
      <c r="D31" s="15" t="s">
        <v>68</v>
      </c>
      <c r="E31" s="30" t="s">
        <v>105</v>
      </c>
      <c r="F31" s="6" t="s">
        <v>175</v>
      </c>
      <c r="G31" s="30" t="s">
        <v>217</v>
      </c>
      <c r="H31" s="31" t="s">
        <v>67</v>
      </c>
      <c r="I31" s="6" t="s">
        <v>66</v>
      </c>
      <c r="J31" s="28" t="s">
        <v>53</v>
      </c>
      <c r="K31" s="28" t="s">
        <v>230</v>
      </c>
      <c r="L31" s="28" t="s">
        <v>239</v>
      </c>
      <c r="M31" s="20">
        <v>480850</v>
      </c>
      <c r="N31" s="56" t="s">
        <v>65</v>
      </c>
      <c r="O31" s="1"/>
      <c r="P31" s="67" t="s">
        <v>241</v>
      </c>
      <c r="Q31" s="18"/>
      <c r="R31" s="151"/>
      <c r="S31" s="1"/>
      <c r="T31" s="62"/>
      <c r="U31" s="20"/>
      <c r="V31" s="20" t="s">
        <v>252</v>
      </c>
      <c r="W31" s="56" t="s">
        <v>251</v>
      </c>
    </row>
    <row r="32" spans="1:23" x14ac:dyDescent="0.3">
      <c r="A32" s="193">
        <v>29</v>
      </c>
      <c r="B32" s="50">
        <v>12629</v>
      </c>
      <c r="C32" s="44">
        <v>46034</v>
      </c>
      <c r="D32" s="15" t="s">
        <v>68</v>
      </c>
      <c r="E32" s="30" t="s">
        <v>106</v>
      </c>
      <c r="F32" s="6" t="s">
        <v>176</v>
      </c>
      <c r="G32" s="30" t="s">
        <v>216</v>
      </c>
      <c r="H32" s="31" t="s">
        <v>67</v>
      </c>
      <c r="I32" s="6" t="s">
        <v>66</v>
      </c>
      <c r="J32" s="28" t="s">
        <v>55</v>
      </c>
      <c r="K32" s="28" t="s">
        <v>230</v>
      </c>
      <c r="L32" s="28" t="s">
        <v>239</v>
      </c>
      <c r="M32" s="20">
        <v>1042100</v>
      </c>
      <c r="N32" s="56" t="s">
        <v>65</v>
      </c>
      <c r="O32" s="1"/>
      <c r="P32" s="67" t="s">
        <v>241</v>
      </c>
      <c r="Q32" s="18"/>
      <c r="R32" s="151"/>
      <c r="S32" s="1"/>
      <c r="T32" s="62"/>
      <c r="U32" s="20"/>
      <c r="V32" s="20"/>
      <c r="W32" s="56"/>
    </row>
    <row r="33" spans="1:23" x14ac:dyDescent="0.3">
      <c r="A33" s="193">
        <v>30</v>
      </c>
      <c r="B33" s="50">
        <v>12629</v>
      </c>
      <c r="C33" s="44">
        <v>46034</v>
      </c>
      <c r="D33" s="15" t="s">
        <v>68</v>
      </c>
      <c r="E33" s="30" t="s">
        <v>107</v>
      </c>
      <c r="F33" s="33" t="s">
        <v>177</v>
      </c>
      <c r="G33" s="30" t="s">
        <v>217</v>
      </c>
      <c r="H33" s="31" t="s">
        <v>67</v>
      </c>
      <c r="I33" s="6" t="s">
        <v>66</v>
      </c>
      <c r="J33" s="28" t="s">
        <v>58</v>
      </c>
      <c r="K33" s="28" t="s">
        <v>41</v>
      </c>
      <c r="L33" s="28" t="s">
        <v>237</v>
      </c>
      <c r="M33" s="20">
        <v>229500</v>
      </c>
      <c r="N33" s="56" t="s">
        <v>65</v>
      </c>
      <c r="O33" s="1"/>
      <c r="P33" s="67" t="s">
        <v>241</v>
      </c>
      <c r="Q33" s="18"/>
      <c r="R33" s="151"/>
      <c r="S33" s="1"/>
      <c r="T33" s="62"/>
      <c r="U33" s="20"/>
      <c r="V33" s="20"/>
      <c r="W33" s="56"/>
    </row>
    <row r="34" spans="1:23" x14ac:dyDescent="0.3">
      <c r="A34" s="193">
        <v>31</v>
      </c>
      <c r="B34" s="50">
        <v>12629</v>
      </c>
      <c r="C34" s="44">
        <v>46035</v>
      </c>
      <c r="D34" s="15" t="s">
        <v>77</v>
      </c>
      <c r="E34" s="30" t="s">
        <v>108</v>
      </c>
      <c r="F34" s="33" t="s">
        <v>178</v>
      </c>
      <c r="G34" s="30" t="s">
        <v>217</v>
      </c>
      <c r="H34" s="31" t="s">
        <v>67</v>
      </c>
      <c r="I34" s="6" t="s">
        <v>66</v>
      </c>
      <c r="J34" s="28" t="s">
        <v>54</v>
      </c>
      <c r="K34" s="28" t="s">
        <v>230</v>
      </c>
      <c r="L34" s="28" t="s">
        <v>237</v>
      </c>
      <c r="M34" s="20">
        <v>62500</v>
      </c>
      <c r="N34" s="56" t="s">
        <v>65</v>
      </c>
      <c r="O34" s="1"/>
      <c r="P34" s="67" t="s">
        <v>241</v>
      </c>
      <c r="Q34" s="18"/>
      <c r="R34" s="151"/>
      <c r="S34" s="1"/>
      <c r="T34" s="62"/>
      <c r="U34" s="20"/>
      <c r="V34" s="20"/>
      <c r="W34" s="56"/>
    </row>
    <row r="35" spans="1:23" x14ac:dyDescent="0.3">
      <c r="A35" s="193">
        <v>32</v>
      </c>
      <c r="B35" s="50">
        <v>12629</v>
      </c>
      <c r="C35" s="44">
        <v>46035</v>
      </c>
      <c r="D35" s="15" t="s">
        <v>68</v>
      </c>
      <c r="E35" s="30" t="s">
        <v>109</v>
      </c>
      <c r="F35" s="33" t="s">
        <v>175</v>
      </c>
      <c r="G35" s="30" t="s">
        <v>217</v>
      </c>
      <c r="H35" s="31" t="s">
        <v>67</v>
      </c>
      <c r="I35" s="6" t="s">
        <v>66</v>
      </c>
      <c r="J35" s="28" t="s">
        <v>58</v>
      </c>
      <c r="K35" s="28" t="s">
        <v>41</v>
      </c>
      <c r="L35" s="28" t="s">
        <v>237</v>
      </c>
      <c r="M35" s="20">
        <v>11000</v>
      </c>
      <c r="N35" s="56" t="s">
        <v>65</v>
      </c>
      <c r="O35" s="1"/>
      <c r="P35" s="67" t="s">
        <v>241</v>
      </c>
      <c r="Q35" s="18"/>
      <c r="R35" s="151"/>
      <c r="S35" s="1"/>
      <c r="T35" s="62"/>
      <c r="U35" s="20"/>
      <c r="V35" s="20"/>
      <c r="W35" s="56"/>
    </row>
    <row r="36" spans="1:23" x14ac:dyDescent="0.3">
      <c r="A36" s="193">
        <v>33</v>
      </c>
      <c r="B36" s="50">
        <v>12629</v>
      </c>
      <c r="C36" s="44">
        <v>46036</v>
      </c>
      <c r="D36" s="15" t="s">
        <v>68</v>
      </c>
      <c r="E36" s="30" t="s">
        <v>110</v>
      </c>
      <c r="F36" s="33" t="s">
        <v>179</v>
      </c>
      <c r="G36" s="30" t="s">
        <v>217</v>
      </c>
      <c r="H36" s="31" t="s">
        <v>67</v>
      </c>
      <c r="I36" s="6" t="s">
        <v>66</v>
      </c>
      <c r="J36" s="28" t="s">
        <v>56</v>
      </c>
      <c r="K36" s="28" t="s">
        <v>41</v>
      </c>
      <c r="L36" s="28" t="s">
        <v>237</v>
      </c>
      <c r="M36" s="20">
        <v>107500</v>
      </c>
      <c r="N36" s="56" t="s">
        <v>65</v>
      </c>
      <c r="O36" s="1"/>
      <c r="P36" s="67" t="s">
        <v>241</v>
      </c>
      <c r="Q36" s="18"/>
      <c r="R36" s="151"/>
      <c r="S36" s="1"/>
      <c r="T36" s="62"/>
      <c r="U36" s="20"/>
      <c r="V36" s="20"/>
      <c r="W36" s="56"/>
    </row>
    <row r="37" spans="1:23" x14ac:dyDescent="0.3">
      <c r="A37" s="193">
        <v>34</v>
      </c>
      <c r="B37" s="50">
        <v>12629</v>
      </c>
      <c r="C37" s="44">
        <v>46036</v>
      </c>
      <c r="D37" s="15" t="s">
        <v>68</v>
      </c>
      <c r="E37" s="30" t="s">
        <v>111</v>
      </c>
      <c r="F37" s="33" t="s">
        <v>156</v>
      </c>
      <c r="G37" s="30" t="s">
        <v>217</v>
      </c>
      <c r="H37" s="31" t="s">
        <v>67</v>
      </c>
      <c r="I37" s="6" t="s">
        <v>66</v>
      </c>
      <c r="J37" s="28" t="s">
        <v>53</v>
      </c>
      <c r="K37" s="28" t="s">
        <v>230</v>
      </c>
      <c r="L37" s="28" t="s">
        <v>237</v>
      </c>
      <c r="M37" s="20">
        <v>18000</v>
      </c>
      <c r="N37" s="56" t="s">
        <v>65</v>
      </c>
      <c r="O37" s="1"/>
      <c r="P37" s="67" t="s">
        <v>240</v>
      </c>
      <c r="Q37" s="24">
        <v>46052</v>
      </c>
      <c r="R37" s="151"/>
      <c r="S37" s="1"/>
      <c r="T37" s="62"/>
      <c r="U37" s="20"/>
      <c r="V37" s="20"/>
      <c r="W37" s="56"/>
    </row>
    <row r="38" spans="1:23" x14ac:dyDescent="0.3">
      <c r="A38" s="193">
        <v>35</v>
      </c>
      <c r="B38" s="50">
        <v>12629</v>
      </c>
      <c r="C38" s="44">
        <v>46036</v>
      </c>
      <c r="D38" s="15" t="s">
        <v>77</v>
      </c>
      <c r="E38" s="30" t="s">
        <v>112</v>
      </c>
      <c r="F38" s="33" t="s">
        <v>180</v>
      </c>
      <c r="G38" s="30" t="s">
        <v>216</v>
      </c>
      <c r="H38" s="31" t="s">
        <v>67</v>
      </c>
      <c r="I38" s="6" t="s">
        <v>224</v>
      </c>
      <c r="J38" s="28" t="s">
        <v>54</v>
      </c>
      <c r="K38" s="28" t="s">
        <v>41</v>
      </c>
      <c r="L38" s="28" t="s">
        <v>237</v>
      </c>
      <c r="M38" s="20">
        <v>58000</v>
      </c>
      <c r="N38" s="56" t="s">
        <v>65</v>
      </c>
      <c r="O38" s="1"/>
      <c r="P38" s="67" t="s">
        <v>241</v>
      </c>
      <c r="Q38" s="18"/>
      <c r="R38" s="151"/>
      <c r="S38" s="1"/>
      <c r="T38" s="62"/>
      <c r="U38" s="20"/>
      <c r="V38" s="20"/>
      <c r="W38" s="56"/>
    </row>
    <row r="39" spans="1:23" x14ac:dyDescent="0.3">
      <c r="A39" s="193">
        <v>36</v>
      </c>
      <c r="B39" s="50">
        <v>12629</v>
      </c>
      <c r="C39" s="44">
        <v>46039</v>
      </c>
      <c r="D39" s="15" t="s">
        <v>68</v>
      </c>
      <c r="E39" s="30" t="s">
        <v>113</v>
      </c>
      <c r="F39" s="33" t="s">
        <v>175</v>
      </c>
      <c r="G39" s="30" t="s">
        <v>215</v>
      </c>
      <c r="H39" s="31" t="s">
        <v>67</v>
      </c>
      <c r="I39" s="6" t="s">
        <v>224</v>
      </c>
      <c r="J39" s="28" t="s">
        <v>55</v>
      </c>
      <c r="K39" s="28" t="s">
        <v>41</v>
      </c>
      <c r="L39" s="28" t="s">
        <v>237</v>
      </c>
      <c r="M39" s="20">
        <v>91700</v>
      </c>
      <c r="N39" s="56" t="s">
        <v>65</v>
      </c>
      <c r="O39" s="1"/>
      <c r="P39" s="67" t="s">
        <v>240</v>
      </c>
      <c r="Q39" s="24">
        <v>46053</v>
      </c>
      <c r="R39" s="151"/>
      <c r="S39" s="1"/>
      <c r="T39" s="62"/>
      <c r="U39" s="20"/>
      <c r="V39" s="20" t="s">
        <v>252</v>
      </c>
      <c r="W39" s="56" t="s">
        <v>251</v>
      </c>
    </row>
    <row r="40" spans="1:23" x14ac:dyDescent="0.3">
      <c r="A40" s="193">
        <v>37</v>
      </c>
      <c r="B40" s="50">
        <v>12629</v>
      </c>
      <c r="C40" s="44">
        <v>46039</v>
      </c>
      <c r="D40" s="15" t="s">
        <v>68</v>
      </c>
      <c r="E40" s="30" t="s">
        <v>114</v>
      </c>
      <c r="F40" s="33" t="s">
        <v>181</v>
      </c>
      <c r="G40" s="30" t="s">
        <v>215</v>
      </c>
      <c r="H40" s="31" t="s">
        <v>67</v>
      </c>
      <c r="I40" s="6" t="s">
        <v>66</v>
      </c>
      <c r="J40" s="28" t="s">
        <v>52</v>
      </c>
      <c r="K40" s="28" t="s">
        <v>43</v>
      </c>
      <c r="L40" s="28" t="s">
        <v>239</v>
      </c>
      <c r="M40" s="20">
        <v>578500</v>
      </c>
      <c r="N40" s="56" t="s">
        <v>65</v>
      </c>
      <c r="O40" s="1"/>
      <c r="P40" s="67" t="s">
        <v>241</v>
      </c>
      <c r="Q40" s="18"/>
      <c r="R40" s="151"/>
      <c r="S40" s="1"/>
      <c r="T40" s="62"/>
      <c r="U40" s="20"/>
      <c r="V40" s="20"/>
      <c r="W40" s="56"/>
    </row>
    <row r="41" spans="1:23" x14ac:dyDescent="0.3">
      <c r="A41" s="193">
        <v>38</v>
      </c>
      <c r="B41" s="50">
        <v>12629</v>
      </c>
      <c r="C41" s="44">
        <v>46039</v>
      </c>
      <c r="D41" s="15" t="s">
        <v>68</v>
      </c>
      <c r="E41" s="30" t="s">
        <v>115</v>
      </c>
      <c r="F41" s="33" t="s">
        <v>182</v>
      </c>
      <c r="G41" s="30" t="s">
        <v>215</v>
      </c>
      <c r="H41" s="31" t="s">
        <v>67</v>
      </c>
      <c r="I41" s="6" t="s">
        <v>222</v>
      </c>
      <c r="J41" s="28" t="s">
        <v>54</v>
      </c>
      <c r="K41" s="28" t="s">
        <v>230</v>
      </c>
      <c r="L41" s="28" t="s">
        <v>237</v>
      </c>
      <c r="M41" s="20">
        <v>13000</v>
      </c>
      <c r="N41" s="56" t="s">
        <v>65</v>
      </c>
      <c r="O41" s="1"/>
      <c r="P41" s="67" t="s">
        <v>241</v>
      </c>
      <c r="Q41" s="18"/>
      <c r="R41" s="151"/>
      <c r="S41" s="1"/>
      <c r="T41" s="62"/>
      <c r="U41" s="20"/>
      <c r="V41" s="20"/>
      <c r="W41" s="56"/>
    </row>
    <row r="42" spans="1:23" x14ac:dyDescent="0.3">
      <c r="A42" s="193">
        <v>39</v>
      </c>
      <c r="B42" s="50">
        <v>12629</v>
      </c>
      <c r="C42" s="44">
        <v>46040</v>
      </c>
      <c r="D42" s="15" t="s">
        <v>77</v>
      </c>
      <c r="E42" s="30" t="s">
        <v>116</v>
      </c>
      <c r="F42" s="33" t="s">
        <v>183</v>
      </c>
      <c r="G42" s="30" t="s">
        <v>215</v>
      </c>
      <c r="H42" s="31" t="s">
        <v>67</v>
      </c>
      <c r="I42" s="6" t="s">
        <v>223</v>
      </c>
      <c r="J42" s="28" t="s">
        <v>55</v>
      </c>
      <c r="K42" s="28" t="s">
        <v>41</v>
      </c>
      <c r="L42" s="28" t="s">
        <v>237</v>
      </c>
      <c r="M42" s="20">
        <v>454500</v>
      </c>
      <c r="N42" s="56" t="s">
        <v>65</v>
      </c>
      <c r="O42" s="1"/>
      <c r="P42" s="67" t="s">
        <v>241</v>
      </c>
      <c r="Q42" s="18"/>
      <c r="R42" s="151"/>
      <c r="S42" s="1"/>
      <c r="T42" s="62"/>
      <c r="U42" s="20"/>
      <c r="V42" s="20"/>
      <c r="W42" s="56"/>
    </row>
    <row r="43" spans="1:23" x14ac:dyDescent="0.3">
      <c r="A43" s="193">
        <v>40</v>
      </c>
      <c r="B43" s="50">
        <v>12629</v>
      </c>
      <c r="C43" s="44">
        <v>46040</v>
      </c>
      <c r="D43" s="15" t="s">
        <v>68</v>
      </c>
      <c r="E43" s="30" t="s">
        <v>117</v>
      </c>
      <c r="F43" s="6" t="s">
        <v>184</v>
      </c>
      <c r="G43" s="30" t="s">
        <v>216</v>
      </c>
      <c r="H43" s="31" t="s">
        <v>220</v>
      </c>
      <c r="I43" s="6" t="s">
        <v>224</v>
      </c>
      <c r="J43" s="28" t="s">
        <v>54</v>
      </c>
      <c r="K43" s="28" t="s">
        <v>41</v>
      </c>
      <c r="L43" s="28" t="s">
        <v>237</v>
      </c>
      <c r="M43" s="20">
        <v>3459300</v>
      </c>
      <c r="N43" s="56" t="s">
        <v>65</v>
      </c>
      <c r="O43" s="1"/>
      <c r="P43" s="67" t="s">
        <v>240</v>
      </c>
      <c r="Q43" s="24">
        <v>46054</v>
      </c>
      <c r="R43" s="151"/>
      <c r="S43" s="1"/>
      <c r="T43" s="62"/>
      <c r="U43" s="20"/>
      <c r="V43" s="20"/>
      <c r="W43" s="56"/>
    </row>
    <row r="44" spans="1:23" x14ac:dyDescent="0.3">
      <c r="A44" s="193">
        <v>41</v>
      </c>
      <c r="B44" s="50">
        <v>12629</v>
      </c>
      <c r="C44" s="44">
        <v>46044</v>
      </c>
      <c r="D44" s="15" t="s">
        <v>68</v>
      </c>
      <c r="E44" s="30" t="s">
        <v>118</v>
      </c>
      <c r="F44" s="6" t="s">
        <v>185</v>
      </c>
      <c r="G44" s="30" t="s">
        <v>216</v>
      </c>
      <c r="H44" s="31" t="s">
        <v>220</v>
      </c>
      <c r="I44" s="6" t="s">
        <v>66</v>
      </c>
      <c r="J44" s="28" t="s">
        <v>54</v>
      </c>
      <c r="K44" s="28" t="s">
        <v>231</v>
      </c>
      <c r="L44" s="28" t="s">
        <v>237</v>
      </c>
      <c r="M44" s="20">
        <v>304000</v>
      </c>
      <c r="N44" s="56" t="s">
        <v>65</v>
      </c>
      <c r="O44" s="1"/>
      <c r="P44" s="67" t="s">
        <v>240</v>
      </c>
      <c r="Q44" s="24">
        <v>46058</v>
      </c>
      <c r="R44" s="151"/>
      <c r="S44" s="1"/>
      <c r="T44" s="62"/>
      <c r="U44" s="20"/>
      <c r="V44" s="20"/>
      <c r="W44" s="56"/>
    </row>
    <row r="45" spans="1:23" x14ac:dyDescent="0.3">
      <c r="A45" s="193">
        <v>42</v>
      </c>
      <c r="B45" s="50">
        <v>12629</v>
      </c>
      <c r="C45" s="44">
        <v>46040</v>
      </c>
      <c r="D45" s="15" t="s">
        <v>68</v>
      </c>
      <c r="E45" s="30" t="s">
        <v>119</v>
      </c>
      <c r="F45" s="6" t="s">
        <v>186</v>
      </c>
      <c r="G45" s="30" t="s">
        <v>215</v>
      </c>
      <c r="H45" s="31" t="s">
        <v>67</v>
      </c>
      <c r="I45" s="6" t="s">
        <v>66</v>
      </c>
      <c r="J45" s="28" t="s">
        <v>55</v>
      </c>
      <c r="K45" s="28" t="s">
        <v>46</v>
      </c>
      <c r="L45" s="28" t="s">
        <v>237</v>
      </c>
      <c r="M45" s="20">
        <v>108500</v>
      </c>
      <c r="N45" s="56" t="s">
        <v>65</v>
      </c>
      <c r="O45" s="1"/>
      <c r="P45" s="67" t="s">
        <v>241</v>
      </c>
      <c r="Q45" s="18"/>
      <c r="R45" s="151"/>
      <c r="S45" s="1"/>
      <c r="T45" s="62"/>
      <c r="U45" s="20"/>
      <c r="V45" s="20"/>
      <c r="W45" s="56"/>
    </row>
    <row r="46" spans="1:23" x14ac:dyDescent="0.3">
      <c r="A46" s="193">
        <v>43</v>
      </c>
      <c r="B46" s="50">
        <v>12629</v>
      </c>
      <c r="C46" s="44">
        <v>46040</v>
      </c>
      <c r="D46" s="15" t="s">
        <v>68</v>
      </c>
      <c r="E46" s="30" t="s">
        <v>120</v>
      </c>
      <c r="F46" s="6" t="s">
        <v>187</v>
      </c>
      <c r="G46" s="30" t="s">
        <v>216</v>
      </c>
      <c r="H46" s="31" t="s">
        <v>67</v>
      </c>
      <c r="I46" s="6" t="s">
        <v>66</v>
      </c>
      <c r="J46" s="28" t="s">
        <v>54</v>
      </c>
      <c r="K46" s="28" t="s">
        <v>230</v>
      </c>
      <c r="L46" s="28" t="s">
        <v>239</v>
      </c>
      <c r="M46" s="20">
        <v>2543500</v>
      </c>
      <c r="N46" s="56" t="s">
        <v>65</v>
      </c>
      <c r="O46" s="1"/>
      <c r="P46" s="67" t="s">
        <v>241</v>
      </c>
      <c r="Q46" s="18"/>
      <c r="R46" s="151"/>
      <c r="S46" s="1"/>
      <c r="T46" s="62" t="s">
        <v>249</v>
      </c>
      <c r="U46" s="20" t="s">
        <v>251</v>
      </c>
      <c r="V46" s="20"/>
      <c r="W46" s="56"/>
    </row>
    <row r="47" spans="1:23" x14ac:dyDescent="0.3">
      <c r="A47" s="193">
        <v>44</v>
      </c>
      <c r="B47" s="50">
        <v>12629</v>
      </c>
      <c r="C47" s="44">
        <v>46040</v>
      </c>
      <c r="D47" s="15" t="s">
        <v>68</v>
      </c>
      <c r="E47" s="30" t="s">
        <v>121</v>
      </c>
      <c r="F47" s="6" t="s">
        <v>188</v>
      </c>
      <c r="G47" s="30" t="s">
        <v>215</v>
      </c>
      <c r="H47" s="31" t="s">
        <v>67</v>
      </c>
      <c r="I47" s="6" t="s">
        <v>66</v>
      </c>
      <c r="J47" s="28" t="s">
        <v>54</v>
      </c>
      <c r="K47" s="28" t="s">
        <v>41</v>
      </c>
      <c r="L47" s="28" t="s">
        <v>239</v>
      </c>
      <c r="M47" s="20">
        <v>63000</v>
      </c>
      <c r="N47" s="56" t="s">
        <v>65</v>
      </c>
      <c r="O47" s="1"/>
      <c r="P47" s="67" t="s">
        <v>240</v>
      </c>
      <c r="Q47" s="24">
        <v>46052</v>
      </c>
      <c r="R47" s="151"/>
      <c r="S47" s="1"/>
      <c r="T47" s="62"/>
      <c r="U47" s="20"/>
      <c r="V47" s="20"/>
      <c r="W47" s="56"/>
    </row>
    <row r="48" spans="1:23" x14ac:dyDescent="0.3">
      <c r="A48" s="193">
        <v>45</v>
      </c>
      <c r="B48" s="50">
        <v>12629</v>
      </c>
      <c r="C48" s="44">
        <v>46040</v>
      </c>
      <c r="D48" s="15" t="s">
        <v>68</v>
      </c>
      <c r="E48" s="30" t="s">
        <v>122</v>
      </c>
      <c r="F48" s="6" t="s">
        <v>189</v>
      </c>
      <c r="G48" s="30" t="s">
        <v>215</v>
      </c>
      <c r="H48" s="31" t="s">
        <v>67</v>
      </c>
      <c r="I48" s="6" t="s">
        <v>224</v>
      </c>
      <c r="J48" s="28" t="s">
        <v>54</v>
      </c>
      <c r="K48" s="28" t="s">
        <v>41</v>
      </c>
      <c r="L48" s="28" t="s">
        <v>237</v>
      </c>
      <c r="M48" s="20">
        <v>225400</v>
      </c>
      <c r="N48" s="56" t="s">
        <v>65</v>
      </c>
      <c r="O48" s="1"/>
      <c r="P48" s="67" t="s">
        <v>241</v>
      </c>
      <c r="Q48" s="18"/>
      <c r="R48" s="151"/>
      <c r="S48" s="1"/>
      <c r="T48" s="62"/>
      <c r="U48" s="20"/>
      <c r="V48" s="20"/>
      <c r="W48" s="56"/>
    </row>
    <row r="49" spans="1:23" x14ac:dyDescent="0.3">
      <c r="A49" s="193">
        <v>46</v>
      </c>
      <c r="B49" s="50">
        <v>12629</v>
      </c>
      <c r="C49" s="44">
        <v>46040</v>
      </c>
      <c r="D49" s="15" t="s">
        <v>68</v>
      </c>
      <c r="E49" s="30" t="s">
        <v>123</v>
      </c>
      <c r="F49" s="6" t="s">
        <v>190</v>
      </c>
      <c r="G49" s="30" t="s">
        <v>215</v>
      </c>
      <c r="H49" s="31" t="s">
        <v>67</v>
      </c>
      <c r="I49" s="6" t="s">
        <v>66</v>
      </c>
      <c r="J49" s="28" t="s">
        <v>58</v>
      </c>
      <c r="K49" s="28" t="s">
        <v>41</v>
      </c>
      <c r="L49" s="28" t="s">
        <v>237</v>
      </c>
      <c r="M49" s="20">
        <v>1805400</v>
      </c>
      <c r="N49" s="56" t="s">
        <v>65</v>
      </c>
      <c r="O49" s="1"/>
      <c r="P49" s="67" t="s">
        <v>241</v>
      </c>
      <c r="Q49" s="24"/>
      <c r="R49" s="151"/>
      <c r="S49" s="1"/>
      <c r="T49" s="62" t="s">
        <v>249</v>
      </c>
      <c r="U49" s="20" t="s">
        <v>251</v>
      </c>
      <c r="V49" s="20"/>
      <c r="W49" s="56"/>
    </row>
    <row r="50" spans="1:23" x14ac:dyDescent="0.3">
      <c r="A50" s="193">
        <v>47</v>
      </c>
      <c r="B50" s="50">
        <v>12629</v>
      </c>
      <c r="C50" s="44">
        <v>46040</v>
      </c>
      <c r="D50" s="15" t="s">
        <v>68</v>
      </c>
      <c r="E50" s="30" t="s">
        <v>124</v>
      </c>
      <c r="F50" s="6" t="s">
        <v>191</v>
      </c>
      <c r="G50" s="30" t="s">
        <v>215</v>
      </c>
      <c r="H50" s="31" t="s">
        <v>67</v>
      </c>
      <c r="I50" s="6" t="s">
        <v>224</v>
      </c>
      <c r="J50" s="28" t="s">
        <v>55</v>
      </c>
      <c r="K50" s="28" t="s">
        <v>41</v>
      </c>
      <c r="L50" s="28" t="s">
        <v>237</v>
      </c>
      <c r="M50" s="20">
        <v>5000</v>
      </c>
      <c r="N50" s="56" t="s">
        <v>65</v>
      </c>
      <c r="O50" s="1"/>
      <c r="P50" s="67" t="s">
        <v>240</v>
      </c>
      <c r="Q50" s="24">
        <v>46054</v>
      </c>
      <c r="R50" s="151"/>
      <c r="S50" s="1"/>
      <c r="T50" s="62"/>
      <c r="U50" s="20"/>
      <c r="V50" s="20"/>
      <c r="W50" s="56"/>
    </row>
    <row r="51" spans="1:23" x14ac:dyDescent="0.3">
      <c r="A51" s="193">
        <v>48</v>
      </c>
      <c r="B51" s="50">
        <v>12629</v>
      </c>
      <c r="C51" s="44">
        <v>46040</v>
      </c>
      <c r="D51" s="15" t="s">
        <v>68</v>
      </c>
      <c r="E51" s="30" t="s">
        <v>125</v>
      </c>
      <c r="F51" s="6" t="s">
        <v>192</v>
      </c>
      <c r="G51" s="30" t="s">
        <v>215</v>
      </c>
      <c r="H51" s="31" t="s">
        <v>67</v>
      </c>
      <c r="I51" s="6" t="s">
        <v>66</v>
      </c>
      <c r="J51" s="28" t="s">
        <v>51</v>
      </c>
      <c r="K51" s="28" t="s">
        <v>41</v>
      </c>
      <c r="L51" s="28" t="s">
        <v>237</v>
      </c>
      <c r="M51" s="20">
        <v>257000</v>
      </c>
      <c r="N51" s="56" t="s">
        <v>65</v>
      </c>
      <c r="O51" s="1"/>
      <c r="P51" s="67" t="s">
        <v>240</v>
      </c>
      <c r="Q51" s="24">
        <v>46054</v>
      </c>
      <c r="R51" s="151"/>
      <c r="S51" s="1"/>
      <c r="T51" s="62"/>
      <c r="U51" s="20"/>
      <c r="V51" s="20"/>
      <c r="W51" s="56"/>
    </row>
    <row r="52" spans="1:23" x14ac:dyDescent="0.3">
      <c r="A52" s="193">
        <v>49</v>
      </c>
      <c r="B52" s="50">
        <v>12629</v>
      </c>
      <c r="C52" s="44">
        <v>46043</v>
      </c>
      <c r="D52" s="15" t="s">
        <v>68</v>
      </c>
      <c r="E52" s="30" t="s">
        <v>126</v>
      </c>
      <c r="F52" s="6" t="s">
        <v>193</v>
      </c>
      <c r="G52" s="30" t="s">
        <v>215</v>
      </c>
      <c r="H52" s="31" t="s">
        <v>67</v>
      </c>
      <c r="I52" s="6" t="s">
        <v>224</v>
      </c>
      <c r="J52" s="28" t="s">
        <v>55</v>
      </c>
      <c r="K52" s="28" t="s">
        <v>41</v>
      </c>
      <c r="L52" s="28" t="s">
        <v>237</v>
      </c>
      <c r="M52" s="20">
        <v>197400</v>
      </c>
      <c r="N52" s="56" t="s">
        <v>65</v>
      </c>
      <c r="O52" s="1"/>
      <c r="P52" s="67" t="s">
        <v>241</v>
      </c>
      <c r="Q52" s="24"/>
      <c r="R52" s="151"/>
      <c r="S52" s="1"/>
      <c r="T52" s="62"/>
      <c r="U52" s="20"/>
      <c r="V52" s="20"/>
      <c r="W52" s="56"/>
    </row>
    <row r="53" spans="1:23" x14ac:dyDescent="0.3">
      <c r="A53" s="193">
        <v>50</v>
      </c>
      <c r="B53" s="50">
        <v>12629</v>
      </c>
      <c r="C53" s="44">
        <v>46041</v>
      </c>
      <c r="D53" s="15" t="s">
        <v>68</v>
      </c>
      <c r="E53" s="30" t="s">
        <v>127</v>
      </c>
      <c r="F53" s="6" t="s">
        <v>194</v>
      </c>
      <c r="G53" s="30" t="s">
        <v>215</v>
      </c>
      <c r="H53" s="31" t="s">
        <v>67</v>
      </c>
      <c r="I53" s="6" t="s">
        <v>66</v>
      </c>
      <c r="J53" s="28" t="s">
        <v>52</v>
      </c>
      <c r="K53" s="28" t="s">
        <v>41</v>
      </c>
      <c r="L53" s="28" t="s">
        <v>237</v>
      </c>
      <c r="M53" s="20">
        <v>107800</v>
      </c>
      <c r="N53" s="56" t="s">
        <v>65</v>
      </c>
      <c r="O53" s="1"/>
      <c r="P53" s="67" t="s">
        <v>241</v>
      </c>
      <c r="Q53" s="18"/>
      <c r="R53" s="151"/>
      <c r="S53" s="1"/>
      <c r="T53" s="62"/>
      <c r="U53" s="20"/>
      <c r="V53" s="20"/>
      <c r="W53" s="56"/>
    </row>
    <row r="54" spans="1:23" x14ac:dyDescent="0.3">
      <c r="A54" s="193">
        <v>51</v>
      </c>
      <c r="B54" s="50">
        <v>12629</v>
      </c>
      <c r="C54" s="44">
        <v>46041</v>
      </c>
      <c r="D54" s="15" t="s">
        <v>77</v>
      </c>
      <c r="E54" s="30" t="s">
        <v>128</v>
      </c>
      <c r="F54" s="6" t="s">
        <v>195</v>
      </c>
      <c r="G54" s="30" t="s">
        <v>216</v>
      </c>
      <c r="H54" s="31" t="s">
        <v>67</v>
      </c>
      <c r="I54" s="6" t="s">
        <v>66</v>
      </c>
      <c r="J54" s="28" t="s">
        <v>58</v>
      </c>
      <c r="K54" s="28" t="s">
        <v>229</v>
      </c>
      <c r="L54" s="28" t="s">
        <v>237</v>
      </c>
      <c r="M54" s="20">
        <v>518000</v>
      </c>
      <c r="N54" s="56" t="s">
        <v>65</v>
      </c>
      <c r="O54" s="1"/>
      <c r="P54" s="67" t="s">
        <v>241</v>
      </c>
      <c r="Q54" s="18"/>
      <c r="R54" s="151"/>
      <c r="S54" s="1"/>
      <c r="T54" s="62"/>
      <c r="U54" s="20"/>
      <c r="V54" s="20"/>
      <c r="W54" s="56"/>
    </row>
    <row r="55" spans="1:23" x14ac:dyDescent="0.3">
      <c r="A55" s="193">
        <v>52</v>
      </c>
      <c r="B55" s="50">
        <v>12629</v>
      </c>
      <c r="C55" s="44">
        <v>46042</v>
      </c>
      <c r="D55" s="15" t="s">
        <v>68</v>
      </c>
      <c r="E55" s="30" t="s">
        <v>129</v>
      </c>
      <c r="F55" s="6" t="s">
        <v>196</v>
      </c>
      <c r="G55" s="30" t="s">
        <v>215</v>
      </c>
      <c r="H55" s="31" t="s">
        <v>67</v>
      </c>
      <c r="I55" s="6" t="s">
        <v>224</v>
      </c>
      <c r="J55" s="28" t="s">
        <v>55</v>
      </c>
      <c r="K55" s="28" t="s">
        <v>230</v>
      </c>
      <c r="L55" s="28" t="s">
        <v>237</v>
      </c>
      <c r="M55" s="20">
        <v>125800</v>
      </c>
      <c r="N55" s="56" t="s">
        <v>65</v>
      </c>
      <c r="O55" s="1"/>
      <c r="P55" s="67" t="s">
        <v>241</v>
      </c>
      <c r="Q55" s="18"/>
      <c r="R55" s="151"/>
      <c r="S55" s="1"/>
      <c r="T55" s="62"/>
      <c r="U55" s="20"/>
      <c r="V55" s="20"/>
      <c r="W55" s="56"/>
    </row>
    <row r="56" spans="1:23" x14ac:dyDescent="0.3">
      <c r="A56" s="193">
        <v>53</v>
      </c>
      <c r="B56" s="50">
        <v>12629</v>
      </c>
      <c r="C56" s="44">
        <v>46043</v>
      </c>
      <c r="D56" s="15" t="s">
        <v>68</v>
      </c>
      <c r="E56" s="30" t="s">
        <v>130</v>
      </c>
      <c r="F56" s="6" t="s">
        <v>197</v>
      </c>
      <c r="G56" s="30" t="s">
        <v>215</v>
      </c>
      <c r="H56" s="31" t="s">
        <v>67</v>
      </c>
      <c r="I56" s="6" t="s">
        <v>222</v>
      </c>
      <c r="J56" s="28" t="s">
        <v>54</v>
      </c>
      <c r="K56" s="28" t="s">
        <v>41</v>
      </c>
      <c r="L56" s="28" t="s">
        <v>237</v>
      </c>
      <c r="M56" s="20" t="s">
        <v>235</v>
      </c>
      <c r="N56" s="56" t="s">
        <v>65</v>
      </c>
      <c r="O56" s="1"/>
      <c r="P56" s="67" t="s">
        <v>241</v>
      </c>
      <c r="Q56" s="18"/>
      <c r="R56" s="151"/>
      <c r="S56" s="1"/>
      <c r="T56" s="62"/>
      <c r="U56" s="20"/>
      <c r="V56" s="20"/>
      <c r="W56" s="56"/>
    </row>
    <row r="57" spans="1:23" x14ac:dyDescent="0.3">
      <c r="A57" s="193">
        <v>54</v>
      </c>
      <c r="B57" s="50">
        <v>12629</v>
      </c>
      <c r="C57" s="44">
        <v>46043</v>
      </c>
      <c r="D57" s="15" t="s">
        <v>68</v>
      </c>
      <c r="E57" s="30" t="s">
        <v>131</v>
      </c>
      <c r="F57" s="6" t="s">
        <v>198</v>
      </c>
      <c r="G57" s="30" t="s">
        <v>217</v>
      </c>
      <c r="H57" s="31" t="s">
        <v>67</v>
      </c>
      <c r="I57" s="6" t="s">
        <v>60</v>
      </c>
      <c r="J57" s="28" t="s">
        <v>55</v>
      </c>
      <c r="K57" s="28" t="s">
        <v>41</v>
      </c>
      <c r="L57" s="28" t="s">
        <v>237</v>
      </c>
      <c r="M57" s="20">
        <v>398900</v>
      </c>
      <c r="N57" s="56" t="s">
        <v>65</v>
      </c>
      <c r="O57" s="1"/>
      <c r="P57" s="67" t="s">
        <v>240</v>
      </c>
      <c r="Q57" s="24">
        <v>46060</v>
      </c>
      <c r="R57" s="151"/>
      <c r="S57" s="1"/>
      <c r="T57" s="62"/>
      <c r="U57" s="20"/>
      <c r="V57" s="20"/>
      <c r="W57" s="56"/>
    </row>
    <row r="58" spans="1:23" x14ac:dyDescent="0.3">
      <c r="A58" s="193">
        <v>55</v>
      </c>
      <c r="B58" s="50">
        <v>12629</v>
      </c>
      <c r="C58" s="44">
        <v>46044</v>
      </c>
      <c r="D58" s="15" t="s">
        <v>77</v>
      </c>
      <c r="E58" s="30" t="s">
        <v>132</v>
      </c>
      <c r="F58" s="6" t="s">
        <v>199</v>
      </c>
      <c r="G58" s="30" t="s">
        <v>217</v>
      </c>
      <c r="H58" s="31" t="s">
        <v>67</v>
      </c>
      <c r="I58" s="6" t="s">
        <v>60</v>
      </c>
      <c r="J58" s="28" t="s">
        <v>54</v>
      </c>
      <c r="K58" s="28" t="s">
        <v>41</v>
      </c>
      <c r="L58" s="28" t="s">
        <v>237</v>
      </c>
      <c r="M58" s="20">
        <v>170000</v>
      </c>
      <c r="N58" s="56" t="s">
        <v>65</v>
      </c>
      <c r="O58" s="1"/>
      <c r="P58" s="67" t="s">
        <v>241</v>
      </c>
      <c r="Q58" s="18"/>
      <c r="R58" s="151"/>
      <c r="S58" s="1"/>
      <c r="T58" s="62" t="s">
        <v>249</v>
      </c>
      <c r="U58" s="20" t="s">
        <v>251</v>
      </c>
      <c r="V58" s="20"/>
      <c r="W58" s="56"/>
    </row>
    <row r="59" spans="1:23" x14ac:dyDescent="0.3">
      <c r="A59" s="193">
        <v>56</v>
      </c>
      <c r="B59" s="50">
        <v>12629</v>
      </c>
      <c r="C59" s="44">
        <v>46047</v>
      </c>
      <c r="D59" s="15" t="s">
        <v>68</v>
      </c>
      <c r="E59" s="30" t="s">
        <v>133</v>
      </c>
      <c r="F59" s="6" t="s">
        <v>200</v>
      </c>
      <c r="G59" s="30" t="s">
        <v>217</v>
      </c>
      <c r="H59" s="31" t="s">
        <v>67</v>
      </c>
      <c r="I59" s="6" t="s">
        <v>58</v>
      </c>
      <c r="J59" s="28" t="s">
        <v>54</v>
      </c>
      <c r="K59" s="28" t="s">
        <v>41</v>
      </c>
      <c r="L59" s="28" t="s">
        <v>237</v>
      </c>
      <c r="M59" s="20">
        <v>0</v>
      </c>
      <c r="N59" s="56" t="s">
        <v>65</v>
      </c>
      <c r="O59" s="1"/>
      <c r="P59" s="67" t="s">
        <v>241</v>
      </c>
      <c r="Q59" s="18"/>
      <c r="R59" s="151"/>
      <c r="S59" s="1"/>
      <c r="T59" s="62" t="s">
        <v>249</v>
      </c>
      <c r="U59" s="20" t="s">
        <v>251</v>
      </c>
      <c r="V59" s="20"/>
      <c r="W59" s="56"/>
    </row>
    <row r="60" spans="1:23" x14ac:dyDescent="0.3">
      <c r="A60" s="193">
        <v>57</v>
      </c>
      <c r="B60" s="50">
        <v>12629</v>
      </c>
      <c r="C60" s="44">
        <v>46047</v>
      </c>
      <c r="D60" s="15" t="s">
        <v>68</v>
      </c>
      <c r="E60" s="30" t="s">
        <v>134</v>
      </c>
      <c r="F60" s="6" t="s">
        <v>201</v>
      </c>
      <c r="G60" s="30" t="s">
        <v>218</v>
      </c>
      <c r="H60" s="31" t="s">
        <v>219</v>
      </c>
      <c r="I60" s="6" t="s">
        <v>225</v>
      </c>
      <c r="J60" s="28" t="s">
        <v>54</v>
      </c>
      <c r="K60" s="28" t="s">
        <v>41</v>
      </c>
      <c r="L60" s="28" t="s">
        <v>237</v>
      </c>
      <c r="M60" s="20">
        <v>835800</v>
      </c>
      <c r="N60" s="56" t="s">
        <v>65</v>
      </c>
      <c r="O60" s="1"/>
      <c r="P60" s="67" t="s">
        <v>241</v>
      </c>
      <c r="Q60" s="18"/>
      <c r="R60" s="151"/>
      <c r="S60" s="1"/>
      <c r="T60" s="62" t="s">
        <v>249</v>
      </c>
      <c r="U60" s="20" t="s">
        <v>251</v>
      </c>
      <c r="V60" s="20"/>
      <c r="W60" s="56"/>
    </row>
    <row r="61" spans="1:23" x14ac:dyDescent="0.3">
      <c r="A61" s="193">
        <v>58</v>
      </c>
      <c r="B61" s="50">
        <v>12629</v>
      </c>
      <c r="C61" s="44">
        <v>46047</v>
      </c>
      <c r="D61" s="15" t="s">
        <v>68</v>
      </c>
      <c r="E61" s="30" t="s">
        <v>135</v>
      </c>
      <c r="F61" s="6" t="s">
        <v>202</v>
      </c>
      <c r="G61" s="30" t="s">
        <v>217</v>
      </c>
      <c r="H61" s="31" t="s">
        <v>219</v>
      </c>
      <c r="I61" s="6" t="s">
        <v>62</v>
      </c>
      <c r="J61" s="28" t="s">
        <v>49</v>
      </c>
      <c r="K61" s="28" t="s">
        <v>41</v>
      </c>
      <c r="L61" s="28" t="s">
        <v>237</v>
      </c>
      <c r="M61" s="20">
        <v>50000</v>
      </c>
      <c r="N61" s="56" t="s">
        <v>65</v>
      </c>
      <c r="O61" s="1"/>
      <c r="P61" s="67" t="s">
        <v>241</v>
      </c>
      <c r="Q61" s="18"/>
      <c r="R61" s="151"/>
      <c r="S61" s="1"/>
      <c r="T61" s="62" t="s">
        <v>249</v>
      </c>
      <c r="U61" s="20" t="s">
        <v>251</v>
      </c>
      <c r="V61" s="20"/>
      <c r="W61" s="56"/>
    </row>
    <row r="62" spans="1:23" x14ac:dyDescent="0.3">
      <c r="A62" s="193">
        <v>59</v>
      </c>
      <c r="B62" s="50">
        <v>12629</v>
      </c>
      <c r="C62" s="44">
        <v>46048</v>
      </c>
      <c r="D62" s="15" t="s">
        <v>68</v>
      </c>
      <c r="E62" s="30" t="s">
        <v>136</v>
      </c>
      <c r="F62" s="6" t="s">
        <v>203</v>
      </c>
      <c r="G62" s="30" t="s">
        <v>217</v>
      </c>
      <c r="H62" s="31" t="s">
        <v>219</v>
      </c>
      <c r="I62" s="6" t="s">
        <v>62</v>
      </c>
      <c r="J62" s="28" t="s">
        <v>55</v>
      </c>
      <c r="K62" s="28" t="s">
        <v>41</v>
      </c>
      <c r="L62" s="28" t="s">
        <v>237</v>
      </c>
      <c r="M62" s="20">
        <v>159700</v>
      </c>
      <c r="N62" s="56" t="s">
        <v>65</v>
      </c>
      <c r="O62" s="1"/>
      <c r="P62" s="67" t="s">
        <v>240</v>
      </c>
      <c r="Q62" s="18" t="s">
        <v>244</v>
      </c>
      <c r="R62" s="151"/>
      <c r="S62" s="1"/>
      <c r="T62" s="62" t="s">
        <v>249</v>
      </c>
      <c r="U62" s="20" t="s">
        <v>251</v>
      </c>
      <c r="V62" s="20"/>
      <c r="W62" s="56"/>
    </row>
    <row r="63" spans="1:23" x14ac:dyDescent="0.3">
      <c r="A63" s="193">
        <v>60</v>
      </c>
      <c r="B63" s="50">
        <v>12629</v>
      </c>
      <c r="C63" s="44">
        <v>46048</v>
      </c>
      <c r="D63" s="15" t="s">
        <v>68</v>
      </c>
      <c r="E63" s="30" t="s">
        <v>137</v>
      </c>
      <c r="F63" s="6" t="s">
        <v>204</v>
      </c>
      <c r="G63" s="30" t="s">
        <v>217</v>
      </c>
      <c r="H63" s="31" t="s">
        <v>219</v>
      </c>
      <c r="I63" s="6" t="s">
        <v>60</v>
      </c>
      <c r="J63" s="28" t="s">
        <v>56</v>
      </c>
      <c r="K63" s="28" t="s">
        <v>41</v>
      </c>
      <c r="L63" s="28" t="s">
        <v>237</v>
      </c>
      <c r="M63" s="20">
        <v>73000</v>
      </c>
      <c r="N63" s="56" t="s">
        <v>65</v>
      </c>
      <c r="O63" s="1"/>
      <c r="P63" s="67" t="s">
        <v>241</v>
      </c>
      <c r="Q63" s="18"/>
      <c r="R63" s="151"/>
      <c r="S63" s="1"/>
      <c r="T63" s="62" t="s">
        <v>249</v>
      </c>
      <c r="U63" s="20" t="s">
        <v>251</v>
      </c>
      <c r="V63" s="20"/>
      <c r="W63" s="56"/>
    </row>
    <row r="64" spans="1:23" x14ac:dyDescent="0.3">
      <c r="A64" s="193">
        <v>61</v>
      </c>
      <c r="B64" s="50">
        <v>12629</v>
      </c>
      <c r="C64" s="44">
        <v>46048</v>
      </c>
      <c r="D64" s="15" t="s">
        <v>68</v>
      </c>
      <c r="E64" s="30" t="s">
        <v>138</v>
      </c>
      <c r="F64" s="6" t="s">
        <v>205</v>
      </c>
      <c r="G64" s="30" t="s">
        <v>217</v>
      </c>
      <c r="H64" s="31" t="s">
        <v>219</v>
      </c>
      <c r="I64" s="6" t="s">
        <v>60</v>
      </c>
      <c r="J64" s="28" t="s">
        <v>54</v>
      </c>
      <c r="K64" s="28" t="s">
        <v>41</v>
      </c>
      <c r="L64" s="28" t="s">
        <v>237</v>
      </c>
      <c r="M64" s="20">
        <v>397000</v>
      </c>
      <c r="N64" s="56" t="s">
        <v>65</v>
      </c>
      <c r="O64" s="1"/>
      <c r="P64" s="67" t="s">
        <v>241</v>
      </c>
      <c r="Q64" s="18"/>
      <c r="R64" s="151"/>
      <c r="S64" s="1"/>
      <c r="T64" s="62" t="s">
        <v>249</v>
      </c>
      <c r="U64" s="20" t="s">
        <v>251</v>
      </c>
      <c r="V64" s="20"/>
      <c r="W64" s="56"/>
    </row>
    <row r="65" spans="1:23" x14ac:dyDescent="0.3">
      <c r="A65" s="193">
        <v>62</v>
      </c>
      <c r="B65" s="50">
        <v>12629</v>
      </c>
      <c r="C65" s="44">
        <v>46048</v>
      </c>
      <c r="D65" s="15" t="s">
        <v>68</v>
      </c>
      <c r="E65" s="30" t="s">
        <v>139</v>
      </c>
      <c r="F65" s="6" t="s">
        <v>206</v>
      </c>
      <c r="G65" s="30" t="s">
        <v>218</v>
      </c>
      <c r="H65" s="31" t="s">
        <v>220</v>
      </c>
      <c r="I65" s="6" t="s">
        <v>60</v>
      </c>
      <c r="J65" s="28" t="s">
        <v>54</v>
      </c>
      <c r="K65" s="28" t="s">
        <v>41</v>
      </c>
      <c r="L65" s="28" t="s">
        <v>237</v>
      </c>
      <c r="M65" s="20">
        <v>113000</v>
      </c>
      <c r="N65" s="56" t="s">
        <v>65</v>
      </c>
      <c r="O65" s="1"/>
      <c r="P65" s="67" t="s">
        <v>240</v>
      </c>
      <c r="Q65" s="18" t="s">
        <v>245</v>
      </c>
      <c r="R65" s="151"/>
      <c r="S65" s="1"/>
      <c r="T65" s="62" t="s">
        <v>249</v>
      </c>
      <c r="U65" s="20" t="s">
        <v>251</v>
      </c>
      <c r="V65" s="20" t="s">
        <v>252</v>
      </c>
      <c r="W65" s="56" t="s">
        <v>251</v>
      </c>
    </row>
    <row r="66" spans="1:23" x14ac:dyDescent="0.3">
      <c r="A66" s="193">
        <v>63</v>
      </c>
      <c r="B66" s="50">
        <v>12629</v>
      </c>
      <c r="C66" s="46" t="s">
        <v>75</v>
      </c>
      <c r="D66" s="15" t="s">
        <v>68</v>
      </c>
      <c r="E66" s="34" t="s">
        <v>140</v>
      </c>
      <c r="F66" s="34" t="s">
        <v>207</v>
      </c>
      <c r="G66" s="34" t="s">
        <v>218</v>
      </c>
      <c r="H66" s="35" t="s">
        <v>67</v>
      </c>
      <c r="I66" s="34" t="s">
        <v>224</v>
      </c>
      <c r="J66" s="36" t="s">
        <v>227</v>
      </c>
      <c r="K66" s="36" t="s">
        <v>232</v>
      </c>
      <c r="L66" s="36" t="s">
        <v>237</v>
      </c>
      <c r="M66" s="37">
        <v>200000</v>
      </c>
      <c r="N66" s="56" t="s">
        <v>233</v>
      </c>
      <c r="O66" s="1"/>
      <c r="P66" s="69" t="s">
        <v>241</v>
      </c>
      <c r="Q66" s="25" t="s">
        <v>246</v>
      </c>
      <c r="R66" s="151"/>
      <c r="S66" s="1"/>
      <c r="T66" s="62"/>
      <c r="U66" s="20"/>
      <c r="V66" s="20"/>
      <c r="W66" s="56"/>
    </row>
    <row r="67" spans="1:23" x14ac:dyDescent="0.3">
      <c r="A67" s="193">
        <v>64</v>
      </c>
      <c r="B67" s="50">
        <v>12629</v>
      </c>
      <c r="C67" s="44">
        <v>46050</v>
      </c>
      <c r="D67" s="15" t="s">
        <v>68</v>
      </c>
      <c r="E67" s="30" t="s">
        <v>141</v>
      </c>
      <c r="F67" s="6" t="s">
        <v>179</v>
      </c>
      <c r="G67" s="30" t="s">
        <v>218</v>
      </c>
      <c r="H67" s="31" t="s">
        <v>219</v>
      </c>
      <c r="I67" s="6" t="s">
        <v>60</v>
      </c>
      <c r="J67" s="28" t="s">
        <v>54</v>
      </c>
      <c r="K67" s="28" t="s">
        <v>230</v>
      </c>
      <c r="L67" s="28" t="s">
        <v>238</v>
      </c>
      <c r="M67" s="20">
        <v>89000</v>
      </c>
      <c r="N67" s="56" t="s">
        <v>234</v>
      </c>
      <c r="O67" s="1"/>
      <c r="P67" s="67" t="s">
        <v>241</v>
      </c>
      <c r="Q67" s="18"/>
      <c r="R67" s="151"/>
      <c r="S67" s="1"/>
      <c r="T67" s="62" t="s">
        <v>249</v>
      </c>
      <c r="U67" s="20" t="s">
        <v>251</v>
      </c>
      <c r="V67" s="20"/>
      <c r="W67" s="56"/>
    </row>
    <row r="68" spans="1:23" x14ac:dyDescent="0.3">
      <c r="A68" s="193">
        <v>65</v>
      </c>
      <c r="B68" s="50">
        <v>12629</v>
      </c>
      <c r="C68" s="47" t="s">
        <v>76</v>
      </c>
      <c r="D68" s="15" t="s">
        <v>68</v>
      </c>
      <c r="E68" s="30" t="s">
        <v>142</v>
      </c>
      <c r="F68" s="6" t="s">
        <v>208</v>
      </c>
      <c r="G68" s="30" t="s">
        <v>217</v>
      </c>
      <c r="H68" s="31" t="s">
        <v>219</v>
      </c>
      <c r="I68" s="6" t="s">
        <v>62</v>
      </c>
      <c r="J68" s="28" t="s">
        <v>228</v>
      </c>
      <c r="K68" s="28" t="s">
        <v>232</v>
      </c>
      <c r="L68" s="28" t="s">
        <v>237</v>
      </c>
      <c r="M68" s="20">
        <v>284100</v>
      </c>
      <c r="N68" s="56" t="s">
        <v>65</v>
      </c>
      <c r="O68" s="1"/>
      <c r="P68" s="67" t="s">
        <v>241</v>
      </c>
      <c r="Q68" s="18"/>
      <c r="R68" s="151"/>
      <c r="S68" s="1"/>
      <c r="T68" s="62" t="s">
        <v>249</v>
      </c>
      <c r="U68" s="20" t="s">
        <v>251</v>
      </c>
      <c r="V68" s="20"/>
      <c r="W68" s="56"/>
    </row>
    <row r="69" spans="1:23" x14ac:dyDescent="0.3">
      <c r="A69" s="193">
        <v>66</v>
      </c>
      <c r="B69" s="50">
        <v>12629</v>
      </c>
      <c r="C69" s="44">
        <v>46051</v>
      </c>
      <c r="D69" s="15" t="s">
        <v>68</v>
      </c>
      <c r="E69" s="30" t="s">
        <v>143</v>
      </c>
      <c r="F69" s="6" t="s">
        <v>209</v>
      </c>
      <c r="G69" s="30" t="s">
        <v>217</v>
      </c>
      <c r="H69" s="31" t="s">
        <v>219</v>
      </c>
      <c r="I69" s="6" t="s">
        <v>62</v>
      </c>
      <c r="J69" s="28" t="s">
        <v>54</v>
      </c>
      <c r="K69" s="28" t="s">
        <v>230</v>
      </c>
      <c r="L69" s="28" t="s">
        <v>237</v>
      </c>
      <c r="M69" s="20">
        <v>291600</v>
      </c>
      <c r="N69" s="56" t="s">
        <v>234</v>
      </c>
      <c r="O69" s="1"/>
      <c r="P69" s="67" t="s">
        <v>242</v>
      </c>
      <c r="Q69" s="18"/>
      <c r="R69" s="151"/>
      <c r="S69" s="1"/>
      <c r="T69" s="62"/>
      <c r="U69" s="20"/>
      <c r="V69" s="20"/>
      <c r="W69" s="56"/>
    </row>
    <row r="70" spans="1:23" x14ac:dyDescent="0.3">
      <c r="A70" s="193">
        <v>67</v>
      </c>
      <c r="B70" s="50">
        <v>12629</v>
      </c>
      <c r="C70" s="44">
        <v>46051</v>
      </c>
      <c r="D70" s="15" t="s">
        <v>77</v>
      </c>
      <c r="E70" s="30" t="s">
        <v>144</v>
      </c>
      <c r="F70" s="6" t="s">
        <v>210</v>
      </c>
      <c r="G70" s="30" t="s">
        <v>218</v>
      </c>
      <c r="H70" s="31" t="s">
        <v>221</v>
      </c>
      <c r="I70" s="6" t="s">
        <v>60</v>
      </c>
      <c r="J70" s="28" t="s">
        <v>53</v>
      </c>
      <c r="K70" s="28" t="s">
        <v>41</v>
      </c>
      <c r="L70" s="28" t="s">
        <v>237</v>
      </c>
      <c r="M70" s="20" t="s">
        <v>236</v>
      </c>
      <c r="N70" s="56" t="s">
        <v>234</v>
      </c>
      <c r="O70" s="1"/>
      <c r="P70" s="67"/>
      <c r="Q70" s="18" t="s">
        <v>236</v>
      </c>
      <c r="R70" s="151"/>
      <c r="S70" s="1"/>
      <c r="T70" s="62"/>
      <c r="U70" s="20"/>
      <c r="V70" s="20"/>
      <c r="W70" s="56"/>
    </row>
    <row r="71" spans="1:23" x14ac:dyDescent="0.3">
      <c r="A71" s="193">
        <v>68</v>
      </c>
      <c r="B71" s="50">
        <v>12629</v>
      </c>
      <c r="C71" s="44">
        <v>46052</v>
      </c>
      <c r="D71" s="15" t="s">
        <v>68</v>
      </c>
      <c r="E71" s="30" t="s">
        <v>145</v>
      </c>
      <c r="F71" s="6" t="s">
        <v>211</v>
      </c>
      <c r="G71" s="30" t="s">
        <v>217</v>
      </c>
      <c r="H71" s="31" t="s">
        <v>219</v>
      </c>
      <c r="I71" s="6" t="s">
        <v>58</v>
      </c>
      <c r="J71" s="28" t="s">
        <v>52</v>
      </c>
      <c r="K71" s="28" t="s">
        <v>41</v>
      </c>
      <c r="L71" s="28" t="s">
        <v>237</v>
      </c>
      <c r="M71" s="20">
        <v>401000</v>
      </c>
      <c r="N71" s="56" t="s">
        <v>234</v>
      </c>
      <c r="O71" s="1"/>
      <c r="P71" s="67"/>
      <c r="Q71" s="18" t="s">
        <v>247</v>
      </c>
      <c r="R71" s="151"/>
      <c r="S71" s="1"/>
      <c r="T71" s="62"/>
      <c r="U71" s="20"/>
      <c r="V71" s="20"/>
      <c r="W71" s="56"/>
    </row>
    <row r="72" spans="1:23" x14ac:dyDescent="0.3">
      <c r="A72" s="193">
        <v>69</v>
      </c>
      <c r="B72" s="50">
        <v>12629</v>
      </c>
      <c r="C72" s="44">
        <v>46052</v>
      </c>
      <c r="D72" s="15" t="s">
        <v>68</v>
      </c>
      <c r="E72" s="30" t="s">
        <v>146</v>
      </c>
      <c r="F72" s="6" t="s">
        <v>212</v>
      </c>
      <c r="G72" s="30" t="s">
        <v>217</v>
      </c>
      <c r="H72" s="31" t="s">
        <v>219</v>
      </c>
      <c r="I72" s="6" t="s">
        <v>60</v>
      </c>
      <c r="J72" s="28" t="s">
        <v>52</v>
      </c>
      <c r="K72" s="28" t="s">
        <v>41</v>
      </c>
      <c r="L72" s="28" t="s">
        <v>237</v>
      </c>
      <c r="M72" s="20">
        <v>158500</v>
      </c>
      <c r="N72" s="56" t="s">
        <v>234</v>
      </c>
      <c r="O72" s="1"/>
      <c r="P72" s="67" t="s">
        <v>240</v>
      </c>
      <c r="Q72" s="24">
        <v>46055</v>
      </c>
      <c r="R72" s="151"/>
      <c r="S72" s="1"/>
      <c r="T72" s="62" t="s">
        <v>249</v>
      </c>
      <c r="U72" s="20" t="s">
        <v>251</v>
      </c>
      <c r="V72" s="20"/>
      <c r="W72" s="56"/>
    </row>
    <row r="73" spans="1:23" x14ac:dyDescent="0.3">
      <c r="A73" s="193">
        <v>70</v>
      </c>
      <c r="B73" s="50">
        <v>12629</v>
      </c>
      <c r="C73" s="44">
        <v>46053</v>
      </c>
      <c r="D73" s="15" t="s">
        <v>77</v>
      </c>
      <c r="E73" s="30" t="s">
        <v>147</v>
      </c>
      <c r="F73" s="6" t="s">
        <v>213</v>
      </c>
      <c r="G73" s="30" t="s">
        <v>217</v>
      </c>
      <c r="H73" s="31" t="s">
        <v>219</v>
      </c>
      <c r="I73" s="6" t="s">
        <v>60</v>
      </c>
      <c r="J73" s="28" t="s">
        <v>54</v>
      </c>
      <c r="K73" s="28" t="s">
        <v>41</v>
      </c>
      <c r="L73" s="28" t="s">
        <v>237</v>
      </c>
      <c r="M73" s="20" t="s">
        <v>236</v>
      </c>
      <c r="N73" s="56" t="s">
        <v>234</v>
      </c>
      <c r="O73" s="1"/>
      <c r="P73" s="67"/>
      <c r="Q73" s="18"/>
      <c r="R73" s="151"/>
      <c r="S73" s="1"/>
      <c r="T73" s="62"/>
      <c r="U73" s="20"/>
      <c r="V73" s="20"/>
      <c r="W73" s="56"/>
    </row>
    <row r="74" spans="1:23" x14ac:dyDescent="0.3">
      <c r="A74" s="193">
        <v>71</v>
      </c>
      <c r="B74" s="50">
        <v>12629</v>
      </c>
      <c r="C74" s="44">
        <v>46053</v>
      </c>
      <c r="D74" s="15" t="s">
        <v>77</v>
      </c>
      <c r="E74" s="30" t="s">
        <v>148</v>
      </c>
      <c r="F74" s="6" t="s">
        <v>214</v>
      </c>
      <c r="G74" s="30" t="s">
        <v>217</v>
      </c>
      <c r="H74" s="31" t="s">
        <v>219</v>
      </c>
      <c r="I74" s="6" t="s">
        <v>60</v>
      </c>
      <c r="J74" s="28" t="s">
        <v>52</v>
      </c>
      <c r="K74" s="28" t="s">
        <v>41</v>
      </c>
      <c r="L74" s="28" t="s">
        <v>237</v>
      </c>
      <c r="M74" s="20">
        <v>129000</v>
      </c>
      <c r="N74" s="56" t="s">
        <v>234</v>
      </c>
      <c r="O74" s="1"/>
      <c r="P74" s="67"/>
      <c r="Q74" s="18" t="s">
        <v>247</v>
      </c>
      <c r="R74" s="151"/>
      <c r="S74" s="1"/>
      <c r="T74" s="62"/>
      <c r="U74" s="20"/>
      <c r="V74" s="20"/>
      <c r="W74" s="56"/>
    </row>
    <row r="75" spans="1:23" x14ac:dyDescent="0.3">
      <c r="A75" s="193">
        <v>72</v>
      </c>
      <c r="B75" s="52"/>
      <c r="C75" s="48"/>
      <c r="D75" s="3"/>
      <c r="E75" s="3"/>
      <c r="F75" s="3"/>
      <c r="G75" s="3"/>
      <c r="H75" s="3"/>
      <c r="I75" s="3"/>
      <c r="J75" s="3"/>
      <c r="K75" s="3"/>
      <c r="L75" s="3"/>
      <c r="M75" s="3"/>
      <c r="N75" s="58"/>
      <c r="O75" s="1"/>
      <c r="P75" s="70"/>
      <c r="Q75" s="3"/>
      <c r="R75" s="151"/>
      <c r="S75" s="1"/>
      <c r="T75" s="70"/>
      <c r="U75" s="3"/>
      <c r="V75" s="15"/>
      <c r="W75" s="58"/>
    </row>
    <row r="76" spans="1:23" x14ac:dyDescent="0.3">
      <c r="A76" s="193">
        <v>73</v>
      </c>
      <c r="B76" s="52"/>
      <c r="C76" s="48"/>
      <c r="D76" s="3"/>
      <c r="E76" s="3"/>
      <c r="F76" s="3"/>
      <c r="G76" s="3"/>
      <c r="H76" s="3"/>
      <c r="I76" s="3"/>
      <c r="J76" s="3"/>
      <c r="K76" s="3"/>
      <c r="L76" s="3"/>
      <c r="M76" s="3"/>
      <c r="N76" s="58"/>
      <c r="O76" s="1"/>
      <c r="P76" s="70"/>
      <c r="Q76" s="3"/>
      <c r="R76" s="151"/>
      <c r="S76" s="1"/>
      <c r="T76" s="70"/>
      <c r="U76" s="3"/>
      <c r="V76" s="15"/>
      <c r="W76" s="58"/>
    </row>
    <row r="77" spans="1:23" x14ac:dyDescent="0.3">
      <c r="A77" s="193">
        <v>74</v>
      </c>
      <c r="B77" s="52"/>
      <c r="C77" s="48"/>
      <c r="D77" s="3"/>
      <c r="E77" s="3"/>
      <c r="F77" s="3"/>
      <c r="G77" s="3"/>
      <c r="H77" s="3"/>
      <c r="I77" s="3"/>
      <c r="J77" s="3"/>
      <c r="K77" s="3"/>
      <c r="L77" s="3"/>
      <c r="M77" s="3"/>
      <c r="N77" s="58"/>
      <c r="O77" s="1"/>
      <c r="P77" s="70"/>
      <c r="Q77" s="3"/>
      <c r="R77" s="151"/>
      <c r="S77" s="1"/>
      <c r="T77" s="70"/>
      <c r="U77" s="3"/>
      <c r="V77" s="15"/>
      <c r="W77" s="58"/>
    </row>
    <row r="78" spans="1:23" x14ac:dyDescent="0.3">
      <c r="A78" s="193">
        <v>75</v>
      </c>
      <c r="B78" s="52"/>
      <c r="C78" s="48"/>
      <c r="D78" s="3"/>
      <c r="E78" s="3"/>
      <c r="F78" s="3"/>
      <c r="G78" s="3"/>
      <c r="H78" s="3"/>
      <c r="I78" s="3"/>
      <c r="J78" s="3"/>
      <c r="K78" s="3"/>
      <c r="L78" s="3"/>
      <c r="M78" s="3"/>
      <c r="N78" s="58"/>
      <c r="O78" s="1"/>
      <c r="P78" s="70"/>
      <c r="Q78" s="3"/>
      <c r="R78" s="151"/>
      <c r="S78" s="1"/>
      <c r="T78" s="70"/>
      <c r="U78" s="3"/>
      <c r="V78" s="15"/>
      <c r="W78" s="58"/>
    </row>
    <row r="79" spans="1:23" x14ac:dyDescent="0.3">
      <c r="A79" s="193">
        <v>76</v>
      </c>
      <c r="B79" s="52"/>
      <c r="C79" s="48"/>
      <c r="D79" s="3"/>
      <c r="E79" s="3"/>
      <c r="F79" s="3"/>
      <c r="G79" s="3"/>
      <c r="H79" s="3"/>
      <c r="I79" s="3"/>
      <c r="J79" s="3"/>
      <c r="K79" s="3"/>
      <c r="L79" s="3"/>
      <c r="M79" s="3"/>
      <c r="N79" s="58"/>
      <c r="O79" s="1"/>
      <c r="P79" s="70"/>
      <c r="Q79" s="3"/>
      <c r="R79" s="151"/>
      <c r="S79" s="1"/>
      <c r="T79" s="70"/>
      <c r="U79" s="3"/>
      <c r="V79" s="15"/>
      <c r="W79" s="58"/>
    </row>
    <row r="80" spans="1:23" x14ac:dyDescent="0.3">
      <c r="A80" s="193">
        <v>77</v>
      </c>
      <c r="B80" s="52"/>
      <c r="C80" s="48"/>
      <c r="D80" s="3"/>
      <c r="E80" s="3"/>
      <c r="F80" s="3"/>
      <c r="G80" s="3"/>
      <c r="H80" s="3"/>
      <c r="I80" s="3"/>
      <c r="J80" s="3"/>
      <c r="K80" s="3"/>
      <c r="L80" s="3"/>
      <c r="M80" s="3"/>
      <c r="N80" s="58"/>
      <c r="O80" s="1"/>
      <c r="P80" s="70"/>
      <c r="Q80" s="3"/>
      <c r="R80" s="151"/>
      <c r="S80" s="1"/>
      <c r="T80" s="70"/>
      <c r="U80" s="3"/>
      <c r="V80" s="15"/>
      <c r="W80" s="58"/>
    </row>
    <row r="81" spans="1:23" x14ac:dyDescent="0.3">
      <c r="A81" s="193">
        <v>78</v>
      </c>
      <c r="B81" s="52"/>
      <c r="C81" s="48"/>
      <c r="D81" s="3"/>
      <c r="E81" s="3"/>
      <c r="F81" s="3"/>
      <c r="G81" s="3"/>
      <c r="H81" s="3"/>
      <c r="I81" s="3"/>
      <c r="J81" s="3"/>
      <c r="K81" s="3"/>
      <c r="L81" s="3"/>
      <c r="M81" s="3"/>
      <c r="N81" s="58"/>
      <c r="O81" s="1"/>
      <c r="P81" s="70"/>
      <c r="Q81" s="3"/>
      <c r="R81" s="151"/>
      <c r="S81" s="1"/>
      <c r="T81" s="70"/>
      <c r="U81" s="3"/>
      <c r="V81" s="15"/>
      <c r="W81" s="58"/>
    </row>
    <row r="82" spans="1:23" x14ac:dyDescent="0.3">
      <c r="A82" s="193">
        <v>79</v>
      </c>
      <c r="B82" s="52"/>
      <c r="C82" s="48"/>
      <c r="D82" s="3"/>
      <c r="E82" s="3"/>
      <c r="F82" s="3"/>
      <c r="G82" s="3"/>
      <c r="H82" s="3"/>
      <c r="I82" s="3"/>
      <c r="J82" s="3"/>
      <c r="K82" s="3"/>
      <c r="L82" s="3"/>
      <c r="M82" s="3"/>
      <c r="N82" s="58"/>
      <c r="O82" s="1"/>
      <c r="P82" s="70"/>
      <c r="Q82" s="3"/>
      <c r="R82" s="151"/>
      <c r="S82" s="1"/>
      <c r="T82" s="70"/>
      <c r="U82" s="3"/>
      <c r="V82" s="15"/>
      <c r="W82" s="58"/>
    </row>
    <row r="83" spans="1:23" x14ac:dyDescent="0.3">
      <c r="A83" s="193">
        <v>80</v>
      </c>
      <c r="B83" s="52"/>
      <c r="C83" s="48"/>
      <c r="D83" s="3"/>
      <c r="E83" s="3"/>
      <c r="F83" s="3"/>
      <c r="G83" s="3"/>
      <c r="H83" s="3"/>
      <c r="I83" s="3"/>
      <c r="J83" s="3"/>
      <c r="K83" s="3"/>
      <c r="L83" s="3"/>
      <c r="M83" s="3"/>
      <c r="N83" s="58"/>
      <c r="O83" s="1"/>
      <c r="P83" s="70"/>
      <c r="Q83" s="3"/>
      <c r="R83" s="151"/>
      <c r="S83" s="1"/>
      <c r="T83" s="70"/>
      <c r="U83" s="3"/>
      <c r="V83" s="15"/>
      <c r="W83" s="58"/>
    </row>
    <row r="84" spans="1:23" x14ac:dyDescent="0.3">
      <c r="A84" s="193">
        <v>81</v>
      </c>
      <c r="B84" s="52"/>
      <c r="C84" s="48"/>
      <c r="D84" s="3"/>
      <c r="E84" s="3"/>
      <c r="F84" s="3"/>
      <c r="G84" s="3"/>
      <c r="H84" s="3"/>
      <c r="I84" s="3"/>
      <c r="J84" s="3"/>
      <c r="K84" s="3"/>
      <c r="L84" s="3"/>
      <c r="M84" s="3"/>
      <c r="N84" s="58"/>
      <c r="O84" s="1"/>
      <c r="P84" s="70"/>
      <c r="Q84" s="3"/>
      <c r="R84" s="151"/>
      <c r="S84" s="1"/>
      <c r="T84" s="70"/>
      <c r="U84" s="3"/>
      <c r="V84" s="15"/>
      <c r="W84" s="58"/>
    </row>
    <row r="85" spans="1:23" x14ac:dyDescent="0.3">
      <c r="A85" s="193">
        <v>82</v>
      </c>
      <c r="B85" s="52"/>
      <c r="C85" s="48"/>
      <c r="D85" s="3"/>
      <c r="E85" s="3"/>
      <c r="F85" s="3"/>
      <c r="G85" s="3"/>
      <c r="H85" s="3"/>
      <c r="I85" s="3"/>
      <c r="J85" s="3"/>
      <c r="K85" s="3"/>
      <c r="L85" s="3"/>
      <c r="M85" s="3"/>
      <c r="N85" s="58"/>
      <c r="O85" s="1"/>
      <c r="P85" s="70"/>
      <c r="Q85" s="3"/>
      <c r="R85" s="151"/>
      <c r="S85" s="1"/>
      <c r="T85" s="70"/>
      <c r="U85" s="3"/>
      <c r="V85" s="15"/>
      <c r="W85" s="58"/>
    </row>
    <row r="86" spans="1:23" x14ac:dyDescent="0.3">
      <c r="A86" s="193">
        <v>83</v>
      </c>
      <c r="B86" s="52"/>
      <c r="C86" s="48"/>
      <c r="D86" s="3"/>
      <c r="E86" s="3"/>
      <c r="F86" s="3"/>
      <c r="G86" s="3"/>
      <c r="H86" s="3"/>
      <c r="I86" s="3"/>
      <c r="J86" s="3"/>
      <c r="K86" s="3"/>
      <c r="L86" s="3"/>
      <c r="M86" s="3"/>
      <c r="N86" s="58"/>
      <c r="O86" s="1"/>
      <c r="P86" s="70"/>
      <c r="Q86" s="3"/>
      <c r="R86" s="151"/>
      <c r="S86" s="1"/>
      <c r="T86" s="70"/>
      <c r="U86" s="3"/>
      <c r="V86" s="15"/>
      <c r="W86" s="58"/>
    </row>
    <row r="87" spans="1:23" x14ac:dyDescent="0.3">
      <c r="A87" s="193">
        <v>84</v>
      </c>
      <c r="B87" s="52"/>
      <c r="C87" s="48"/>
      <c r="D87" s="3"/>
      <c r="E87" s="3"/>
      <c r="F87" s="3"/>
      <c r="G87" s="3"/>
      <c r="H87" s="3"/>
      <c r="I87" s="3"/>
      <c r="J87" s="3"/>
      <c r="K87" s="3"/>
      <c r="L87" s="3"/>
      <c r="M87" s="3"/>
      <c r="N87" s="58"/>
      <c r="O87" s="1"/>
      <c r="P87" s="70"/>
      <c r="Q87" s="3"/>
      <c r="R87" s="151"/>
      <c r="S87" s="1"/>
      <c r="T87" s="70"/>
      <c r="U87" s="3"/>
      <c r="V87" s="15"/>
      <c r="W87" s="58"/>
    </row>
    <row r="88" spans="1:23" x14ac:dyDescent="0.3">
      <c r="A88" s="193">
        <v>85</v>
      </c>
      <c r="B88" s="52"/>
      <c r="C88" s="48"/>
      <c r="D88" s="3"/>
      <c r="E88" s="3"/>
      <c r="F88" s="3"/>
      <c r="G88" s="3"/>
      <c r="H88" s="3"/>
      <c r="I88" s="3"/>
      <c r="J88" s="3"/>
      <c r="K88" s="3"/>
      <c r="L88" s="3"/>
      <c r="M88" s="3"/>
      <c r="N88" s="58"/>
      <c r="O88" s="1"/>
      <c r="P88" s="70"/>
      <c r="Q88" s="3"/>
      <c r="R88" s="151"/>
      <c r="S88" s="1"/>
      <c r="T88" s="70"/>
      <c r="U88" s="3"/>
      <c r="V88" s="15"/>
      <c r="W88" s="58"/>
    </row>
    <row r="89" spans="1:23" x14ac:dyDescent="0.3">
      <c r="A89" s="193">
        <v>86</v>
      </c>
      <c r="B89" s="52"/>
      <c r="C89" s="48"/>
      <c r="D89" s="3"/>
      <c r="E89" s="3"/>
      <c r="F89" s="3"/>
      <c r="G89" s="3"/>
      <c r="H89" s="3"/>
      <c r="I89" s="3"/>
      <c r="J89" s="3"/>
      <c r="K89" s="3"/>
      <c r="L89" s="3"/>
      <c r="M89" s="3"/>
      <c r="N89" s="58"/>
      <c r="O89" s="1"/>
      <c r="P89" s="70"/>
      <c r="Q89" s="3"/>
      <c r="R89" s="151"/>
      <c r="S89" s="1"/>
      <c r="T89" s="70"/>
      <c r="U89" s="3"/>
      <c r="V89" s="15"/>
      <c r="W89" s="58"/>
    </row>
    <row r="90" spans="1:23" x14ac:dyDescent="0.3">
      <c r="A90" s="193">
        <v>87</v>
      </c>
      <c r="B90" s="52"/>
      <c r="C90" s="48"/>
      <c r="D90" s="3"/>
      <c r="E90" s="3"/>
      <c r="F90" s="3"/>
      <c r="G90" s="3"/>
      <c r="H90" s="3"/>
      <c r="I90" s="3"/>
      <c r="J90" s="3"/>
      <c r="K90" s="3"/>
      <c r="L90" s="3"/>
      <c r="M90" s="3"/>
      <c r="N90" s="58"/>
      <c r="O90" s="1"/>
      <c r="P90" s="70"/>
      <c r="Q90" s="3"/>
      <c r="R90" s="151"/>
      <c r="S90" s="1"/>
      <c r="T90" s="70"/>
      <c r="U90" s="3"/>
      <c r="V90" s="15"/>
      <c r="W90" s="58"/>
    </row>
    <row r="91" spans="1:23" x14ac:dyDescent="0.3">
      <c r="A91" s="193">
        <v>88</v>
      </c>
      <c r="B91" s="52"/>
      <c r="C91" s="48"/>
      <c r="D91" s="3"/>
      <c r="E91" s="3"/>
      <c r="F91" s="3"/>
      <c r="G91" s="3"/>
      <c r="H91" s="3"/>
      <c r="I91" s="3"/>
      <c r="J91" s="3"/>
      <c r="K91" s="3"/>
      <c r="L91" s="3"/>
      <c r="M91" s="3"/>
      <c r="N91" s="58"/>
      <c r="O91" s="1"/>
      <c r="P91" s="70"/>
      <c r="Q91" s="3"/>
      <c r="R91" s="151"/>
      <c r="S91" s="1"/>
      <c r="T91" s="70"/>
      <c r="U91" s="3"/>
      <c r="V91" s="15"/>
      <c r="W91" s="58"/>
    </row>
    <row r="92" spans="1:23" x14ac:dyDescent="0.3">
      <c r="A92" s="193">
        <v>89</v>
      </c>
      <c r="B92" s="52"/>
      <c r="C92" s="48"/>
      <c r="D92" s="3"/>
      <c r="E92" s="3"/>
      <c r="F92" s="3"/>
      <c r="G92" s="3"/>
      <c r="H92" s="3"/>
      <c r="I92" s="3"/>
      <c r="J92" s="3"/>
      <c r="K92" s="3"/>
      <c r="L92" s="3"/>
      <c r="M92" s="3"/>
      <c r="N92" s="58"/>
      <c r="O92" s="1"/>
      <c r="P92" s="70"/>
      <c r="Q92" s="3"/>
      <c r="R92" s="151"/>
      <c r="S92" s="1"/>
      <c r="T92" s="70"/>
      <c r="U92" s="3"/>
      <c r="V92" s="15"/>
      <c r="W92" s="58"/>
    </row>
    <row r="93" spans="1:23" x14ac:dyDescent="0.3">
      <c r="A93" s="193">
        <v>90</v>
      </c>
      <c r="B93" s="52"/>
      <c r="C93" s="48"/>
      <c r="D93" s="3"/>
      <c r="E93" s="3"/>
      <c r="F93" s="3"/>
      <c r="G93" s="3"/>
      <c r="H93" s="3"/>
      <c r="I93" s="3"/>
      <c r="J93" s="3"/>
      <c r="K93" s="3"/>
      <c r="L93" s="3"/>
      <c r="M93" s="3"/>
      <c r="N93" s="58"/>
      <c r="O93" s="1"/>
      <c r="P93" s="70"/>
      <c r="Q93" s="3"/>
      <c r="R93" s="151"/>
      <c r="S93" s="1"/>
      <c r="T93" s="70"/>
      <c r="U93" s="3"/>
      <c r="V93" s="15"/>
      <c r="W93" s="58"/>
    </row>
    <row r="94" spans="1:23" x14ac:dyDescent="0.3">
      <c r="A94" s="193">
        <v>91</v>
      </c>
      <c r="B94" s="52"/>
      <c r="C94" s="48"/>
      <c r="D94" s="3"/>
      <c r="E94" s="3"/>
      <c r="F94" s="3"/>
      <c r="G94" s="3"/>
      <c r="H94" s="3"/>
      <c r="I94" s="3"/>
      <c r="J94" s="3"/>
      <c r="K94" s="3"/>
      <c r="L94" s="3"/>
      <c r="M94" s="3"/>
      <c r="N94" s="58"/>
      <c r="O94" s="1"/>
      <c r="P94" s="70"/>
      <c r="Q94" s="3"/>
      <c r="R94" s="151"/>
      <c r="S94" s="1"/>
      <c r="T94" s="70"/>
      <c r="U94" s="3"/>
      <c r="V94" s="15"/>
      <c r="W94" s="58"/>
    </row>
    <row r="95" spans="1:23" x14ac:dyDescent="0.3">
      <c r="A95" s="193">
        <v>92</v>
      </c>
      <c r="B95" s="52"/>
      <c r="C95" s="48"/>
      <c r="D95" s="3"/>
      <c r="E95" s="3"/>
      <c r="F95" s="3"/>
      <c r="G95" s="3"/>
      <c r="H95" s="3"/>
      <c r="I95" s="3"/>
      <c r="J95" s="3"/>
      <c r="K95" s="3"/>
      <c r="L95" s="3"/>
      <c r="M95" s="3"/>
      <c r="N95" s="58"/>
      <c r="O95" s="1"/>
      <c r="P95" s="70"/>
      <c r="Q95" s="3"/>
      <c r="R95" s="151"/>
      <c r="S95" s="1"/>
      <c r="T95" s="70"/>
      <c r="U95" s="3"/>
      <c r="V95" s="15"/>
      <c r="W95" s="58"/>
    </row>
    <row r="96" spans="1:23" x14ac:dyDescent="0.3">
      <c r="A96" s="193">
        <v>93</v>
      </c>
      <c r="B96" s="52"/>
      <c r="C96" s="48"/>
      <c r="D96" s="3"/>
      <c r="E96" s="3"/>
      <c r="F96" s="3"/>
      <c r="G96" s="3"/>
      <c r="H96" s="3"/>
      <c r="I96" s="3"/>
      <c r="J96" s="3"/>
      <c r="K96" s="3"/>
      <c r="L96" s="3"/>
      <c r="M96" s="3"/>
      <c r="N96" s="58"/>
      <c r="O96" s="1"/>
      <c r="P96" s="70"/>
      <c r="Q96" s="3"/>
      <c r="R96" s="151"/>
      <c r="S96" s="1"/>
      <c r="T96" s="70"/>
      <c r="U96" s="3"/>
      <c r="V96" s="15"/>
      <c r="W96" s="58"/>
    </row>
    <row r="97" spans="1:23" x14ac:dyDescent="0.3">
      <c r="A97" s="193">
        <v>94</v>
      </c>
      <c r="B97" s="52"/>
      <c r="C97" s="48"/>
      <c r="D97" s="3"/>
      <c r="E97" s="3"/>
      <c r="F97" s="3"/>
      <c r="G97" s="3"/>
      <c r="H97" s="3"/>
      <c r="I97" s="3"/>
      <c r="J97" s="3"/>
      <c r="K97" s="3"/>
      <c r="L97" s="3"/>
      <c r="M97" s="3"/>
      <c r="N97" s="58"/>
      <c r="O97" s="1"/>
      <c r="P97" s="70"/>
      <c r="Q97" s="3"/>
      <c r="R97" s="151"/>
      <c r="S97" s="1"/>
      <c r="T97" s="70"/>
      <c r="U97" s="3"/>
      <c r="V97" s="15"/>
      <c r="W97" s="58"/>
    </row>
    <row r="98" spans="1:23" x14ac:dyDescent="0.3">
      <c r="A98" s="193">
        <v>95</v>
      </c>
      <c r="B98" s="52"/>
      <c r="C98" s="48"/>
      <c r="D98" s="3"/>
      <c r="E98" s="3"/>
      <c r="F98" s="3"/>
      <c r="G98" s="3"/>
      <c r="H98" s="3"/>
      <c r="I98" s="3"/>
      <c r="J98" s="3"/>
      <c r="K98" s="3"/>
      <c r="L98" s="3"/>
      <c r="M98" s="3"/>
      <c r="N98" s="58"/>
      <c r="O98" s="1"/>
      <c r="P98" s="70"/>
      <c r="Q98" s="3"/>
      <c r="R98" s="151"/>
      <c r="S98" s="1"/>
      <c r="T98" s="70"/>
      <c r="U98" s="3"/>
      <c r="V98" s="15"/>
      <c r="W98" s="58"/>
    </row>
    <row r="99" spans="1:23" x14ac:dyDescent="0.3">
      <c r="A99" s="193">
        <v>96</v>
      </c>
      <c r="B99" s="52"/>
      <c r="C99" s="48"/>
      <c r="D99" s="3"/>
      <c r="E99" s="3"/>
      <c r="F99" s="3"/>
      <c r="G99" s="3"/>
      <c r="H99" s="3"/>
      <c r="I99" s="3"/>
      <c r="J99" s="3"/>
      <c r="K99" s="3"/>
      <c r="L99" s="3"/>
      <c r="M99" s="3"/>
      <c r="N99" s="58"/>
      <c r="O99" s="1"/>
      <c r="P99" s="70"/>
      <c r="Q99" s="3"/>
      <c r="R99" s="151"/>
      <c r="S99" s="1"/>
      <c r="T99" s="70"/>
      <c r="U99" s="3"/>
      <c r="V99" s="15"/>
      <c r="W99" s="58"/>
    </row>
    <row r="100" spans="1:23" x14ac:dyDescent="0.3">
      <c r="A100" s="193">
        <v>97</v>
      </c>
      <c r="B100" s="52"/>
      <c r="C100" s="4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58"/>
      <c r="O100" s="1"/>
      <c r="P100" s="70"/>
      <c r="Q100" s="3"/>
      <c r="R100" s="151"/>
      <c r="S100" s="1"/>
      <c r="T100" s="70"/>
      <c r="U100" s="3"/>
      <c r="V100" s="15"/>
      <c r="W100" s="58"/>
    </row>
    <row r="101" spans="1:23" x14ac:dyDescent="0.3">
      <c r="A101" s="193">
        <v>98</v>
      </c>
      <c r="B101" s="52"/>
      <c r="C101" s="4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58"/>
      <c r="O101" s="1"/>
      <c r="P101" s="70"/>
      <c r="Q101" s="3"/>
      <c r="R101" s="151"/>
      <c r="S101" s="1"/>
      <c r="T101" s="70"/>
      <c r="U101" s="3"/>
      <c r="V101" s="15"/>
      <c r="W101" s="58"/>
    </row>
    <row r="102" spans="1:23" x14ac:dyDescent="0.3">
      <c r="A102" s="193">
        <v>99</v>
      </c>
      <c r="B102" s="52"/>
      <c r="C102" s="4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58"/>
      <c r="O102" s="1"/>
      <c r="P102" s="70"/>
      <c r="Q102" s="3"/>
      <c r="R102" s="151"/>
      <c r="S102" s="1"/>
      <c r="T102" s="70"/>
      <c r="U102" s="3"/>
      <c r="V102" s="15"/>
      <c r="W102" s="58"/>
    </row>
    <row r="103" spans="1:23" ht="17.25" thickBot="1" x14ac:dyDescent="0.35">
      <c r="A103" s="194">
        <v>100</v>
      </c>
      <c r="B103" s="53"/>
      <c r="C103" s="59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1"/>
      <c r="O103" s="1"/>
      <c r="P103" s="71"/>
      <c r="Q103" s="60"/>
      <c r="R103" s="188"/>
      <c r="S103" s="1"/>
      <c r="T103" s="71"/>
      <c r="U103" s="60"/>
      <c r="V103" s="41"/>
      <c r="W103" s="61"/>
    </row>
    <row r="104" spans="1:23" s="8" customFormat="1" ht="26.25" customHeight="1" thickBot="1" x14ac:dyDescent="0.35">
      <c r="A104" s="195"/>
      <c r="Q104" s="7"/>
    </row>
    <row r="105" spans="1:23" s="12" customFormat="1" ht="24.95" customHeight="1" thickBot="1" x14ac:dyDescent="0.35">
      <c r="A105" s="10"/>
      <c r="B105" s="99" t="s">
        <v>29</v>
      </c>
      <c r="C105" s="100"/>
      <c r="E105" s="99" t="s">
        <v>30</v>
      </c>
      <c r="F105" s="100"/>
      <c r="H105" s="99" t="s">
        <v>31</v>
      </c>
      <c r="I105" s="100"/>
      <c r="K105" s="99" t="s">
        <v>32</v>
      </c>
      <c r="L105" s="100"/>
      <c r="N105" s="21"/>
      <c r="P105" s="101" t="s">
        <v>33</v>
      </c>
      <c r="Q105" s="102"/>
      <c r="R105" s="103"/>
      <c r="T105" s="181" t="s">
        <v>313</v>
      </c>
      <c r="U105" s="182"/>
      <c r="V105" s="182"/>
      <c r="W105" s="183"/>
    </row>
    <row r="106" spans="1:23" ht="21" thickBot="1" x14ac:dyDescent="0.35">
      <c r="B106" s="126" t="s">
        <v>49</v>
      </c>
      <c r="C106" s="127">
        <f>COUNTIF($J$4:$J$103,B106)</f>
        <v>2</v>
      </c>
      <c r="E106" s="81" t="s">
        <v>49</v>
      </c>
      <c r="F106" s="129">
        <f>SUMIF($J:$J, E106, $M:$M)</f>
        <v>100000</v>
      </c>
      <c r="H106" s="81" t="s">
        <v>38</v>
      </c>
      <c r="I106" s="80">
        <f>COUNTIF($K$4:$K$103,H106)</f>
        <v>0</v>
      </c>
      <c r="K106" s="81" t="s">
        <v>60</v>
      </c>
      <c r="L106" s="80">
        <f>COUNTIF($I$4:$I$103,K106)</f>
        <v>39</v>
      </c>
      <c r="P106" s="178">
        <f>SUM(M4:M103)</f>
        <v>21965140</v>
      </c>
      <c r="Q106" s="179"/>
      <c r="R106" s="180"/>
      <c r="T106" s="184">
        <f>P106+P110+G136</f>
        <v>32177090</v>
      </c>
      <c r="U106" s="185"/>
      <c r="V106" s="185"/>
      <c r="W106" s="186"/>
    </row>
    <row r="107" spans="1:23" x14ac:dyDescent="0.3">
      <c r="B107" s="38" t="s">
        <v>50</v>
      </c>
      <c r="C107" s="80">
        <f>COUNTIF($J$4:$J$103,B107)</f>
        <v>1</v>
      </c>
      <c r="E107" s="16" t="s">
        <v>50</v>
      </c>
      <c r="F107" s="129">
        <f t="shared" ref="F107:F116" si="0">SUMIF($J:$J, E107, $M:$M)</f>
        <v>257000</v>
      </c>
      <c r="H107" s="16" t="s">
        <v>39</v>
      </c>
      <c r="I107" s="80">
        <f t="shared" ref="I107:I116" si="1">COUNTIF($K$4:$K$103,H107)</f>
        <v>0</v>
      </c>
      <c r="K107" s="16" t="s">
        <v>61</v>
      </c>
      <c r="L107" s="80">
        <f t="shared" ref="L107:L110" si="2">COUNTIF($I$4:$I$103,K107)</f>
        <v>1</v>
      </c>
    </row>
    <row r="108" spans="1:23" ht="17.25" thickBot="1" x14ac:dyDescent="0.35">
      <c r="B108" s="38" t="s">
        <v>51</v>
      </c>
      <c r="C108" s="80">
        <f>COUNTIF($J$4:$J$103,B108)</f>
        <v>3</v>
      </c>
      <c r="E108" s="16" t="s">
        <v>51</v>
      </c>
      <c r="F108" s="129">
        <f t="shared" si="0"/>
        <v>1316100</v>
      </c>
      <c r="H108" s="16" t="s">
        <v>40</v>
      </c>
      <c r="I108" s="80">
        <f t="shared" si="1"/>
        <v>2</v>
      </c>
      <c r="K108" s="16" t="s">
        <v>62</v>
      </c>
      <c r="L108" s="80">
        <f t="shared" si="2"/>
        <v>11</v>
      </c>
    </row>
    <row r="109" spans="1:23" ht="17.25" thickBot="1" x14ac:dyDescent="0.35">
      <c r="B109" s="38" t="s">
        <v>52</v>
      </c>
      <c r="C109" s="80">
        <f>COUNTIF($J$4:$J$103,B109)</f>
        <v>11</v>
      </c>
      <c r="E109" s="16" t="s">
        <v>52</v>
      </c>
      <c r="F109" s="129">
        <f t="shared" si="0"/>
        <v>2526550</v>
      </c>
      <c r="H109" s="16" t="s">
        <v>41</v>
      </c>
      <c r="I109" s="80">
        <f t="shared" si="1"/>
        <v>43</v>
      </c>
      <c r="K109" s="16" t="s">
        <v>58</v>
      </c>
      <c r="L109" s="80">
        <f t="shared" si="2"/>
        <v>16</v>
      </c>
      <c r="P109" s="101" t="s">
        <v>70</v>
      </c>
      <c r="Q109" s="102"/>
      <c r="R109" s="103"/>
    </row>
    <row r="110" spans="1:23" ht="17.25" thickBot="1" x14ac:dyDescent="0.35">
      <c r="B110" s="38" t="s">
        <v>53</v>
      </c>
      <c r="C110" s="80">
        <f t="shared" ref="C110:C116" si="3">COUNTIF($J$4:$J$103,B110)</f>
        <v>4</v>
      </c>
      <c r="E110" s="16" t="s">
        <v>53</v>
      </c>
      <c r="F110" s="129">
        <f t="shared" si="0"/>
        <v>956290</v>
      </c>
      <c r="H110" s="16" t="s">
        <v>42</v>
      </c>
      <c r="I110" s="80">
        <f t="shared" si="1"/>
        <v>0</v>
      </c>
      <c r="K110" s="124" t="s">
        <v>63</v>
      </c>
      <c r="L110" s="80">
        <f t="shared" si="2"/>
        <v>4</v>
      </c>
      <c r="P110" s="118">
        <f>SUM(R4:R103)</f>
        <v>0</v>
      </c>
      <c r="Q110" s="119"/>
      <c r="R110" s="120"/>
    </row>
    <row r="111" spans="1:23" ht="17.25" thickBot="1" x14ac:dyDescent="0.35">
      <c r="B111" s="38" t="s">
        <v>54</v>
      </c>
      <c r="C111" s="80">
        <f t="shared" si="3"/>
        <v>26</v>
      </c>
      <c r="E111" s="16" t="s">
        <v>54</v>
      </c>
      <c r="F111" s="129">
        <f t="shared" si="0"/>
        <v>10768250</v>
      </c>
      <c r="H111" s="16" t="s">
        <v>43</v>
      </c>
      <c r="I111" s="80">
        <f t="shared" si="1"/>
        <v>5</v>
      </c>
      <c r="K111" s="92" t="s">
        <v>37</v>
      </c>
      <c r="L111" s="123">
        <f>L106+L107+L108+L109+L110</f>
        <v>71</v>
      </c>
      <c r="P111" s="82"/>
      <c r="Q111" s="9"/>
      <c r="R111" s="9"/>
    </row>
    <row r="112" spans="1:23" ht="17.25" thickBot="1" x14ac:dyDescent="0.35">
      <c r="B112" s="38" t="s">
        <v>55</v>
      </c>
      <c r="C112" s="80">
        <f t="shared" si="3"/>
        <v>13</v>
      </c>
      <c r="E112" s="16" t="s">
        <v>55</v>
      </c>
      <c r="F112" s="129">
        <f t="shared" si="0"/>
        <v>2967500</v>
      </c>
      <c r="H112" s="16" t="s">
        <v>44</v>
      </c>
      <c r="I112" s="80">
        <f t="shared" si="1"/>
        <v>0</v>
      </c>
      <c r="P112" s="101" t="s">
        <v>15</v>
      </c>
      <c r="Q112" s="102"/>
      <c r="R112" s="103"/>
    </row>
    <row r="113" spans="1:26" ht="17.25" thickBot="1" x14ac:dyDescent="0.35">
      <c r="B113" s="38" t="s">
        <v>56</v>
      </c>
      <c r="C113" s="80">
        <f t="shared" si="3"/>
        <v>5</v>
      </c>
      <c r="E113" s="16" t="s">
        <v>56</v>
      </c>
      <c r="F113" s="129">
        <f t="shared" si="0"/>
        <v>432550</v>
      </c>
      <c r="H113" s="16" t="s">
        <v>45</v>
      </c>
      <c r="I113" s="80">
        <f t="shared" si="1"/>
        <v>1</v>
      </c>
      <c r="K113" s="99" t="s">
        <v>34</v>
      </c>
      <c r="L113" s="100"/>
      <c r="P113" s="132"/>
      <c r="Q113" s="133" t="s">
        <v>254</v>
      </c>
      <c r="R113" s="136">
        <f>COUNTIF($D$4:$D$103,Q113)</f>
        <v>60</v>
      </c>
    </row>
    <row r="114" spans="1:26" ht="17.25" thickBot="1" x14ac:dyDescent="0.35">
      <c r="B114" s="38" t="s">
        <v>57</v>
      </c>
      <c r="C114" s="80">
        <f t="shared" si="3"/>
        <v>0</v>
      </c>
      <c r="E114" s="16" t="s">
        <v>57</v>
      </c>
      <c r="F114" s="129">
        <f t="shared" si="0"/>
        <v>0</v>
      </c>
      <c r="H114" s="16" t="s">
        <v>46</v>
      </c>
      <c r="I114" s="80">
        <f t="shared" si="1"/>
        <v>3</v>
      </c>
      <c r="K114" s="79" t="s">
        <v>35</v>
      </c>
      <c r="L114" s="66">
        <v>15</v>
      </c>
      <c r="P114" s="134"/>
      <c r="Q114" s="135" t="s">
        <v>256</v>
      </c>
      <c r="R114" s="137">
        <f>COUNTIF($D$4:$D$103,Q114)</f>
        <v>11</v>
      </c>
    </row>
    <row r="115" spans="1:26" ht="17.25" thickBot="1" x14ac:dyDescent="0.35">
      <c r="B115" s="38" t="s">
        <v>58</v>
      </c>
      <c r="C115" s="80">
        <f t="shared" si="3"/>
        <v>5</v>
      </c>
      <c r="E115" s="16" t="s">
        <v>58</v>
      </c>
      <c r="F115" s="129">
        <f t="shared" si="0"/>
        <v>2629900</v>
      </c>
      <c r="H115" s="16" t="s">
        <v>47</v>
      </c>
      <c r="I115" s="80">
        <f t="shared" si="1"/>
        <v>0</v>
      </c>
      <c r="K115" s="121" t="s">
        <v>36</v>
      </c>
      <c r="L115" s="122">
        <v>2</v>
      </c>
    </row>
    <row r="116" spans="1:26" ht="17.25" thickBot="1" x14ac:dyDescent="0.35">
      <c r="B116" s="75" t="s">
        <v>59</v>
      </c>
      <c r="C116" s="128">
        <f t="shared" si="3"/>
        <v>1</v>
      </c>
      <c r="E116" s="77" t="s">
        <v>59</v>
      </c>
      <c r="F116" s="130">
        <f t="shared" si="0"/>
        <v>11000</v>
      </c>
      <c r="H116" s="77" t="s">
        <v>48</v>
      </c>
      <c r="I116" s="128">
        <f t="shared" si="1"/>
        <v>0</v>
      </c>
      <c r="K116" s="92" t="s">
        <v>37</v>
      </c>
      <c r="L116" s="123">
        <f>L114+L115</f>
        <v>17</v>
      </c>
    </row>
    <row r="117" spans="1:26" s="8" customFormat="1" ht="36" customHeight="1" thickBot="1" x14ac:dyDescent="0.35">
      <c r="A117" s="195"/>
      <c r="Q117" s="7"/>
    </row>
    <row r="118" spans="1:26" s="12" customFormat="1" ht="39.950000000000003" customHeight="1" thickBot="1" x14ac:dyDescent="0.35">
      <c r="A118" s="10"/>
      <c r="B118" s="107" t="s">
        <v>330</v>
      </c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9"/>
      <c r="P118" s="112" t="s">
        <v>25</v>
      </c>
      <c r="Q118" s="113"/>
      <c r="R118" s="114"/>
      <c r="T118" s="115" t="s">
        <v>26</v>
      </c>
      <c r="U118" s="116"/>
      <c r="V118" s="117"/>
      <c r="X118" s="101" t="s">
        <v>28</v>
      </c>
      <c r="Y118" s="102"/>
      <c r="Z118" s="103"/>
    </row>
    <row r="119" spans="1:26" s="11" customFormat="1" ht="39.950000000000003" customHeight="1" thickBot="1" x14ac:dyDescent="0.35">
      <c r="A119" s="125"/>
      <c r="B119" s="138" t="s">
        <v>2</v>
      </c>
      <c r="C119" s="139" t="s">
        <v>16</v>
      </c>
      <c r="D119" s="140" t="s">
        <v>17</v>
      </c>
      <c r="E119" s="140"/>
      <c r="F119" s="139" t="s">
        <v>18</v>
      </c>
      <c r="G119" s="139" t="s">
        <v>19</v>
      </c>
      <c r="H119" s="146" t="s">
        <v>257</v>
      </c>
      <c r="I119" s="146" t="s">
        <v>258</v>
      </c>
      <c r="J119" s="139" t="s">
        <v>20</v>
      </c>
      <c r="K119" s="139" t="s">
        <v>21</v>
      </c>
      <c r="L119" s="141" t="s">
        <v>263</v>
      </c>
      <c r="M119" s="142"/>
      <c r="N119" s="143"/>
      <c r="P119" s="105" t="s">
        <v>64</v>
      </c>
      <c r="Q119" s="106" t="s">
        <v>22</v>
      </c>
      <c r="R119" s="111" t="s">
        <v>23</v>
      </c>
      <c r="T119" s="138" t="s">
        <v>24</v>
      </c>
      <c r="U119" s="139" t="s">
        <v>262</v>
      </c>
      <c r="V119" s="149" t="s">
        <v>261</v>
      </c>
      <c r="W119" s="148"/>
      <c r="X119" s="160" t="s">
        <v>27</v>
      </c>
      <c r="Y119" s="161" t="s">
        <v>13</v>
      </c>
      <c r="Z119" s="162" t="s">
        <v>14</v>
      </c>
    </row>
    <row r="120" spans="1:26" x14ac:dyDescent="0.3">
      <c r="A120" s="196">
        <v>1</v>
      </c>
      <c r="B120" s="153" t="s">
        <v>99</v>
      </c>
      <c r="C120" s="17" t="s">
        <v>274</v>
      </c>
      <c r="D120" s="83" t="s">
        <v>286</v>
      </c>
      <c r="E120" s="83"/>
      <c r="F120" s="110" t="s">
        <v>300</v>
      </c>
      <c r="G120" s="154">
        <v>345000</v>
      </c>
      <c r="H120" s="154">
        <v>10000</v>
      </c>
      <c r="I120" s="154">
        <v>12000</v>
      </c>
      <c r="J120" s="154">
        <v>466300</v>
      </c>
      <c r="K120" s="154">
        <f>J120*0.05</f>
        <v>23315</v>
      </c>
      <c r="L120" s="83" t="s">
        <v>303</v>
      </c>
      <c r="M120" s="83"/>
      <c r="N120" s="78"/>
      <c r="P120" s="199"/>
      <c r="Q120" s="163"/>
      <c r="R120" s="200" t="s">
        <v>323</v>
      </c>
      <c r="T120" s="131" t="s">
        <v>314</v>
      </c>
      <c r="U120" s="110" t="s">
        <v>259</v>
      </c>
      <c r="V120" s="150" t="s">
        <v>260</v>
      </c>
      <c r="W120" s="159"/>
      <c r="X120" s="131" t="s">
        <v>309</v>
      </c>
      <c r="Y120" s="110"/>
      <c r="Z120" s="173"/>
    </row>
    <row r="121" spans="1:26" x14ac:dyDescent="0.3">
      <c r="A121" s="197">
        <v>2</v>
      </c>
      <c r="B121" s="155" t="s">
        <v>264</v>
      </c>
      <c r="C121" s="4" t="s">
        <v>275</v>
      </c>
      <c r="D121" s="2" t="s">
        <v>287</v>
      </c>
      <c r="E121" s="2"/>
      <c r="F121" s="3" t="s">
        <v>300</v>
      </c>
      <c r="G121" s="156">
        <v>345000</v>
      </c>
      <c r="H121" s="156"/>
      <c r="I121" s="156"/>
      <c r="J121" s="156">
        <v>92800</v>
      </c>
      <c r="K121" s="156">
        <f t="shared" ref="K121:K134" si="4">J121*0.05</f>
        <v>4640</v>
      </c>
      <c r="L121" s="2" t="s">
        <v>304</v>
      </c>
      <c r="M121" s="2"/>
      <c r="N121" s="144"/>
      <c r="P121" s="16"/>
      <c r="Q121" s="4"/>
      <c r="R121" s="74" t="s">
        <v>324</v>
      </c>
      <c r="T121" s="70" t="s">
        <v>315</v>
      </c>
      <c r="U121" s="3" t="s">
        <v>259</v>
      </c>
      <c r="V121" s="68" t="s">
        <v>260</v>
      </c>
      <c r="W121" s="159"/>
      <c r="X121" s="70" t="s">
        <v>309</v>
      </c>
      <c r="Y121" s="3"/>
      <c r="Z121" s="174"/>
    </row>
    <row r="122" spans="1:26" x14ac:dyDescent="0.3">
      <c r="A122" s="197">
        <v>3</v>
      </c>
      <c r="B122" s="165" t="s">
        <v>265</v>
      </c>
      <c r="C122" s="5" t="s">
        <v>276</v>
      </c>
      <c r="D122" s="2" t="s">
        <v>288</v>
      </c>
      <c r="E122" s="2"/>
      <c r="F122" s="2" t="s">
        <v>301</v>
      </c>
      <c r="G122" s="156">
        <v>299000</v>
      </c>
      <c r="H122" s="156">
        <v>90000</v>
      </c>
      <c r="I122" s="156"/>
      <c r="J122" s="156">
        <v>389000</v>
      </c>
      <c r="K122" s="156">
        <f t="shared" si="4"/>
        <v>19450</v>
      </c>
      <c r="L122" s="2"/>
      <c r="M122" s="2"/>
      <c r="N122" s="144"/>
      <c r="P122" s="16"/>
      <c r="Q122" s="4"/>
      <c r="R122" s="74" t="s">
        <v>325</v>
      </c>
      <c r="T122" s="70" t="s">
        <v>315</v>
      </c>
      <c r="U122" s="3" t="s">
        <v>259</v>
      </c>
      <c r="V122" s="68" t="s">
        <v>260</v>
      </c>
      <c r="W122" s="159"/>
      <c r="X122" s="70" t="s">
        <v>309</v>
      </c>
      <c r="Y122" s="3"/>
      <c r="Z122" s="174"/>
    </row>
    <row r="123" spans="1:26" x14ac:dyDescent="0.3">
      <c r="A123" s="197">
        <v>4</v>
      </c>
      <c r="B123" s="165"/>
      <c r="C123" s="5"/>
      <c r="D123" s="2" t="s">
        <v>289</v>
      </c>
      <c r="E123" s="2"/>
      <c r="F123" s="2"/>
      <c r="G123" s="156">
        <v>299000</v>
      </c>
      <c r="H123" s="156"/>
      <c r="I123" s="156"/>
      <c r="J123" s="156">
        <v>299000</v>
      </c>
      <c r="K123" s="156">
        <f t="shared" si="4"/>
        <v>14950</v>
      </c>
      <c r="L123" s="2"/>
      <c r="M123" s="2"/>
      <c r="N123" s="144"/>
      <c r="P123" s="16"/>
      <c r="Q123" s="4"/>
      <c r="R123" s="74"/>
      <c r="T123" s="70"/>
      <c r="U123" s="3" t="s">
        <v>259</v>
      </c>
      <c r="V123" s="68" t="s">
        <v>260</v>
      </c>
      <c r="W123" s="159"/>
      <c r="X123" s="70" t="s">
        <v>309</v>
      </c>
      <c r="Y123" s="3"/>
      <c r="Z123" s="174"/>
    </row>
    <row r="124" spans="1:26" x14ac:dyDescent="0.3">
      <c r="A124" s="197">
        <v>5</v>
      </c>
      <c r="B124" s="165" t="s">
        <v>266</v>
      </c>
      <c r="C124" s="5" t="s">
        <v>277</v>
      </c>
      <c r="D124" s="2" t="s">
        <v>290</v>
      </c>
      <c r="E124" s="2"/>
      <c r="F124" s="2" t="s">
        <v>301</v>
      </c>
      <c r="G124" s="156">
        <v>299000</v>
      </c>
      <c r="H124" s="156"/>
      <c r="I124" s="156">
        <v>71800</v>
      </c>
      <c r="J124" s="156">
        <v>370800</v>
      </c>
      <c r="K124" s="156">
        <f t="shared" si="4"/>
        <v>18540</v>
      </c>
      <c r="L124" s="2"/>
      <c r="M124" s="2"/>
      <c r="N124" s="144"/>
      <c r="P124" s="16"/>
      <c r="Q124" s="4"/>
      <c r="R124" s="74" t="s">
        <v>324</v>
      </c>
      <c r="T124" s="70" t="s">
        <v>316</v>
      </c>
      <c r="U124" s="3" t="s">
        <v>259</v>
      </c>
      <c r="V124" s="68" t="s">
        <v>260</v>
      </c>
      <c r="W124" s="159"/>
      <c r="X124" s="70" t="s">
        <v>309</v>
      </c>
      <c r="Y124" s="3"/>
      <c r="Z124" s="174"/>
    </row>
    <row r="125" spans="1:26" x14ac:dyDescent="0.3">
      <c r="A125" s="197">
        <v>6</v>
      </c>
      <c r="B125" s="165"/>
      <c r="C125" s="5"/>
      <c r="D125" s="2" t="s">
        <v>291</v>
      </c>
      <c r="E125" s="2"/>
      <c r="F125" s="2"/>
      <c r="G125" s="156">
        <v>299000</v>
      </c>
      <c r="H125" s="156"/>
      <c r="I125" s="156">
        <v>12000</v>
      </c>
      <c r="J125" s="156">
        <v>311000</v>
      </c>
      <c r="K125" s="156">
        <f t="shared" si="4"/>
        <v>15550</v>
      </c>
      <c r="L125" s="2"/>
      <c r="M125" s="2"/>
      <c r="N125" s="144"/>
      <c r="P125" s="16"/>
      <c r="Q125" s="4"/>
      <c r="R125" s="74"/>
      <c r="T125" s="70"/>
      <c r="U125" s="3" t="s">
        <v>259</v>
      </c>
      <c r="V125" s="68" t="s">
        <v>260</v>
      </c>
      <c r="W125" s="159"/>
      <c r="X125" s="70" t="s">
        <v>309</v>
      </c>
      <c r="Y125" s="3"/>
      <c r="Z125" s="174"/>
    </row>
    <row r="126" spans="1:26" x14ac:dyDescent="0.3">
      <c r="A126" s="197">
        <v>7</v>
      </c>
      <c r="B126" s="155" t="s">
        <v>267</v>
      </c>
      <c r="C126" s="4" t="s">
        <v>278</v>
      </c>
      <c r="D126" s="2" t="s">
        <v>295</v>
      </c>
      <c r="E126" s="2"/>
      <c r="F126" s="3" t="s">
        <v>300</v>
      </c>
      <c r="G126" s="156">
        <v>345000</v>
      </c>
      <c r="H126" s="156"/>
      <c r="I126" s="156"/>
      <c r="J126" s="156">
        <v>345000</v>
      </c>
      <c r="K126" s="156">
        <f t="shared" si="4"/>
        <v>17250</v>
      </c>
      <c r="L126" s="2"/>
      <c r="M126" s="2"/>
      <c r="N126" s="144"/>
      <c r="P126" s="16"/>
      <c r="Q126" s="4"/>
      <c r="R126" s="74" t="s">
        <v>326</v>
      </c>
      <c r="T126" s="70" t="s">
        <v>317</v>
      </c>
      <c r="U126" s="3" t="s">
        <v>259</v>
      </c>
      <c r="V126" s="68" t="s">
        <v>260</v>
      </c>
      <c r="W126" s="159"/>
      <c r="X126" s="70" t="s">
        <v>309</v>
      </c>
      <c r="Y126" s="3"/>
      <c r="Z126" s="174"/>
    </row>
    <row r="127" spans="1:26" x14ac:dyDescent="0.3">
      <c r="A127" s="197">
        <v>8</v>
      </c>
      <c r="B127" s="155" t="s">
        <v>268</v>
      </c>
      <c r="C127" s="4" t="s">
        <v>279</v>
      </c>
      <c r="D127" s="2" t="s">
        <v>292</v>
      </c>
      <c r="E127" s="2"/>
      <c r="F127" s="3" t="s">
        <v>300</v>
      </c>
      <c r="G127" s="156">
        <v>345000</v>
      </c>
      <c r="H127" s="156"/>
      <c r="I127" s="156">
        <v>8000</v>
      </c>
      <c r="J127" s="156">
        <v>353000</v>
      </c>
      <c r="K127" s="156">
        <f t="shared" si="4"/>
        <v>17650</v>
      </c>
      <c r="L127" s="2" t="s">
        <v>305</v>
      </c>
      <c r="M127" s="2"/>
      <c r="N127" s="144"/>
      <c r="P127" s="16"/>
      <c r="Q127" s="4"/>
      <c r="R127" s="74" t="s">
        <v>326</v>
      </c>
      <c r="T127" s="70" t="s">
        <v>318</v>
      </c>
      <c r="U127" s="3" t="s">
        <v>259</v>
      </c>
      <c r="V127" s="68" t="s">
        <v>260</v>
      </c>
      <c r="W127" s="159"/>
      <c r="X127" s="70" t="s">
        <v>309</v>
      </c>
      <c r="Y127" s="3"/>
      <c r="Z127" s="174"/>
    </row>
    <row r="128" spans="1:26" x14ac:dyDescent="0.3">
      <c r="A128" s="197">
        <v>9</v>
      </c>
      <c r="B128" s="155" t="s">
        <v>269</v>
      </c>
      <c r="C128" s="4" t="s">
        <v>280</v>
      </c>
      <c r="D128" s="2" t="s">
        <v>293</v>
      </c>
      <c r="E128" s="2"/>
      <c r="F128" s="3" t="s">
        <v>300</v>
      </c>
      <c r="G128" s="156">
        <v>345000</v>
      </c>
      <c r="H128" s="156">
        <v>21000</v>
      </c>
      <c r="I128" s="156"/>
      <c r="J128" s="156">
        <v>370000</v>
      </c>
      <c r="K128" s="156">
        <f t="shared" si="4"/>
        <v>18500</v>
      </c>
      <c r="L128" s="2"/>
      <c r="M128" s="2"/>
      <c r="N128" s="144"/>
      <c r="P128" s="16"/>
      <c r="Q128" s="4"/>
      <c r="R128" s="74" t="s">
        <v>326</v>
      </c>
      <c r="T128" s="70" t="s">
        <v>319</v>
      </c>
      <c r="U128" s="3" t="s">
        <v>259</v>
      </c>
      <c r="V128" s="68" t="s">
        <v>260</v>
      </c>
      <c r="W128" s="159"/>
      <c r="X128" s="70" t="s">
        <v>309</v>
      </c>
      <c r="Y128" s="3"/>
      <c r="Z128" s="174"/>
    </row>
    <row r="129" spans="1:26" x14ac:dyDescent="0.3">
      <c r="A129" s="197">
        <v>10</v>
      </c>
      <c r="B129" s="155" t="s">
        <v>270</v>
      </c>
      <c r="C129" s="4" t="s">
        <v>281</v>
      </c>
      <c r="D129" s="2" t="s">
        <v>294</v>
      </c>
      <c r="E129" s="2"/>
      <c r="F129" s="3" t="s">
        <v>300</v>
      </c>
      <c r="G129" s="156">
        <v>345000</v>
      </c>
      <c r="H129" s="156">
        <v>196000</v>
      </c>
      <c r="I129" s="156">
        <v>88000</v>
      </c>
      <c r="J129" s="156">
        <v>541000</v>
      </c>
      <c r="K129" s="156">
        <f t="shared" si="4"/>
        <v>27050</v>
      </c>
      <c r="L129" s="2"/>
      <c r="M129" s="2"/>
      <c r="N129" s="144"/>
      <c r="P129" s="16"/>
      <c r="Q129" s="4"/>
      <c r="R129" s="74" t="s">
        <v>326</v>
      </c>
      <c r="T129" s="70" t="s">
        <v>320</v>
      </c>
      <c r="U129" s="3" t="s">
        <v>259</v>
      </c>
      <c r="V129" s="68" t="s">
        <v>260</v>
      </c>
      <c r="W129" s="159"/>
      <c r="X129" s="70" t="s">
        <v>309</v>
      </c>
      <c r="Y129" s="3"/>
      <c r="Z129" s="174"/>
    </row>
    <row r="130" spans="1:26" x14ac:dyDescent="0.3">
      <c r="A130" s="197">
        <v>11</v>
      </c>
      <c r="B130" s="155" t="s">
        <v>111</v>
      </c>
      <c r="C130" s="4" t="s">
        <v>282</v>
      </c>
      <c r="D130" s="2" t="s">
        <v>296</v>
      </c>
      <c r="E130" s="2"/>
      <c r="F130" s="3" t="s">
        <v>300</v>
      </c>
      <c r="G130" s="156">
        <v>345000</v>
      </c>
      <c r="H130" s="156">
        <v>295350</v>
      </c>
      <c r="I130" s="156">
        <v>91350</v>
      </c>
      <c r="J130" s="156">
        <v>640350</v>
      </c>
      <c r="K130" s="156">
        <f t="shared" si="4"/>
        <v>32017.5</v>
      </c>
      <c r="L130" s="2" t="s">
        <v>306</v>
      </c>
      <c r="M130" s="2"/>
      <c r="N130" s="144"/>
      <c r="P130" s="16"/>
      <c r="Q130" s="4"/>
      <c r="R130" s="74" t="s">
        <v>329</v>
      </c>
      <c r="T130" s="70" t="s">
        <v>321</v>
      </c>
      <c r="U130" s="3" t="s">
        <v>259</v>
      </c>
      <c r="V130" s="68" t="s">
        <v>260</v>
      </c>
      <c r="W130" s="159"/>
      <c r="X130" s="70" t="s">
        <v>69</v>
      </c>
      <c r="Y130" s="3" t="s">
        <v>308</v>
      </c>
      <c r="Z130" s="174">
        <v>2284750</v>
      </c>
    </row>
    <row r="131" spans="1:26" x14ac:dyDescent="0.3">
      <c r="A131" s="197">
        <v>12</v>
      </c>
      <c r="B131" s="155" t="s">
        <v>271</v>
      </c>
      <c r="C131" s="4" t="s">
        <v>283</v>
      </c>
      <c r="D131" s="2" t="s">
        <v>297</v>
      </c>
      <c r="E131" s="2"/>
      <c r="F131" s="3" t="s">
        <v>300</v>
      </c>
      <c r="G131" s="156">
        <v>345000</v>
      </c>
      <c r="H131" s="156"/>
      <c r="I131" s="156"/>
      <c r="J131" s="156">
        <v>345000</v>
      </c>
      <c r="K131" s="156">
        <f t="shared" si="4"/>
        <v>17250</v>
      </c>
      <c r="L131" s="2" t="s">
        <v>307</v>
      </c>
      <c r="M131" s="2"/>
      <c r="N131" s="144"/>
      <c r="P131" s="16"/>
      <c r="Q131" s="4"/>
      <c r="R131" s="74" t="s">
        <v>328</v>
      </c>
      <c r="T131" s="70" t="s">
        <v>321</v>
      </c>
      <c r="U131" s="3" t="s">
        <v>259</v>
      </c>
      <c r="V131" s="68" t="s">
        <v>260</v>
      </c>
      <c r="W131" s="159"/>
      <c r="X131" s="70" t="s">
        <v>69</v>
      </c>
      <c r="Y131" s="3" t="s">
        <v>311</v>
      </c>
      <c r="Z131" s="174">
        <v>1780000</v>
      </c>
    </row>
    <row r="132" spans="1:26" x14ac:dyDescent="0.3">
      <c r="A132" s="197">
        <v>13</v>
      </c>
      <c r="B132" s="155" t="s">
        <v>272</v>
      </c>
      <c r="C132" s="4" t="s">
        <v>284</v>
      </c>
      <c r="D132" s="2" t="s">
        <v>298</v>
      </c>
      <c r="E132" s="2"/>
      <c r="F132" s="3" t="s">
        <v>300</v>
      </c>
      <c r="G132" s="156">
        <v>345000</v>
      </c>
      <c r="H132" s="156">
        <v>80000</v>
      </c>
      <c r="I132" s="156">
        <v>48750</v>
      </c>
      <c r="J132" s="156">
        <v>473750</v>
      </c>
      <c r="K132" s="156">
        <f t="shared" si="4"/>
        <v>23687.5</v>
      </c>
      <c r="L132" s="2"/>
      <c r="M132" s="2"/>
      <c r="N132" s="144"/>
      <c r="P132" s="16"/>
      <c r="Q132" s="4"/>
      <c r="R132" s="74" t="s">
        <v>310</v>
      </c>
      <c r="T132" s="70" t="s">
        <v>322</v>
      </c>
      <c r="U132" s="3" t="s">
        <v>259</v>
      </c>
      <c r="V132" s="68" t="s">
        <v>260</v>
      </c>
      <c r="W132" s="159"/>
      <c r="X132" s="70" t="s">
        <v>309</v>
      </c>
      <c r="Y132" s="3"/>
      <c r="Z132" s="174"/>
    </row>
    <row r="133" spans="1:26" x14ac:dyDescent="0.3">
      <c r="A133" s="197">
        <v>14</v>
      </c>
      <c r="B133" s="155" t="s">
        <v>273</v>
      </c>
      <c r="C133" s="4" t="s">
        <v>285</v>
      </c>
      <c r="D133" s="2" t="s">
        <v>299</v>
      </c>
      <c r="E133" s="2"/>
      <c r="F133" s="3" t="s">
        <v>300</v>
      </c>
      <c r="G133" s="156">
        <v>345000</v>
      </c>
      <c r="H133" s="156"/>
      <c r="I133" s="156">
        <v>8000</v>
      </c>
      <c r="J133" s="156">
        <v>353000</v>
      </c>
      <c r="K133" s="156">
        <f t="shared" si="4"/>
        <v>17650</v>
      </c>
      <c r="L133" s="2" t="s">
        <v>305</v>
      </c>
      <c r="M133" s="2"/>
      <c r="N133" s="144"/>
      <c r="P133" s="16"/>
      <c r="Q133" s="4"/>
      <c r="R133" s="74" t="s">
        <v>327</v>
      </c>
      <c r="T133" s="70" t="s">
        <v>316</v>
      </c>
      <c r="U133" s="3" t="s">
        <v>259</v>
      </c>
      <c r="V133" s="68" t="s">
        <v>260</v>
      </c>
      <c r="W133" s="159"/>
      <c r="X133" s="70" t="s">
        <v>69</v>
      </c>
      <c r="Y133" s="3" t="s">
        <v>308</v>
      </c>
      <c r="Z133" s="174">
        <v>797200</v>
      </c>
    </row>
    <row r="134" spans="1:26" ht="17.25" thickBot="1" x14ac:dyDescent="0.35">
      <c r="A134" s="198">
        <v>15</v>
      </c>
      <c r="B134" s="157"/>
      <c r="C134" s="60"/>
      <c r="D134" s="84"/>
      <c r="E134" s="84"/>
      <c r="F134" s="60"/>
      <c r="G134" s="158"/>
      <c r="H134" s="158"/>
      <c r="I134" s="158"/>
      <c r="J134" s="158"/>
      <c r="K134" s="158"/>
      <c r="L134" s="84"/>
      <c r="M134" s="84"/>
      <c r="N134" s="145"/>
      <c r="P134" s="77"/>
      <c r="Q134" s="164"/>
      <c r="R134" s="76"/>
      <c r="T134" s="71"/>
      <c r="U134" s="60"/>
      <c r="V134" s="72"/>
      <c r="W134" s="159"/>
      <c r="X134" s="71"/>
      <c r="Y134" s="60"/>
      <c r="Z134" s="175"/>
    </row>
    <row r="135" spans="1:26" ht="18" thickBot="1" x14ac:dyDescent="0.35">
      <c r="F135" s="166" t="s">
        <v>37</v>
      </c>
      <c r="G135" s="167">
        <f>G120+G121+G122+G123+G124+G125+G126+G127+G128+G129+G130+G131+G132+G133+G134</f>
        <v>4646000</v>
      </c>
      <c r="H135" s="168">
        <f>H120+H121+H122+H123+H124+H125+H126+H127+H128+H129+H130+H131+H132+H133+H134</f>
        <v>692350</v>
      </c>
      <c r="I135" s="168">
        <f>I120+I121+I122+I123+I124+I125+I126+I127+I128+I129+I130+I131+I132+I133+I134</f>
        <v>339900</v>
      </c>
      <c r="J135" s="169">
        <f>J120+J121+J122+J123+J124+J125+J126+J127+J128+J129+J130+J131+J132+J133+J134</f>
        <v>5350000</v>
      </c>
      <c r="K135" s="171">
        <f>K120+K121+K122+K123+K124+K125+K126+K127+K128+K129+K130+K131+K132+K133+K134</f>
        <v>267500</v>
      </c>
      <c r="Y135" s="147" t="s">
        <v>37</v>
      </c>
      <c r="Z135" s="172">
        <f>Z120+Z121+Z122+Z123+Z125+Z124+Z126+Z127+Z128+Z129+Z130+Z131+Z132+Z133+Z134</f>
        <v>4861950</v>
      </c>
    </row>
    <row r="136" spans="1:26" ht="29.25" customHeight="1" thickBot="1" x14ac:dyDescent="0.35">
      <c r="F136" s="170" t="s">
        <v>302</v>
      </c>
      <c r="G136" s="176">
        <f>J135+Z135</f>
        <v>10211950</v>
      </c>
      <c r="H136" s="176"/>
      <c r="I136" s="176"/>
      <c r="J136" s="177"/>
    </row>
  </sheetData>
  <mergeCells count="59">
    <mergeCell ref="D133:E133"/>
    <mergeCell ref="D134:E134"/>
    <mergeCell ref="W119:W134"/>
    <mergeCell ref="F122:F123"/>
    <mergeCell ref="F124:F125"/>
    <mergeCell ref="B122:B123"/>
    <mergeCell ref="B124:B125"/>
    <mergeCell ref="C122:C123"/>
    <mergeCell ref="C124:C125"/>
    <mergeCell ref="D127:E127"/>
    <mergeCell ref="D128:E128"/>
    <mergeCell ref="D129:E129"/>
    <mergeCell ref="D130:E130"/>
    <mergeCell ref="D131:E131"/>
    <mergeCell ref="D132:E132"/>
    <mergeCell ref="L133:N133"/>
    <mergeCell ref="L134:N134"/>
    <mergeCell ref="G136:J136"/>
    <mergeCell ref="D120:E120"/>
    <mergeCell ref="D121:E121"/>
    <mergeCell ref="D122:E122"/>
    <mergeCell ref="D123:E123"/>
    <mergeCell ref="D124:E124"/>
    <mergeCell ref="D125:E125"/>
    <mergeCell ref="D126:E126"/>
    <mergeCell ref="L127:N127"/>
    <mergeCell ref="L128:N128"/>
    <mergeCell ref="L129:N129"/>
    <mergeCell ref="L130:N130"/>
    <mergeCell ref="L131:N131"/>
    <mergeCell ref="L132:N132"/>
    <mergeCell ref="L121:N121"/>
    <mergeCell ref="L122:N122"/>
    <mergeCell ref="L123:N123"/>
    <mergeCell ref="L124:N124"/>
    <mergeCell ref="L125:N125"/>
    <mergeCell ref="L126:N126"/>
    <mergeCell ref="T2:U2"/>
    <mergeCell ref="V2:W2"/>
    <mergeCell ref="P112:R112"/>
    <mergeCell ref="A1:W1"/>
    <mergeCell ref="T105:W105"/>
    <mergeCell ref="T106:W106"/>
    <mergeCell ref="P106:R106"/>
    <mergeCell ref="K113:L113"/>
    <mergeCell ref="P110:R110"/>
    <mergeCell ref="L119:N119"/>
    <mergeCell ref="L120:N120"/>
    <mergeCell ref="B105:C105"/>
    <mergeCell ref="E105:F105"/>
    <mergeCell ref="H105:I105"/>
    <mergeCell ref="K105:L105"/>
    <mergeCell ref="P105:R105"/>
    <mergeCell ref="P109:R109"/>
    <mergeCell ref="D119:E119"/>
    <mergeCell ref="B118:N118"/>
    <mergeCell ref="P118:R118"/>
    <mergeCell ref="T118:V118"/>
    <mergeCell ref="X118:Z118"/>
  </mergeCells>
  <phoneticPr fontId="1" type="noConversion"/>
  <dataValidations count="18">
    <dataValidation type="list" allowBlank="1" showInputMessage="1" showErrorMessage="1" sqref="N75:N103" xr:uid="{BAA17802-58CE-417D-A521-8E79D1E6B772}">
      <formula1>"팀장,정혜,원무1,원무2"</formula1>
    </dataValidation>
    <dataValidation type="list" allowBlank="1" showInputMessage="1" showErrorMessage="1" sqref="L75:L103" xr:uid="{F2B3BFF8-24C9-43A3-A198-C6B9A446C5E6}">
      <formula1>"네이버 O, 네이버 X"</formula1>
    </dataValidation>
    <dataValidation type="list" allowBlank="1" showInputMessage="1" showErrorMessage="1" sqref="K4:K103" xr:uid="{2F2878CB-E7B9-4019-8C99-332E68E15BB0}">
      <formula1>"구월동,간석동,만수동,논현동,장수동,서창동,고잔동,남촌동,도림동,정보없음,그외"</formula1>
    </dataValidation>
    <dataValidation type="list" allowBlank="1" showInputMessage="1" showErrorMessage="1" sqref="J4:J103" xr:uid="{86FFEA7E-1A41-4506-A416-D483DE660BCF}">
      <formula1>"예방의학과,기본검진,건강검진,외과,치과,내과,피부과,안과,재활,기타,기본관리"</formula1>
    </dataValidation>
    <dataValidation type="list" allowBlank="1" showInputMessage="1" showErrorMessage="1" sqref="I4:I103" xr:uid="{ACBDBA3C-3DC4-431D-B654-288C9F2A8983}">
      <formula1>"인터넷,지인,병원추천,기타,미작성"</formula1>
    </dataValidation>
    <dataValidation type="list" allowBlank="1" showInputMessage="1" showErrorMessage="1" sqref="H4:H103" xr:uid="{AFB18853-ED99-4D3A-94D7-943F432C2AEB}">
      <formula1>"1마리,다견,다묘,혼합"</formula1>
    </dataValidation>
    <dataValidation type="list" allowBlank="1" showInputMessage="1" showErrorMessage="1" sqref="G75:G103" xr:uid="{3CD80E30-E230-458B-BCDD-6BC9E70D90AD}">
      <formula1>"강아지, 고양이"</formula1>
    </dataValidation>
    <dataValidation type="list" allowBlank="1" showInputMessage="1" showErrorMessage="1" sqref="D4:D103" xr:uid="{CAA557B2-5A1C-46DB-BB99-A26EED6C2397}">
      <formula1>"주간, 야간"</formula1>
    </dataValidation>
    <dataValidation type="list" allowBlank="1" showInputMessage="1" showErrorMessage="1" sqref="P75:P103 X120:X134" xr:uid="{26B96DE9-370C-4ED5-9A0B-381A801EFA11}">
      <formula1>"재진 O, 재진 X"</formula1>
    </dataValidation>
    <dataValidation type="list" allowBlank="1" showInputMessage="1" showErrorMessage="1" sqref="G4:G74" xr:uid="{0160494E-5A9D-4DC8-BB56-DFF5189A9E55}">
      <formula1>"강아지,고양이"</formula1>
    </dataValidation>
    <dataValidation type="list" allowBlank="1" showInputMessage="1" showErrorMessage="1" sqref="N4:N74" xr:uid="{15C6B96A-9A3C-41D2-ACDA-3141E6582978}">
      <formula1>"팀장,정혜,혜빈"</formula1>
    </dataValidation>
    <dataValidation type="list" allowBlank="1" showInputMessage="1" showErrorMessage="1" sqref="L4:L74" xr:uid="{D932FAD0-6FA7-4D8A-9B5F-BEBD64DA8F13}">
      <formula1>"네이버예약O,네이버예약X"</formula1>
    </dataValidation>
    <dataValidation type="list" allowBlank="1" showInputMessage="1" showErrorMessage="1" sqref="P4:P74" xr:uid="{A1549B3B-18FF-446B-A5D4-0E3CFC311EE4}">
      <formula1>"재진O, 재진X"</formula1>
    </dataValidation>
    <dataValidation type="list" allowBlank="1" showInputMessage="1" showErrorMessage="1" sqref="T5:T74" xr:uid="{D8C549BC-727F-4608-97CC-8225151B9B54}">
      <formula1>"당일,퇴원3일후,재진1일전,재진1주후"</formula1>
    </dataValidation>
    <dataValidation type="list" allowBlank="1" showInputMessage="1" showErrorMessage="1" sqref="U4:U74 W4:W74" xr:uid="{248E1E7E-3804-4E09-9DCF-CD8F90AAB151}">
      <formula1>"발송완료,미발송,기타"</formula1>
    </dataValidation>
    <dataValidation type="list" allowBlank="1" showInputMessage="1" showErrorMessage="1" sqref="V4:V74" xr:uid="{C1494952-11CC-42BA-A2E7-5515865F7261}">
      <formula1>"재진1일전"</formula1>
    </dataValidation>
    <dataValidation type="list" allowBlank="1" showInputMessage="1" showErrorMessage="1" sqref="U120:U134" xr:uid="{49ED61C4-E0EA-4D8C-8354-04C75334361C}">
      <formula1>"완료, 미작성"</formula1>
    </dataValidation>
    <dataValidation type="list" allowBlank="1" showInputMessage="1" showErrorMessage="1" sqref="V120:V134" xr:uid="{92307367-5230-4A15-AABE-48060CD21FE4}">
      <formula1>"적립 O, 적립X"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 1월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2026-02-12T08:49:22Z</dcterms:created>
  <dcterms:modified xsi:type="dcterms:W3CDTF">2026-02-12T11:09:26Z</dcterms:modified>
</cp:coreProperties>
</file>