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VE\Desktop\김정혜\"/>
    </mc:Choice>
  </mc:AlternateContent>
  <xr:revisionPtr revIDLastSave="0" documentId="13_ncr:1_{BE0BAC03-1908-495F-9BE2-2F8F23E15539}" xr6:coauthVersionLast="46" xr6:coauthVersionMax="47" xr10:uidLastSave="{00000000-0000-0000-0000-000000000000}"/>
  <bookViews>
    <workbookView xWindow="-120" yWindow="-120" windowWidth="29040" windowHeight="15840" firstSheet="22" activeTab="28" xr2:uid="{00000000-000D-0000-FFFF-FFFF00000000}"/>
  </bookViews>
  <sheets>
    <sheet name="3월" sheetId="2" r:id="rId1"/>
    <sheet name="4월" sheetId="3" r:id="rId2"/>
    <sheet name="5월" sheetId="6" r:id="rId3"/>
    <sheet name="6월" sheetId="7" r:id="rId4"/>
    <sheet name="7월" sheetId="9" r:id="rId5"/>
    <sheet name="8월" sheetId="10" r:id="rId6"/>
    <sheet name="9월" sheetId="12" r:id="rId7"/>
    <sheet name="10월" sheetId="13" r:id="rId8"/>
    <sheet name="11월" sheetId="14" r:id="rId9"/>
    <sheet name="12월" sheetId="16" r:id="rId10"/>
    <sheet name="24년 1월" sheetId="18" r:id="rId11"/>
    <sheet name="24년 2월" sheetId="19" r:id="rId12"/>
    <sheet name="24년 7월" sheetId="20" r:id="rId13"/>
    <sheet name="Sheet1" sheetId="8" state="hidden" r:id="rId14"/>
    <sheet name="24년 8월" sheetId="21" r:id="rId15"/>
    <sheet name="24년 9월" sheetId="22" r:id="rId16"/>
    <sheet name="24년 10월" sheetId="23" r:id="rId17"/>
    <sheet name="24년 11월" sheetId="24" r:id="rId18"/>
    <sheet name="24년 12월" sheetId="25" r:id="rId19"/>
    <sheet name="25년 1월" sheetId="26" r:id="rId20"/>
    <sheet name="25년 2월" sheetId="27" r:id="rId21"/>
    <sheet name="25년 3월" sheetId="28" r:id="rId22"/>
    <sheet name="25년 4월" sheetId="29" r:id="rId23"/>
    <sheet name="25년 5월" sheetId="30" r:id="rId24"/>
    <sheet name="25년 10월" sheetId="34" r:id="rId25"/>
    <sheet name="25년 11월" sheetId="35" r:id="rId26"/>
    <sheet name="25년 12월" sheetId="36" r:id="rId27"/>
    <sheet name="26년 1월" sheetId="37" r:id="rId28"/>
    <sheet name="26년 2월" sheetId="38" r:id="rId29"/>
    <sheet name="복사용" sheetId="32" r:id="rId30"/>
  </sheets>
  <calcPr calcId="191029"/>
</workbook>
</file>

<file path=xl/calcChain.xml><?xml version="1.0" encoding="utf-8"?>
<calcChain xmlns="http://schemas.openxmlformats.org/spreadsheetml/2006/main">
  <c r="P25" i="38" l="1"/>
  <c r="P24" i="38"/>
  <c r="P22" i="38"/>
  <c r="P21" i="38"/>
  <c r="P20" i="38"/>
  <c r="P19" i="38"/>
  <c r="P18" i="38"/>
  <c r="P4" i="38"/>
  <c r="P5" i="38"/>
  <c r="P6" i="38"/>
  <c r="P7" i="38"/>
  <c r="P8" i="38"/>
  <c r="P9" i="38"/>
  <c r="P10" i="38"/>
  <c r="P11" i="38"/>
  <c r="P12" i="38"/>
  <c r="P13" i="38"/>
  <c r="P14" i="38"/>
  <c r="P15" i="38"/>
  <c r="P16" i="38"/>
  <c r="P17" i="38"/>
  <c r="P3" i="38"/>
  <c r="C114" i="38"/>
  <c r="C113" i="38"/>
  <c r="C112" i="38"/>
  <c r="C110" i="38"/>
  <c r="C109" i="38"/>
  <c r="C107" i="38"/>
  <c r="C105" i="38"/>
  <c r="C128" i="38"/>
  <c r="C127" i="38"/>
  <c r="C125" i="38"/>
  <c r="C124" i="38"/>
  <c r="C122" i="38"/>
  <c r="C120" i="38"/>
  <c r="C119" i="38"/>
  <c r="C118" i="38"/>
  <c r="F126" i="38"/>
  <c r="F123" i="38"/>
  <c r="G122" i="38"/>
  <c r="G121" i="38"/>
  <c r="G120" i="38"/>
  <c r="G119" i="38"/>
  <c r="G118" i="38"/>
  <c r="F122" i="37"/>
  <c r="G121" i="37"/>
  <c r="G120" i="37"/>
  <c r="G119" i="37"/>
  <c r="G118" i="37"/>
  <c r="G117" i="37"/>
  <c r="F125" i="37"/>
  <c r="C127" i="37"/>
  <c r="C126" i="37"/>
  <c r="C125" i="37"/>
  <c r="C124" i="37"/>
  <c r="C123" i="37"/>
  <c r="C122" i="37"/>
  <c r="C121" i="37"/>
  <c r="C120" i="37"/>
  <c r="C119" i="37"/>
  <c r="C118" i="37"/>
  <c r="C117" i="37"/>
  <c r="C114" i="37"/>
  <c r="C113" i="37"/>
  <c r="C112" i="37"/>
  <c r="C111" i="37"/>
  <c r="C110" i="37"/>
  <c r="C109" i="37"/>
  <c r="C108" i="37"/>
  <c r="C107" i="37"/>
  <c r="C106" i="37"/>
  <c r="C105" i="37"/>
  <c r="C104" i="37"/>
  <c r="G122" i="37" l="1"/>
  <c r="I169" i="38" l="1"/>
  <c r="J169" i="38" s="1"/>
  <c r="I168" i="38" l="1"/>
  <c r="J168" i="38" s="1"/>
  <c r="I167" i="38"/>
  <c r="J167" i="38" s="1"/>
  <c r="I166" i="38"/>
  <c r="J166" i="38" s="1"/>
  <c r="I165" i="38"/>
  <c r="J165" i="38" s="1"/>
  <c r="I164" i="38"/>
  <c r="J164" i="38" s="1"/>
  <c r="I163" i="38"/>
  <c r="J163" i="38" s="1"/>
  <c r="I162" i="38"/>
  <c r="J162" i="38" s="1"/>
  <c r="I161" i="38"/>
  <c r="J160" i="38"/>
  <c r="J159" i="38"/>
  <c r="I154" i="38"/>
  <c r="J154" i="38" s="1"/>
  <c r="J150" i="38"/>
  <c r="I148" i="38"/>
  <c r="J148" i="38" s="1"/>
  <c r="I147" i="38"/>
  <c r="J147" i="38" s="1"/>
  <c r="I146" i="38"/>
  <c r="J146" i="38" s="1"/>
  <c r="I145" i="38"/>
  <c r="J145" i="38" s="1"/>
  <c r="I144" i="38"/>
  <c r="J144" i="38" s="1"/>
  <c r="I143" i="38"/>
  <c r="J143" i="38" s="1"/>
  <c r="I142" i="38"/>
  <c r="J142" i="38" s="1"/>
  <c r="J141" i="38"/>
  <c r="I140" i="38"/>
  <c r="J139" i="38"/>
  <c r="I154" i="37"/>
  <c r="J154" i="37" s="1"/>
  <c r="J161" i="38" l="1"/>
  <c r="I177" i="38"/>
  <c r="F115" i="38" s="1"/>
  <c r="J140" i="38"/>
  <c r="I168" i="37"/>
  <c r="J168" i="37" s="1"/>
  <c r="F114" i="38" l="1"/>
  <c r="F110" i="38"/>
  <c r="F108" i="38"/>
  <c r="F105" i="38"/>
  <c r="F107" i="38"/>
  <c r="F112" i="38"/>
  <c r="F109" i="38"/>
  <c r="F111" i="38"/>
  <c r="F106" i="38"/>
  <c r="F113" i="38"/>
  <c r="I167" i="37"/>
  <c r="J167" i="37" s="1"/>
  <c r="I166" i="37"/>
  <c r="J166" i="37" s="1"/>
  <c r="J150" i="37"/>
  <c r="I148" i="37"/>
  <c r="J148" i="37" s="1"/>
  <c r="I147" i="37"/>
  <c r="J147" i="37" s="1"/>
  <c r="I146" i="37"/>
  <c r="J146" i="37" s="1"/>
  <c r="I145" i="37"/>
  <c r="J145" i="37" s="1"/>
  <c r="I144" i="37"/>
  <c r="J144" i="37" s="1"/>
  <c r="I143" i="37"/>
  <c r="J143" i="37" s="1"/>
  <c r="I142" i="37"/>
  <c r="J142" i="37" s="1"/>
  <c r="J141" i="37"/>
  <c r="I140" i="37"/>
  <c r="J139" i="37"/>
  <c r="J140" i="37" l="1"/>
  <c r="I165" i="37"/>
  <c r="J165" i="37" s="1"/>
  <c r="I164" i="37"/>
  <c r="J164" i="37" s="1"/>
  <c r="I163" i="37"/>
  <c r="J163" i="37" s="1"/>
  <c r="I162" i="37"/>
  <c r="J162" i="37" s="1"/>
  <c r="I161" i="37"/>
  <c r="J161" i="37" s="1"/>
  <c r="J160" i="37"/>
  <c r="J159" i="37"/>
  <c r="F106" i="37" l="1"/>
  <c r="F113" i="37"/>
  <c r="F107" i="37"/>
  <c r="F111" i="37"/>
  <c r="F109" i="37"/>
  <c r="F114" i="37"/>
  <c r="F105" i="37"/>
  <c r="F108" i="37"/>
  <c r="F104" i="37"/>
  <c r="F112" i="37"/>
  <c r="F110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D56" authorId="0" shapeId="0" xr:uid="{00000000-0006-0000-1500-000001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보호자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접혀있는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D75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보호자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누락
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가로로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둠</t>
        </r>
      </text>
    </comment>
  </commentList>
</comments>
</file>

<file path=xl/sharedStrings.xml><?xml version="1.0" encoding="utf-8"?>
<sst xmlns="http://schemas.openxmlformats.org/spreadsheetml/2006/main" count="6442" uniqueCount="3784">
  <si>
    <t>환자이름</t>
    <phoneticPr fontId="1" type="noConversion"/>
  </si>
  <si>
    <t>차트번호</t>
    <phoneticPr fontId="1" type="noConversion"/>
  </si>
  <si>
    <t>보호자이름</t>
    <phoneticPr fontId="1" type="noConversion"/>
  </si>
  <si>
    <t>내원 경로</t>
    <phoneticPr fontId="1" type="noConversion"/>
  </si>
  <si>
    <t>김라울, 김바울</t>
    <phoneticPr fontId="1" type="noConversion"/>
  </si>
  <si>
    <t>김여울</t>
    <phoneticPr fontId="1" type="noConversion"/>
  </si>
  <si>
    <t>(펫홈)용품점</t>
    <phoneticPr fontId="1" type="noConversion"/>
  </si>
  <si>
    <t>어흥</t>
    <phoneticPr fontId="1" type="noConversion"/>
  </si>
  <si>
    <t>양지윤</t>
    <phoneticPr fontId="1" type="noConversion"/>
  </si>
  <si>
    <t>밤이</t>
    <phoneticPr fontId="1" type="noConversion"/>
  </si>
  <si>
    <t>장우섭</t>
    <phoneticPr fontId="1" type="noConversion"/>
  </si>
  <si>
    <t>초크</t>
    <phoneticPr fontId="1" type="noConversion"/>
  </si>
  <si>
    <t>이수천</t>
    <phoneticPr fontId="1" type="noConversion"/>
  </si>
  <si>
    <t>집근처 동물병원 방문</t>
    <phoneticPr fontId="1" type="noConversion"/>
  </si>
  <si>
    <t>땡이</t>
    <phoneticPr fontId="1" type="noConversion"/>
  </si>
  <si>
    <t>백향숙</t>
    <phoneticPr fontId="1" type="noConversion"/>
  </si>
  <si>
    <t>마루</t>
    <phoneticPr fontId="1" type="noConversion"/>
  </si>
  <si>
    <t>김도영</t>
    <phoneticPr fontId="1" type="noConversion"/>
  </si>
  <si>
    <t>똘똘이</t>
    <phoneticPr fontId="1" type="noConversion"/>
  </si>
  <si>
    <t>김영</t>
    <phoneticPr fontId="1" type="noConversion"/>
  </si>
  <si>
    <t xml:space="preserve">꼬미 </t>
    <phoneticPr fontId="1" type="noConversion"/>
  </si>
  <si>
    <t>김성희</t>
    <phoneticPr fontId="1" type="noConversion"/>
  </si>
  <si>
    <t>민서희</t>
    <phoneticPr fontId="1" type="noConversion"/>
  </si>
  <si>
    <t>크림</t>
    <phoneticPr fontId="1" type="noConversion"/>
  </si>
  <si>
    <t>송식이</t>
    <phoneticPr fontId="1" type="noConversion"/>
  </si>
  <si>
    <t>이선화</t>
    <phoneticPr fontId="1" type="noConversion"/>
  </si>
  <si>
    <t>딸기</t>
    <phoneticPr fontId="1" type="noConversion"/>
  </si>
  <si>
    <t>황민지</t>
    <phoneticPr fontId="1" type="noConversion"/>
  </si>
  <si>
    <t>검색</t>
    <phoneticPr fontId="1" type="noConversion"/>
  </si>
  <si>
    <t>10193, 10194</t>
    <phoneticPr fontId="1" type="noConversion"/>
  </si>
  <si>
    <t>송성실</t>
    <phoneticPr fontId="1" type="noConversion"/>
  </si>
  <si>
    <t>모카, 라떼</t>
    <phoneticPr fontId="1" type="noConversion"/>
  </si>
  <si>
    <t>보리</t>
    <phoneticPr fontId="1" type="noConversion"/>
  </si>
  <si>
    <t>조가영</t>
    <phoneticPr fontId="1" type="noConversion"/>
  </si>
  <si>
    <t>코지동물병원 서구청점 소개</t>
    <phoneticPr fontId="1" type="noConversion"/>
  </si>
  <si>
    <t>똘이</t>
    <phoneticPr fontId="1" type="noConversion"/>
  </si>
  <si>
    <t>김근제</t>
    <phoneticPr fontId="1" type="noConversion"/>
  </si>
  <si>
    <t>지인 소개</t>
    <phoneticPr fontId="1" type="noConversion"/>
  </si>
  <si>
    <t>덕만</t>
    <phoneticPr fontId="1" type="noConversion"/>
  </si>
  <si>
    <t>강윤희</t>
    <phoneticPr fontId="1" type="noConversion"/>
  </si>
  <si>
    <t>대박이</t>
    <phoneticPr fontId="1" type="noConversion"/>
  </si>
  <si>
    <t>노인동</t>
    <phoneticPr fontId="1" type="noConversion"/>
  </si>
  <si>
    <t>반달이</t>
    <phoneticPr fontId="1" type="noConversion"/>
  </si>
  <si>
    <t xml:space="preserve">유지혜 </t>
    <phoneticPr fontId="1" type="noConversion"/>
  </si>
  <si>
    <t>24시 소래동물병원 소개</t>
    <phoneticPr fontId="1" type="noConversion"/>
  </si>
  <si>
    <t>몽이</t>
    <phoneticPr fontId="1" type="noConversion"/>
  </si>
  <si>
    <t>오승주</t>
    <phoneticPr fontId="1" type="noConversion"/>
  </si>
  <si>
    <t>뽀미</t>
    <phoneticPr fontId="1" type="noConversion"/>
  </si>
  <si>
    <t>노명순</t>
    <phoneticPr fontId="1" type="noConversion"/>
  </si>
  <si>
    <t>레나</t>
    <phoneticPr fontId="1" type="noConversion"/>
  </si>
  <si>
    <t>한영환</t>
    <phoneticPr fontId="1" type="noConversion"/>
  </si>
  <si>
    <t>명함 할인</t>
    <phoneticPr fontId="1" type="noConversion"/>
  </si>
  <si>
    <t>장충석</t>
    <phoneticPr fontId="1" type="noConversion"/>
  </si>
  <si>
    <t>유경</t>
    <phoneticPr fontId="1" type="noConversion"/>
  </si>
  <si>
    <t>동네 병원</t>
    <phoneticPr fontId="1" type="noConversion"/>
  </si>
  <si>
    <t>숏테일</t>
    <phoneticPr fontId="1" type="noConversion"/>
  </si>
  <si>
    <t>노영옥</t>
    <phoneticPr fontId="1" type="noConversion"/>
  </si>
  <si>
    <t>인터넷(블로그)</t>
    <phoneticPr fontId="1" type="noConversion"/>
  </si>
  <si>
    <t>장군</t>
    <phoneticPr fontId="1" type="noConversion"/>
  </si>
  <si>
    <t>노수지</t>
    <phoneticPr fontId="1" type="noConversion"/>
  </si>
  <si>
    <t>(펫홈)용품점</t>
    <phoneticPr fontId="1" type="noConversion"/>
  </si>
  <si>
    <t>단풍</t>
    <phoneticPr fontId="1" type="noConversion"/>
  </si>
  <si>
    <t>김시은</t>
    <phoneticPr fontId="1" type="noConversion"/>
  </si>
  <si>
    <t>인터넷 검색</t>
    <phoneticPr fontId="1" type="noConversion"/>
  </si>
  <si>
    <t>토리</t>
    <phoneticPr fontId="1" type="noConversion"/>
  </si>
  <si>
    <t>강민정</t>
    <phoneticPr fontId="1" type="noConversion"/>
  </si>
  <si>
    <t>백원장님 지인분</t>
    <phoneticPr fontId="1" type="noConversion"/>
  </si>
  <si>
    <t>장군, 가을</t>
    <phoneticPr fontId="1" type="noConversion"/>
  </si>
  <si>
    <t>오자영</t>
    <phoneticPr fontId="1" type="noConversion"/>
  </si>
  <si>
    <t>동네 병원</t>
    <phoneticPr fontId="1" type="noConversion"/>
  </si>
  <si>
    <t>모찌</t>
    <phoneticPr fontId="1" type="noConversion"/>
  </si>
  <si>
    <t>이정미</t>
    <phoneticPr fontId="1" type="noConversion"/>
  </si>
  <si>
    <t>또또</t>
    <phoneticPr fontId="1" type="noConversion"/>
  </si>
  <si>
    <t>김화순</t>
    <phoneticPr fontId="1" type="noConversion"/>
  </si>
  <si>
    <t>해피</t>
    <phoneticPr fontId="1" type="noConversion"/>
  </si>
  <si>
    <t>박종국</t>
    <phoneticPr fontId="1" type="noConversion"/>
  </si>
  <si>
    <t>오월이</t>
    <phoneticPr fontId="1" type="noConversion"/>
  </si>
  <si>
    <t>조덕례</t>
    <phoneticPr fontId="1" type="noConversion"/>
  </si>
  <si>
    <t>봄이</t>
    <phoneticPr fontId="1" type="noConversion"/>
  </si>
  <si>
    <t>장대식</t>
    <phoneticPr fontId="1" type="noConversion"/>
  </si>
  <si>
    <t>해피</t>
    <phoneticPr fontId="1" type="noConversion"/>
  </si>
  <si>
    <t>고순덕</t>
    <phoneticPr fontId="1" type="noConversion"/>
  </si>
  <si>
    <t>롯데</t>
    <phoneticPr fontId="1" type="noConversion"/>
  </si>
  <si>
    <t>백승엽</t>
    <phoneticPr fontId="1" type="noConversion"/>
  </si>
  <si>
    <t>쩜이</t>
    <phoneticPr fontId="1" type="noConversion"/>
  </si>
  <si>
    <t>이슬기</t>
    <phoneticPr fontId="1" type="noConversion"/>
  </si>
  <si>
    <t>대추</t>
    <phoneticPr fontId="1" type="noConversion"/>
  </si>
  <si>
    <t>김혜영</t>
    <phoneticPr fontId="1" type="noConversion"/>
  </si>
  <si>
    <t>서구청점 소개</t>
    <phoneticPr fontId="1" type="noConversion"/>
  </si>
  <si>
    <t>치즈</t>
    <phoneticPr fontId="1" type="noConversion"/>
  </si>
  <si>
    <t>윤여옥</t>
    <phoneticPr fontId="1" type="noConversion"/>
  </si>
  <si>
    <t>오월이</t>
    <phoneticPr fontId="1" type="noConversion"/>
  </si>
  <si>
    <t>김혜림</t>
    <phoneticPr fontId="1" type="noConversion"/>
  </si>
  <si>
    <t>(펫홈)용품점</t>
    <phoneticPr fontId="1" type="noConversion"/>
  </si>
  <si>
    <t>인터넷 검색</t>
    <phoneticPr fontId="1" type="noConversion"/>
  </si>
  <si>
    <t>정희원</t>
    <phoneticPr fontId="1" type="noConversion"/>
  </si>
  <si>
    <t>콩이,까미</t>
    <phoneticPr fontId="1" type="noConversion"/>
  </si>
  <si>
    <t>코코</t>
    <phoneticPr fontId="1" type="noConversion"/>
  </si>
  <si>
    <t>이제용</t>
    <phoneticPr fontId="1" type="noConversion"/>
  </si>
  <si>
    <t>아이는 2마리여도 차트 번호는 1개 입니다!!!!!!!</t>
    <phoneticPr fontId="1" type="noConversion"/>
  </si>
  <si>
    <t>우리</t>
    <phoneticPr fontId="1" type="noConversion"/>
  </si>
  <si>
    <t>강진경</t>
    <phoneticPr fontId="1" type="noConversion"/>
  </si>
  <si>
    <t>환자이름</t>
    <phoneticPr fontId="1" type="noConversion"/>
  </si>
  <si>
    <t>차트번호</t>
    <phoneticPr fontId="1" type="noConversion"/>
  </si>
  <si>
    <t>보호자이름</t>
    <phoneticPr fontId="1" type="noConversion"/>
  </si>
  <si>
    <t>내원 경로</t>
    <phoneticPr fontId="1" type="noConversion"/>
  </si>
  <si>
    <t>모카</t>
    <phoneticPr fontId="1" type="noConversion"/>
  </si>
  <si>
    <t>정재현</t>
    <phoneticPr fontId="1" type="noConversion"/>
  </si>
  <si>
    <t>인터넷 검색</t>
    <phoneticPr fontId="1" type="noConversion"/>
  </si>
  <si>
    <t>럭키</t>
    <phoneticPr fontId="1" type="noConversion"/>
  </si>
  <si>
    <t>여지현</t>
    <phoneticPr fontId="1" type="noConversion"/>
  </si>
  <si>
    <t>보리</t>
    <phoneticPr fontId="1" type="noConversion"/>
  </si>
  <si>
    <t>원유림</t>
    <phoneticPr fontId="1" type="noConversion"/>
  </si>
  <si>
    <t>집근처 동물병원 방문</t>
    <phoneticPr fontId="1" type="noConversion"/>
  </si>
  <si>
    <t>보름</t>
    <phoneticPr fontId="1" type="noConversion"/>
  </si>
  <si>
    <t>이명석</t>
    <phoneticPr fontId="1" type="noConversion"/>
  </si>
  <si>
    <t>몽이</t>
    <phoneticPr fontId="1" type="noConversion"/>
  </si>
  <si>
    <t>김인기</t>
    <phoneticPr fontId="1" type="noConversion"/>
  </si>
  <si>
    <t>여식, 남식</t>
    <phoneticPr fontId="1" type="noConversion"/>
  </si>
  <si>
    <t>방준식</t>
    <phoneticPr fontId="1" type="noConversion"/>
  </si>
  <si>
    <t>달이</t>
    <phoneticPr fontId="1" type="noConversion"/>
  </si>
  <si>
    <t>김혜정</t>
    <phoneticPr fontId="1" type="noConversion"/>
  </si>
  <si>
    <t>삐순이</t>
    <phoneticPr fontId="1" type="noConversion"/>
  </si>
  <si>
    <t>황복남</t>
    <phoneticPr fontId="1" type="noConversion"/>
  </si>
  <si>
    <t>인터넷 검색</t>
    <phoneticPr fontId="1" type="noConversion"/>
  </si>
  <si>
    <t>까미</t>
    <phoneticPr fontId="1" type="noConversion"/>
  </si>
  <si>
    <t>김민숙</t>
    <phoneticPr fontId="1" type="noConversion"/>
  </si>
  <si>
    <t>지나가다 발견</t>
    <phoneticPr fontId="1" type="noConversion"/>
  </si>
  <si>
    <t>망고, 호두</t>
    <phoneticPr fontId="1" type="noConversion"/>
  </si>
  <si>
    <t>임진희</t>
    <phoneticPr fontId="1" type="noConversion"/>
  </si>
  <si>
    <t>윤연재</t>
    <phoneticPr fontId="1" type="noConversion"/>
  </si>
  <si>
    <t>콩지</t>
    <phoneticPr fontId="1" type="noConversion"/>
  </si>
  <si>
    <t>보리</t>
    <phoneticPr fontId="1" type="noConversion"/>
  </si>
  <si>
    <t>최미화</t>
    <phoneticPr fontId="1" type="noConversion"/>
  </si>
  <si>
    <t>맘카페</t>
    <phoneticPr fontId="1" type="noConversion"/>
  </si>
  <si>
    <t>떡뽀기</t>
    <phoneticPr fontId="1" type="noConversion"/>
  </si>
  <si>
    <t>김현화</t>
    <phoneticPr fontId="1" type="noConversion"/>
  </si>
  <si>
    <t>땅콩, 망고, 초코</t>
    <phoneticPr fontId="1" type="noConversion"/>
  </si>
  <si>
    <t>장성자</t>
    <phoneticPr fontId="1" type="noConversion"/>
  </si>
  <si>
    <t>김태희</t>
    <phoneticPr fontId="1" type="noConversion"/>
  </si>
  <si>
    <t>곽영한</t>
    <phoneticPr fontId="1" type="noConversion"/>
  </si>
  <si>
    <t xml:space="preserve">용품점 </t>
    <phoneticPr fontId="1" type="noConversion"/>
  </si>
  <si>
    <t>땡이</t>
    <phoneticPr fontId="1" type="noConversion"/>
  </si>
  <si>
    <t>고주영</t>
    <phoneticPr fontId="1" type="noConversion"/>
  </si>
  <si>
    <t>24시 소래동물병원 소개</t>
    <phoneticPr fontId="1" type="noConversion"/>
  </si>
  <si>
    <t>짹슨</t>
    <phoneticPr fontId="1" type="noConversion"/>
  </si>
  <si>
    <t>정명란</t>
    <phoneticPr fontId="1" type="noConversion"/>
  </si>
  <si>
    <t>인터넷 검색</t>
    <phoneticPr fontId="1" type="noConversion"/>
  </si>
  <si>
    <t>마리</t>
    <phoneticPr fontId="1" type="noConversion"/>
  </si>
  <si>
    <t>이정희</t>
    <phoneticPr fontId="1" type="noConversion"/>
  </si>
  <si>
    <t>푸딩, 천둥, 까까</t>
    <phoneticPr fontId="1" type="noConversion"/>
  </si>
  <si>
    <t>송주원</t>
    <phoneticPr fontId="1" type="noConversion"/>
  </si>
  <si>
    <t>피핀</t>
    <phoneticPr fontId="1" type="noConversion"/>
  </si>
  <si>
    <t>앰버</t>
    <phoneticPr fontId="1" type="noConversion"/>
  </si>
  <si>
    <t>위니</t>
    <phoneticPr fontId="1" type="noConversion"/>
  </si>
  <si>
    <t>김은옥</t>
    <phoneticPr fontId="1" type="noConversion"/>
  </si>
  <si>
    <t>까치</t>
    <phoneticPr fontId="1" type="noConversion"/>
  </si>
  <si>
    <t>최효경</t>
    <phoneticPr fontId="1" type="noConversion"/>
  </si>
  <si>
    <t>지나가다 발견</t>
    <phoneticPr fontId="1" type="noConversion"/>
  </si>
  <si>
    <t>복이</t>
    <phoneticPr fontId="1" type="noConversion"/>
  </si>
  <si>
    <t>최선희</t>
    <phoneticPr fontId="1" type="noConversion"/>
  </si>
  <si>
    <t>부끄</t>
    <phoneticPr fontId="1" type="noConversion"/>
  </si>
  <si>
    <t>윤영신</t>
    <phoneticPr fontId="1" type="noConversion"/>
  </si>
  <si>
    <t>오레오</t>
    <phoneticPr fontId="1" type="noConversion"/>
  </si>
  <si>
    <t>심윤아</t>
    <phoneticPr fontId="1" type="noConversion"/>
  </si>
  <si>
    <t>별이</t>
    <phoneticPr fontId="1" type="noConversion"/>
  </si>
  <si>
    <t>이수진</t>
    <phoneticPr fontId="1" type="noConversion"/>
  </si>
  <si>
    <t>미니, 루비</t>
    <phoneticPr fontId="1" type="noConversion"/>
  </si>
  <si>
    <t>손진회</t>
    <phoneticPr fontId="1" type="noConversion"/>
  </si>
  <si>
    <t>겨울</t>
    <phoneticPr fontId="1" type="noConversion"/>
  </si>
  <si>
    <t>박상희</t>
    <phoneticPr fontId="1" type="noConversion"/>
  </si>
  <si>
    <t>요미</t>
    <phoneticPr fontId="1" type="noConversion"/>
  </si>
  <si>
    <t>조아라</t>
    <phoneticPr fontId="1" type="noConversion"/>
  </si>
  <si>
    <t>꼬맹이</t>
    <phoneticPr fontId="1" type="noConversion"/>
  </si>
  <si>
    <t>김진권</t>
    <phoneticPr fontId="1" type="noConversion"/>
  </si>
  <si>
    <t>제리</t>
    <phoneticPr fontId="1" type="noConversion"/>
  </si>
  <si>
    <t xml:space="preserve">강래완 </t>
    <phoneticPr fontId="1" type="noConversion"/>
  </si>
  <si>
    <t>보미</t>
    <phoneticPr fontId="1" type="noConversion"/>
  </si>
  <si>
    <t>김대덕</t>
    <phoneticPr fontId="1" type="noConversion"/>
  </si>
  <si>
    <t>만두</t>
    <phoneticPr fontId="1" type="noConversion"/>
  </si>
  <si>
    <t>김희선</t>
    <phoneticPr fontId="1" type="noConversion"/>
  </si>
  <si>
    <t>만두</t>
    <phoneticPr fontId="1" type="noConversion"/>
  </si>
  <si>
    <t>박슬기</t>
    <phoneticPr fontId="1" type="noConversion"/>
  </si>
  <si>
    <t>지인 소개</t>
    <phoneticPr fontId="1" type="noConversion"/>
  </si>
  <si>
    <t>콩이</t>
    <phoneticPr fontId="1" type="noConversion"/>
  </si>
  <si>
    <t>이현주</t>
    <phoneticPr fontId="1" type="noConversion"/>
  </si>
  <si>
    <t>똘이</t>
    <phoneticPr fontId="1" type="noConversion"/>
  </si>
  <si>
    <t>김준우</t>
    <phoneticPr fontId="1" type="noConversion"/>
  </si>
  <si>
    <t>오해</t>
    <phoneticPr fontId="1" type="noConversion"/>
  </si>
  <si>
    <t>백지현</t>
    <phoneticPr fontId="1" type="noConversion"/>
  </si>
  <si>
    <t>지나가다 발견</t>
    <phoneticPr fontId="1" type="noConversion"/>
  </si>
  <si>
    <t>박선미</t>
    <phoneticPr fontId="1" type="noConversion"/>
  </si>
  <si>
    <t>용품점</t>
    <phoneticPr fontId="1" type="noConversion"/>
  </si>
  <si>
    <t>뚜나</t>
    <phoneticPr fontId="1" type="noConversion"/>
  </si>
  <si>
    <t>밍키</t>
    <phoneticPr fontId="1" type="noConversion"/>
  </si>
  <si>
    <t>지나가다 발견</t>
    <phoneticPr fontId="1" type="noConversion"/>
  </si>
  <si>
    <t>박미선</t>
    <phoneticPr fontId="1" type="noConversion"/>
  </si>
  <si>
    <t>전혜림</t>
    <phoneticPr fontId="1" type="noConversion"/>
  </si>
  <si>
    <t>별이</t>
    <phoneticPr fontId="1" type="noConversion"/>
  </si>
  <si>
    <t>행복</t>
    <phoneticPr fontId="1" type="noConversion"/>
  </si>
  <si>
    <t>윤명희</t>
    <phoneticPr fontId="1" type="noConversion"/>
  </si>
  <si>
    <t>이인경</t>
    <phoneticPr fontId="1" type="noConversion"/>
  </si>
  <si>
    <t>코코</t>
    <phoneticPr fontId="1" type="noConversion"/>
  </si>
  <si>
    <t>진별이</t>
    <phoneticPr fontId="1" type="noConversion"/>
  </si>
  <si>
    <t>서병수</t>
    <phoneticPr fontId="1" type="noConversion"/>
  </si>
  <si>
    <t>용품점</t>
    <phoneticPr fontId="1" type="noConversion"/>
  </si>
  <si>
    <t>먼지</t>
    <phoneticPr fontId="1" type="noConversion"/>
  </si>
  <si>
    <t>유효은</t>
    <phoneticPr fontId="1" type="noConversion"/>
  </si>
  <si>
    <t>밤비</t>
    <phoneticPr fontId="1" type="noConversion"/>
  </si>
  <si>
    <t>이민선</t>
    <phoneticPr fontId="1" type="noConversion"/>
  </si>
  <si>
    <t>용품점</t>
    <phoneticPr fontId="1" type="noConversion"/>
  </si>
  <si>
    <t>또또</t>
    <phoneticPr fontId="1" type="noConversion"/>
  </si>
  <si>
    <t>최경수</t>
    <phoneticPr fontId="1" type="noConversion"/>
  </si>
  <si>
    <t>지인 소개</t>
    <phoneticPr fontId="1" type="noConversion"/>
  </si>
  <si>
    <t>설탕이</t>
    <phoneticPr fontId="1" type="noConversion"/>
  </si>
  <si>
    <t>방영자</t>
    <phoneticPr fontId="1" type="noConversion"/>
  </si>
  <si>
    <t xml:space="preserve">TNR 병원 </t>
    <phoneticPr fontId="1" type="noConversion"/>
  </si>
  <si>
    <t>또리</t>
    <phoneticPr fontId="1" type="noConversion"/>
  </si>
  <si>
    <t>구화연</t>
    <phoneticPr fontId="1" type="noConversion"/>
  </si>
  <si>
    <t>용품점</t>
    <phoneticPr fontId="1" type="noConversion"/>
  </si>
  <si>
    <t>인터넷 검색</t>
    <phoneticPr fontId="1" type="noConversion"/>
  </si>
  <si>
    <t>칸</t>
    <phoneticPr fontId="1" type="noConversion"/>
  </si>
  <si>
    <t>윤정현</t>
    <phoneticPr fontId="1" type="noConversion"/>
  </si>
  <si>
    <t>포도</t>
    <phoneticPr fontId="1" type="noConversion"/>
  </si>
  <si>
    <t>김현미</t>
    <phoneticPr fontId="1" type="noConversion"/>
  </si>
  <si>
    <t>인터넷 검색(네이버)</t>
    <phoneticPr fontId="1" type="noConversion"/>
  </si>
  <si>
    <t>마유</t>
    <phoneticPr fontId="1" type="noConversion"/>
  </si>
  <si>
    <t>한정우</t>
    <phoneticPr fontId="1" type="noConversion"/>
  </si>
  <si>
    <t>인터넷 검색</t>
    <phoneticPr fontId="1" type="noConversion"/>
  </si>
  <si>
    <t xml:space="preserve">노을 </t>
    <phoneticPr fontId="1" type="noConversion"/>
  </si>
  <si>
    <t>중기, 마루</t>
    <phoneticPr fontId="1" type="noConversion"/>
  </si>
  <si>
    <t>현동희</t>
    <phoneticPr fontId="1" type="noConversion"/>
  </si>
  <si>
    <t>인터넷 검색</t>
    <phoneticPr fontId="1" type="noConversion"/>
  </si>
  <si>
    <t>이미라</t>
    <phoneticPr fontId="1" type="noConversion"/>
  </si>
  <si>
    <t>하버드</t>
    <phoneticPr fontId="1" type="noConversion"/>
  </si>
  <si>
    <t>손은하영</t>
    <phoneticPr fontId="1" type="noConversion"/>
  </si>
  <si>
    <t>양배추</t>
    <phoneticPr fontId="1" type="noConversion"/>
  </si>
  <si>
    <t>양수빈</t>
    <phoneticPr fontId="1" type="noConversion"/>
  </si>
  <si>
    <t>구마</t>
    <phoneticPr fontId="1" type="noConversion"/>
  </si>
  <si>
    <t>고혜원</t>
    <phoneticPr fontId="1" type="noConversion"/>
  </si>
  <si>
    <t>지인 소개</t>
    <phoneticPr fontId="1" type="noConversion"/>
  </si>
  <si>
    <t>상곰</t>
    <phoneticPr fontId="1" type="noConversion"/>
  </si>
  <si>
    <t>신정숙</t>
    <phoneticPr fontId="1" type="noConversion"/>
  </si>
  <si>
    <t>인터넷 검색</t>
    <phoneticPr fontId="1" type="noConversion"/>
  </si>
  <si>
    <t>오댕이</t>
    <phoneticPr fontId="1" type="noConversion"/>
  </si>
  <si>
    <t>김미진</t>
    <phoneticPr fontId="1" type="noConversion"/>
  </si>
  <si>
    <t>두리</t>
    <phoneticPr fontId="1" type="noConversion"/>
  </si>
  <si>
    <t>이동원</t>
    <phoneticPr fontId="1" type="noConversion"/>
  </si>
  <si>
    <t>토리</t>
    <phoneticPr fontId="1" type="noConversion"/>
  </si>
  <si>
    <t>이향란</t>
    <phoneticPr fontId="1" type="noConversion"/>
  </si>
  <si>
    <t>인터넷 검색(네이버)</t>
    <phoneticPr fontId="1" type="noConversion"/>
  </si>
  <si>
    <t>지인 소개(송지은님 아띠네)</t>
    <phoneticPr fontId="1" type="noConversion"/>
  </si>
  <si>
    <t>미미</t>
    <phoneticPr fontId="1" type="noConversion"/>
  </si>
  <si>
    <t>이우주</t>
    <phoneticPr fontId="1" type="noConversion"/>
  </si>
  <si>
    <t>인터넷 검색(네이버)</t>
    <phoneticPr fontId="1" type="noConversion"/>
  </si>
  <si>
    <t>은동</t>
    <phoneticPr fontId="1" type="noConversion"/>
  </si>
  <si>
    <t>김윤석</t>
    <phoneticPr fontId="1" type="noConversion"/>
  </si>
  <si>
    <t>사랑이</t>
    <phoneticPr fontId="1" type="noConversion"/>
  </si>
  <si>
    <t>박건영</t>
    <phoneticPr fontId="1" type="noConversion"/>
  </si>
  <si>
    <t>집근처 동물병원 방문</t>
    <phoneticPr fontId="1" type="noConversion"/>
  </si>
  <si>
    <t>김초코</t>
    <phoneticPr fontId="1" type="noConversion"/>
  </si>
  <si>
    <t>김성미</t>
    <phoneticPr fontId="1" type="noConversion"/>
  </si>
  <si>
    <t>지인 소개</t>
    <phoneticPr fontId="1" type="noConversion"/>
  </si>
  <si>
    <t>길냥이</t>
    <phoneticPr fontId="1" type="noConversion"/>
  </si>
  <si>
    <t>임수지</t>
    <phoneticPr fontId="1" type="noConversion"/>
  </si>
  <si>
    <t>쁘니</t>
    <phoneticPr fontId="1" type="noConversion"/>
  </si>
  <si>
    <t>표진아</t>
    <phoneticPr fontId="1" type="noConversion"/>
  </si>
  <si>
    <t>구름이</t>
    <phoneticPr fontId="1" type="noConversion"/>
  </si>
  <si>
    <t>배준호</t>
    <phoneticPr fontId="1" type="noConversion"/>
  </si>
  <si>
    <t>용품점</t>
    <phoneticPr fontId="1" type="noConversion"/>
  </si>
  <si>
    <t>밀크</t>
    <phoneticPr fontId="1" type="noConversion"/>
  </si>
  <si>
    <t>김혜민</t>
    <phoneticPr fontId="1" type="noConversion"/>
  </si>
  <si>
    <t>계나리</t>
    <phoneticPr fontId="1" type="noConversion"/>
  </si>
  <si>
    <t>계정훈</t>
    <phoneticPr fontId="1" type="noConversion"/>
  </si>
  <si>
    <t>코코</t>
    <phoneticPr fontId="1" type="noConversion"/>
  </si>
  <si>
    <t>권수진</t>
    <phoneticPr fontId="1" type="noConversion"/>
  </si>
  <si>
    <t>탄</t>
    <phoneticPr fontId="1" type="noConversion"/>
  </si>
  <si>
    <t>강윤구</t>
    <phoneticPr fontId="1" type="noConversion"/>
  </si>
  <si>
    <t>용품점</t>
    <phoneticPr fontId="1" type="noConversion"/>
  </si>
  <si>
    <t>콩콩이</t>
    <phoneticPr fontId="1" type="noConversion"/>
  </si>
  <si>
    <t>정영이</t>
    <phoneticPr fontId="1" type="noConversion"/>
  </si>
  <si>
    <t>지인소개 (대표님)</t>
    <phoneticPr fontId="1" type="noConversion"/>
  </si>
  <si>
    <t>무지</t>
    <phoneticPr fontId="1" type="noConversion"/>
  </si>
  <si>
    <t>임리나</t>
    <phoneticPr fontId="1" type="noConversion"/>
  </si>
  <si>
    <t>지인추천</t>
    <phoneticPr fontId="1" type="noConversion"/>
  </si>
  <si>
    <t>아리</t>
    <phoneticPr fontId="1" type="noConversion"/>
  </si>
  <si>
    <t>김윤정</t>
    <phoneticPr fontId="1" type="noConversion"/>
  </si>
  <si>
    <t>쵸파</t>
    <phoneticPr fontId="1" type="noConversion"/>
  </si>
  <si>
    <t>박소연</t>
    <phoneticPr fontId="1" type="noConversion"/>
  </si>
  <si>
    <t>체리</t>
    <phoneticPr fontId="1" type="noConversion"/>
  </si>
  <si>
    <t>박민철</t>
    <phoneticPr fontId="1" type="noConversion"/>
  </si>
  <si>
    <t>박지서</t>
    <phoneticPr fontId="1" type="noConversion"/>
  </si>
  <si>
    <t>용품점</t>
    <phoneticPr fontId="1" type="noConversion"/>
  </si>
  <si>
    <t>우주</t>
    <phoneticPr fontId="1" type="noConversion"/>
  </si>
  <si>
    <t>김가연</t>
    <phoneticPr fontId="1" type="noConversion"/>
  </si>
  <si>
    <t>오공</t>
    <phoneticPr fontId="1" type="noConversion"/>
  </si>
  <si>
    <t>지인소개</t>
    <phoneticPr fontId="1" type="noConversion"/>
  </si>
  <si>
    <t>심소연</t>
    <phoneticPr fontId="1" type="noConversion"/>
  </si>
  <si>
    <t>짱아</t>
    <phoneticPr fontId="1" type="noConversion"/>
  </si>
  <si>
    <t>김현지</t>
    <phoneticPr fontId="1" type="noConversion"/>
  </si>
  <si>
    <t>감자</t>
    <phoneticPr fontId="1" type="noConversion"/>
  </si>
  <si>
    <t>제이</t>
    <phoneticPr fontId="1" type="noConversion"/>
  </si>
  <si>
    <t>오은숙</t>
    <phoneticPr fontId="1" type="noConversion"/>
  </si>
  <si>
    <t>하늘이</t>
    <phoneticPr fontId="1" type="noConversion"/>
  </si>
  <si>
    <t>김대훈</t>
    <phoneticPr fontId="1" type="noConversion"/>
  </si>
  <si>
    <t>초롱이</t>
    <phoneticPr fontId="1" type="noConversion"/>
  </si>
  <si>
    <t>이지환</t>
    <phoneticPr fontId="1" type="noConversion"/>
  </si>
  <si>
    <t>다미</t>
    <phoneticPr fontId="1" type="noConversion"/>
  </si>
  <si>
    <t>조서윤</t>
    <phoneticPr fontId="1" type="noConversion"/>
  </si>
  <si>
    <t>아가</t>
    <phoneticPr fontId="1" type="noConversion"/>
  </si>
  <si>
    <t>조설아</t>
    <phoneticPr fontId="1" type="noConversion"/>
  </si>
  <si>
    <t>오월이</t>
    <phoneticPr fontId="1" type="noConversion"/>
  </si>
  <si>
    <t>남궁수진</t>
    <phoneticPr fontId="1" type="noConversion"/>
  </si>
  <si>
    <t>똘이</t>
    <phoneticPr fontId="1" type="noConversion"/>
  </si>
  <si>
    <t>김은희</t>
    <phoneticPr fontId="1" type="noConversion"/>
  </si>
  <si>
    <t>사월</t>
    <phoneticPr fontId="1" type="noConversion"/>
  </si>
  <si>
    <t>전민영</t>
    <phoneticPr fontId="1" type="noConversion"/>
  </si>
  <si>
    <t>용품점</t>
    <phoneticPr fontId="1" type="noConversion"/>
  </si>
  <si>
    <t>초코</t>
    <phoneticPr fontId="1" type="noConversion"/>
  </si>
  <si>
    <t xml:space="preserve">김도인 </t>
    <phoneticPr fontId="1" type="noConversion"/>
  </si>
  <si>
    <t>인터넷 검색</t>
    <phoneticPr fontId="1" type="noConversion"/>
  </si>
  <si>
    <t>페로</t>
    <phoneticPr fontId="1" type="noConversion"/>
  </si>
  <si>
    <t>왕여순</t>
    <phoneticPr fontId="1" type="noConversion"/>
  </si>
  <si>
    <t>지인추천</t>
    <phoneticPr fontId="1" type="noConversion"/>
  </si>
  <si>
    <t>츄</t>
    <phoneticPr fontId="1" type="noConversion"/>
  </si>
  <si>
    <t>안양희</t>
    <phoneticPr fontId="1" type="noConversion"/>
  </si>
  <si>
    <t>용품점</t>
    <phoneticPr fontId="1" type="noConversion"/>
  </si>
  <si>
    <t>잔디</t>
    <phoneticPr fontId="1" type="noConversion"/>
  </si>
  <si>
    <t>강숙정</t>
    <phoneticPr fontId="1" type="noConversion"/>
  </si>
  <si>
    <t>지인추천 (오순화님, 순덕이)</t>
    <phoneticPr fontId="1" type="noConversion"/>
  </si>
  <si>
    <t>티모</t>
    <phoneticPr fontId="1" type="noConversion"/>
  </si>
  <si>
    <t>이솜</t>
    <phoneticPr fontId="1" type="noConversion"/>
  </si>
  <si>
    <t>토리</t>
    <phoneticPr fontId="1" type="noConversion"/>
  </si>
  <si>
    <t>신승철</t>
    <phoneticPr fontId="1" type="noConversion"/>
  </si>
  <si>
    <t>지인추천(최지나님)</t>
    <phoneticPr fontId="1" type="noConversion"/>
  </si>
  <si>
    <t>소래</t>
    <phoneticPr fontId="1" type="noConversion"/>
  </si>
  <si>
    <t>김병민</t>
    <phoneticPr fontId="1" type="noConversion"/>
  </si>
  <si>
    <t>용품점</t>
    <phoneticPr fontId="1" type="noConversion"/>
  </si>
  <si>
    <t>이기춘</t>
    <phoneticPr fontId="1" type="noConversion"/>
  </si>
  <si>
    <t>복순이</t>
    <phoneticPr fontId="1" type="noConversion"/>
  </si>
  <si>
    <t>황예솔</t>
    <phoneticPr fontId="1" type="noConversion"/>
  </si>
  <si>
    <t>검색,근처</t>
    <phoneticPr fontId="1" type="noConversion"/>
  </si>
  <si>
    <t>이만두</t>
    <phoneticPr fontId="1" type="noConversion"/>
  </si>
  <si>
    <t>이지원</t>
    <phoneticPr fontId="1" type="noConversion"/>
  </si>
  <si>
    <t>베이슬</t>
    <phoneticPr fontId="1" type="noConversion"/>
  </si>
  <si>
    <t>모이자</t>
    <phoneticPr fontId="1" type="noConversion"/>
  </si>
  <si>
    <t>베르</t>
    <phoneticPr fontId="1" type="noConversion"/>
  </si>
  <si>
    <t>최일원</t>
    <phoneticPr fontId="1" type="noConversion"/>
  </si>
  <si>
    <t>지나가다 방문</t>
    <phoneticPr fontId="1" type="noConversion"/>
  </si>
  <si>
    <t>송도점 실장님</t>
    <phoneticPr fontId="1" type="noConversion"/>
  </si>
  <si>
    <t>이신영</t>
    <phoneticPr fontId="1" type="noConversion"/>
  </si>
  <si>
    <t>도담</t>
    <phoneticPr fontId="1" type="noConversion"/>
  </si>
  <si>
    <t>두부</t>
    <phoneticPr fontId="1" type="noConversion"/>
  </si>
  <si>
    <t>김효진</t>
    <phoneticPr fontId="1" type="noConversion"/>
  </si>
  <si>
    <t>양희</t>
    <phoneticPr fontId="1" type="noConversion"/>
  </si>
  <si>
    <t>백종빈</t>
    <phoneticPr fontId="1" type="noConversion"/>
  </si>
  <si>
    <t>초코</t>
    <phoneticPr fontId="1" type="noConversion"/>
  </si>
  <si>
    <t>정훈</t>
    <phoneticPr fontId="1" type="noConversion"/>
  </si>
  <si>
    <t>사랑이</t>
    <phoneticPr fontId="1" type="noConversion"/>
  </si>
  <si>
    <t>문정순</t>
    <phoneticPr fontId="1" type="noConversion"/>
  </si>
  <si>
    <t>까망이</t>
    <phoneticPr fontId="1" type="noConversion"/>
  </si>
  <si>
    <t>임미자</t>
    <phoneticPr fontId="1" type="noConversion"/>
  </si>
  <si>
    <t>일순이</t>
    <phoneticPr fontId="1" type="noConversion"/>
  </si>
  <si>
    <t>차정현</t>
    <phoneticPr fontId="1" type="noConversion"/>
  </si>
  <si>
    <t>길냥이1, 길냥이2</t>
    <phoneticPr fontId="1" type="noConversion"/>
  </si>
  <si>
    <t>구홍대</t>
    <phoneticPr fontId="1" type="noConversion"/>
  </si>
  <si>
    <t>후루</t>
    <phoneticPr fontId="1" type="noConversion"/>
  </si>
  <si>
    <t>윤연우</t>
    <phoneticPr fontId="1" type="noConversion"/>
  </si>
  <si>
    <t>나비</t>
    <phoneticPr fontId="1" type="noConversion"/>
  </si>
  <si>
    <t>윤선영</t>
    <phoneticPr fontId="1" type="noConversion"/>
  </si>
  <si>
    <t>꼬미</t>
    <phoneticPr fontId="1" type="noConversion"/>
  </si>
  <si>
    <t>이남훈</t>
    <phoneticPr fontId="1" type="noConversion"/>
  </si>
  <si>
    <t>햇살</t>
    <phoneticPr fontId="1" type="noConversion"/>
  </si>
  <si>
    <t>주혜경</t>
    <phoneticPr fontId="1" type="noConversion"/>
  </si>
  <si>
    <t>지인추천(윤형)</t>
    <phoneticPr fontId="1" type="noConversion"/>
  </si>
  <si>
    <t>호빵</t>
    <phoneticPr fontId="1" type="noConversion"/>
  </si>
  <si>
    <t>이가빈</t>
    <phoneticPr fontId="1" type="noConversion"/>
  </si>
  <si>
    <t>환축명</t>
    <phoneticPr fontId="1" type="noConversion"/>
  </si>
  <si>
    <t>밤톨이</t>
    <phoneticPr fontId="1" type="noConversion"/>
  </si>
  <si>
    <t>길다빈</t>
    <phoneticPr fontId="1" type="noConversion"/>
  </si>
  <si>
    <t>인터넷 검색</t>
    <phoneticPr fontId="1" type="noConversion"/>
  </si>
  <si>
    <t>길냥이1, 2</t>
    <phoneticPr fontId="1" type="noConversion"/>
  </si>
  <si>
    <t>정현숙</t>
    <phoneticPr fontId="1" type="noConversion"/>
  </si>
  <si>
    <t>집 근처 동물병원</t>
    <phoneticPr fontId="1" type="noConversion"/>
  </si>
  <si>
    <t>별이</t>
    <phoneticPr fontId="1" type="noConversion"/>
  </si>
  <si>
    <t>정월애</t>
    <phoneticPr fontId="1" type="noConversion"/>
  </si>
  <si>
    <t>펫홈 용품점</t>
    <phoneticPr fontId="1" type="noConversion"/>
  </si>
  <si>
    <t xml:space="preserve">아톰 </t>
    <phoneticPr fontId="1" type="noConversion"/>
  </si>
  <si>
    <t>최기산</t>
    <phoneticPr fontId="1" type="noConversion"/>
  </si>
  <si>
    <t>콩</t>
    <phoneticPr fontId="1" type="noConversion"/>
  </si>
  <si>
    <t>지재환</t>
    <phoneticPr fontId="1" type="noConversion"/>
  </si>
  <si>
    <t>환이</t>
    <phoneticPr fontId="1" type="noConversion"/>
  </si>
  <si>
    <t>전선아</t>
    <phoneticPr fontId="1" type="noConversion"/>
  </si>
  <si>
    <t>펫홈 용품점</t>
    <phoneticPr fontId="1" type="noConversion"/>
  </si>
  <si>
    <t>파트라슈</t>
    <phoneticPr fontId="1" type="noConversion"/>
  </si>
  <si>
    <t>유리</t>
    <phoneticPr fontId="1" type="noConversion"/>
  </si>
  <si>
    <t>지인추천</t>
    <phoneticPr fontId="1" type="noConversion"/>
  </si>
  <si>
    <t>봄</t>
    <phoneticPr fontId="1" type="noConversion"/>
  </si>
  <si>
    <t>이호진</t>
    <phoneticPr fontId="1" type="noConversion"/>
  </si>
  <si>
    <t>밍키</t>
    <phoneticPr fontId="1" type="noConversion"/>
  </si>
  <si>
    <t>박혜련</t>
    <phoneticPr fontId="1" type="noConversion"/>
  </si>
  <si>
    <t>롤리</t>
    <phoneticPr fontId="1" type="noConversion"/>
  </si>
  <si>
    <t>정다솜</t>
    <phoneticPr fontId="1" type="noConversion"/>
  </si>
  <si>
    <t>라떼</t>
    <phoneticPr fontId="1" type="noConversion"/>
  </si>
  <si>
    <t>노민호</t>
    <phoneticPr fontId="1" type="noConversion"/>
  </si>
  <si>
    <t>메리</t>
    <phoneticPr fontId="1" type="noConversion"/>
  </si>
  <si>
    <t>곽영숙</t>
    <phoneticPr fontId="1" type="noConversion"/>
  </si>
  <si>
    <t>코코</t>
    <phoneticPr fontId="1" type="noConversion"/>
  </si>
  <si>
    <t>방은별</t>
    <phoneticPr fontId="1" type="noConversion"/>
  </si>
  <si>
    <t>몽실이</t>
    <phoneticPr fontId="1" type="noConversion"/>
  </si>
  <si>
    <t>유한빈</t>
    <phoneticPr fontId="1" type="noConversion"/>
  </si>
  <si>
    <t>루시</t>
    <phoneticPr fontId="1" type="noConversion"/>
  </si>
  <si>
    <t>김미경</t>
    <phoneticPr fontId="1" type="noConversion"/>
  </si>
  <si>
    <t>초코</t>
    <phoneticPr fontId="1" type="noConversion"/>
  </si>
  <si>
    <t>김아름</t>
    <phoneticPr fontId="1" type="noConversion"/>
  </si>
  <si>
    <t>량이</t>
    <phoneticPr fontId="1" type="noConversion"/>
  </si>
  <si>
    <t>윤민희</t>
    <phoneticPr fontId="1" type="noConversion"/>
  </si>
  <si>
    <t>마루</t>
    <phoneticPr fontId="1" type="noConversion"/>
  </si>
  <si>
    <t>손진혁</t>
    <phoneticPr fontId="1" type="noConversion"/>
  </si>
  <si>
    <t>똘이</t>
    <phoneticPr fontId="1" type="noConversion"/>
  </si>
  <si>
    <t>김정숙</t>
    <phoneticPr fontId="1" type="noConversion"/>
  </si>
  <si>
    <t>마리</t>
    <phoneticPr fontId="1" type="noConversion"/>
  </si>
  <si>
    <t>배애옥</t>
    <phoneticPr fontId="1" type="noConversion"/>
  </si>
  <si>
    <t>복실</t>
    <phoneticPr fontId="1" type="noConversion"/>
  </si>
  <si>
    <t>한송희</t>
    <phoneticPr fontId="1" type="noConversion"/>
  </si>
  <si>
    <t>화이</t>
    <phoneticPr fontId="1" type="noConversion"/>
  </si>
  <si>
    <t>정희우</t>
    <phoneticPr fontId="1" type="noConversion"/>
  </si>
  <si>
    <t>또리</t>
    <phoneticPr fontId="1" type="noConversion"/>
  </si>
  <si>
    <t>김난영</t>
    <phoneticPr fontId="1" type="noConversion"/>
  </si>
  <si>
    <t>하리</t>
    <phoneticPr fontId="1" type="noConversion"/>
  </si>
  <si>
    <t>박상희</t>
    <phoneticPr fontId="1" type="noConversion"/>
  </si>
  <si>
    <t>짱똘, 짱군</t>
    <phoneticPr fontId="1" type="noConversion"/>
  </si>
  <si>
    <t>송성흠</t>
    <phoneticPr fontId="1" type="noConversion"/>
  </si>
  <si>
    <t>뚱이</t>
    <phoneticPr fontId="1" type="noConversion"/>
  </si>
  <si>
    <t>김지은</t>
    <phoneticPr fontId="1" type="noConversion"/>
  </si>
  <si>
    <t>검동이</t>
    <phoneticPr fontId="1" type="noConversion"/>
  </si>
  <si>
    <t>윤순옥</t>
    <phoneticPr fontId="1" type="noConversion"/>
  </si>
  <si>
    <t>꽁보리</t>
    <phoneticPr fontId="1" type="noConversion"/>
  </si>
  <si>
    <t>함나온</t>
    <phoneticPr fontId="1" type="noConversion"/>
  </si>
  <si>
    <t>포크</t>
    <phoneticPr fontId="1" type="noConversion"/>
  </si>
  <si>
    <t>김세연</t>
    <phoneticPr fontId="1" type="noConversion"/>
  </si>
  <si>
    <t>우유</t>
    <phoneticPr fontId="1" type="noConversion"/>
  </si>
  <si>
    <t>전유선</t>
    <phoneticPr fontId="1" type="noConversion"/>
  </si>
  <si>
    <t>간장</t>
    <phoneticPr fontId="1" type="noConversion"/>
  </si>
  <si>
    <t>이인숙</t>
    <phoneticPr fontId="1" type="noConversion"/>
  </si>
  <si>
    <t>덕선</t>
    <phoneticPr fontId="1" type="noConversion"/>
  </si>
  <si>
    <t>유소희</t>
    <phoneticPr fontId="1" type="noConversion"/>
  </si>
  <si>
    <t>신민규</t>
    <phoneticPr fontId="1" type="noConversion"/>
  </si>
  <si>
    <t>크롱이</t>
    <phoneticPr fontId="1" type="noConversion"/>
  </si>
  <si>
    <t>우인기</t>
    <phoneticPr fontId="1" type="noConversion"/>
  </si>
  <si>
    <t>에오</t>
    <phoneticPr fontId="1" type="noConversion"/>
  </si>
  <si>
    <t>김경화</t>
    <phoneticPr fontId="1" type="noConversion"/>
  </si>
  <si>
    <t>소미</t>
    <phoneticPr fontId="1" type="noConversion"/>
  </si>
  <si>
    <t>김인미</t>
    <phoneticPr fontId="1" type="noConversion"/>
  </si>
  <si>
    <t>찌개</t>
    <phoneticPr fontId="1" type="noConversion"/>
  </si>
  <si>
    <t>최아름</t>
    <phoneticPr fontId="1" type="noConversion"/>
  </si>
  <si>
    <t>땅콩</t>
    <phoneticPr fontId="1" type="noConversion"/>
  </si>
  <si>
    <t>정찬희</t>
    <phoneticPr fontId="1" type="noConversion"/>
  </si>
  <si>
    <t>탱크</t>
    <phoneticPr fontId="1" type="noConversion"/>
  </si>
  <si>
    <t>미란</t>
    <phoneticPr fontId="1" type="noConversion"/>
  </si>
  <si>
    <t>덕덕이</t>
    <phoneticPr fontId="1" type="noConversion"/>
  </si>
  <si>
    <t>김순월</t>
    <phoneticPr fontId="1" type="noConversion"/>
  </si>
  <si>
    <t>독도, 사랑</t>
    <phoneticPr fontId="1" type="noConversion"/>
  </si>
  <si>
    <t>박예진</t>
    <phoneticPr fontId="1" type="noConversion"/>
  </si>
  <si>
    <t>윤봉</t>
    <phoneticPr fontId="1" type="noConversion"/>
  </si>
  <si>
    <t>김지숙</t>
    <phoneticPr fontId="1" type="noConversion"/>
  </si>
  <si>
    <t>행복</t>
    <phoneticPr fontId="1" type="noConversion"/>
  </si>
  <si>
    <t>박선영</t>
    <phoneticPr fontId="1" type="noConversion"/>
  </si>
  <si>
    <t>찌니</t>
    <phoneticPr fontId="1" type="noConversion"/>
  </si>
  <si>
    <t>강승희</t>
    <phoneticPr fontId="1" type="noConversion"/>
  </si>
  <si>
    <t>바람</t>
    <phoneticPr fontId="1" type="noConversion"/>
  </si>
  <si>
    <t>노장환</t>
    <phoneticPr fontId="1" type="noConversion"/>
  </si>
  <si>
    <t>다온</t>
    <phoneticPr fontId="1" type="noConversion"/>
  </si>
  <si>
    <t>유지혜</t>
    <phoneticPr fontId="1" type="noConversion"/>
  </si>
  <si>
    <t>김민</t>
    <phoneticPr fontId="1" type="noConversion"/>
  </si>
  <si>
    <t>이정은</t>
    <phoneticPr fontId="1" type="noConversion"/>
  </si>
  <si>
    <t>아가</t>
    <phoneticPr fontId="1" type="noConversion"/>
  </si>
  <si>
    <t>박루아</t>
    <phoneticPr fontId="1" type="noConversion"/>
  </si>
  <si>
    <t>서구점</t>
    <phoneticPr fontId="1" type="noConversion"/>
  </si>
  <si>
    <t>빠삐코, 뽀미</t>
    <phoneticPr fontId="1" type="noConversion"/>
  </si>
  <si>
    <t>소원일</t>
    <phoneticPr fontId="1" type="noConversion"/>
  </si>
  <si>
    <t>뿌꾸</t>
    <phoneticPr fontId="1" type="noConversion"/>
  </si>
  <si>
    <t>조효주</t>
    <phoneticPr fontId="1" type="noConversion"/>
  </si>
  <si>
    <t>둥이</t>
    <phoneticPr fontId="1" type="noConversion"/>
  </si>
  <si>
    <t>조소연</t>
    <phoneticPr fontId="1" type="noConversion"/>
  </si>
  <si>
    <t>태복</t>
    <phoneticPr fontId="1" type="noConversion"/>
  </si>
  <si>
    <t>김기연</t>
    <phoneticPr fontId="1" type="noConversion"/>
  </si>
  <si>
    <t>지나가다 봄</t>
    <phoneticPr fontId="1" type="noConversion"/>
  </si>
  <si>
    <t>김지현</t>
    <phoneticPr fontId="1" type="noConversion"/>
  </si>
  <si>
    <t>호식이</t>
    <phoneticPr fontId="1" type="noConversion"/>
  </si>
  <si>
    <t>이형주</t>
    <phoneticPr fontId="1" type="noConversion"/>
  </si>
  <si>
    <t>시루</t>
    <phoneticPr fontId="1" type="noConversion"/>
  </si>
  <si>
    <t>2년 전에 방문한 적 있음</t>
    <phoneticPr fontId="1" type="noConversion"/>
  </si>
  <si>
    <t>장영숙</t>
    <phoneticPr fontId="1" type="noConversion"/>
  </si>
  <si>
    <t>몽실</t>
    <phoneticPr fontId="1" type="noConversion"/>
  </si>
  <si>
    <t>이승현</t>
    <phoneticPr fontId="1" type="noConversion"/>
  </si>
  <si>
    <t>밤이</t>
    <phoneticPr fontId="1" type="noConversion"/>
  </si>
  <si>
    <t>염혜원</t>
    <phoneticPr fontId="1" type="noConversion"/>
  </si>
  <si>
    <t>날라</t>
    <phoneticPr fontId="1" type="noConversion"/>
  </si>
  <si>
    <t>이상은</t>
    <phoneticPr fontId="1" type="noConversion"/>
  </si>
  <si>
    <t>루비</t>
    <phoneticPr fontId="1" type="noConversion"/>
  </si>
  <si>
    <t>김수정</t>
    <phoneticPr fontId="1" type="noConversion"/>
  </si>
  <si>
    <t>망고</t>
    <phoneticPr fontId="1" type="noConversion"/>
  </si>
  <si>
    <t>안효지</t>
    <phoneticPr fontId="1" type="noConversion"/>
  </si>
  <si>
    <t>정지영</t>
    <phoneticPr fontId="1" type="noConversion"/>
  </si>
  <si>
    <t>구름이</t>
    <phoneticPr fontId="1" type="noConversion"/>
  </si>
  <si>
    <t>집근처</t>
    <phoneticPr fontId="1" type="noConversion"/>
  </si>
  <si>
    <t>문경애</t>
    <phoneticPr fontId="1" type="noConversion"/>
  </si>
  <si>
    <t>달콤이</t>
    <phoneticPr fontId="1" type="noConversion"/>
  </si>
  <si>
    <t>노유리</t>
    <phoneticPr fontId="1" type="noConversion"/>
  </si>
  <si>
    <t>박정민</t>
    <phoneticPr fontId="1" type="noConversion"/>
  </si>
  <si>
    <t>김우래</t>
    <phoneticPr fontId="1" type="noConversion"/>
  </si>
  <si>
    <t>유정석</t>
    <phoneticPr fontId="1" type="noConversion"/>
  </si>
  <si>
    <t>마음이</t>
    <phoneticPr fontId="1" type="noConversion"/>
  </si>
  <si>
    <t>김누리</t>
    <phoneticPr fontId="1" type="noConversion"/>
  </si>
  <si>
    <t>강은선</t>
    <phoneticPr fontId="1" type="noConversion"/>
  </si>
  <si>
    <t>소금</t>
    <phoneticPr fontId="1" type="noConversion"/>
  </si>
  <si>
    <t>문윤미</t>
    <phoneticPr fontId="1" type="noConversion"/>
  </si>
  <si>
    <t>뽀야</t>
    <phoneticPr fontId="1" type="noConversion"/>
  </si>
  <si>
    <t>김영희</t>
    <phoneticPr fontId="1" type="noConversion"/>
  </si>
  <si>
    <t>네이버 후기</t>
    <phoneticPr fontId="1" type="noConversion"/>
  </si>
  <si>
    <t>김민성</t>
    <phoneticPr fontId="1" type="noConversion"/>
  </si>
  <si>
    <t>쿠로</t>
    <phoneticPr fontId="1" type="noConversion"/>
  </si>
  <si>
    <t>김신림</t>
    <phoneticPr fontId="1" type="noConversion"/>
  </si>
  <si>
    <t>도순이</t>
    <phoneticPr fontId="1" type="noConversion"/>
  </si>
  <si>
    <t>진동희</t>
    <phoneticPr fontId="1" type="noConversion"/>
  </si>
  <si>
    <t>초롱이</t>
    <phoneticPr fontId="1" type="noConversion"/>
  </si>
  <si>
    <t>홍용숙</t>
    <phoneticPr fontId="1" type="noConversion"/>
  </si>
  <si>
    <t>토미</t>
    <phoneticPr fontId="1" type="noConversion"/>
  </si>
  <si>
    <t>박윤란</t>
    <phoneticPr fontId="1" type="noConversion"/>
  </si>
  <si>
    <t>사랑</t>
    <phoneticPr fontId="1" type="noConversion"/>
  </si>
  <si>
    <t>김자경</t>
    <phoneticPr fontId="1" type="noConversion"/>
  </si>
  <si>
    <t>포동이</t>
    <phoneticPr fontId="1" type="noConversion"/>
  </si>
  <si>
    <t>신경선</t>
    <phoneticPr fontId="1" type="noConversion"/>
  </si>
  <si>
    <t>강아지</t>
    <phoneticPr fontId="1" type="noConversion"/>
  </si>
  <si>
    <t>최단비</t>
    <phoneticPr fontId="1" type="noConversion"/>
  </si>
  <si>
    <t>샤샤</t>
    <phoneticPr fontId="1" type="noConversion"/>
  </si>
  <si>
    <t>오승원</t>
    <phoneticPr fontId="1" type="noConversion"/>
  </si>
  <si>
    <t>루이</t>
    <phoneticPr fontId="1" type="noConversion"/>
  </si>
  <si>
    <t>김진만</t>
    <phoneticPr fontId="1" type="noConversion"/>
  </si>
  <si>
    <t>나비</t>
    <phoneticPr fontId="1" type="noConversion"/>
  </si>
  <si>
    <t>허예진</t>
    <phoneticPr fontId="1" type="noConversion"/>
  </si>
  <si>
    <t>위수미</t>
    <phoneticPr fontId="1" type="noConversion"/>
  </si>
  <si>
    <t>지소라</t>
    <phoneticPr fontId="1" type="noConversion"/>
  </si>
  <si>
    <t>까미</t>
    <phoneticPr fontId="1" type="noConversion"/>
  </si>
  <si>
    <t>황상철</t>
    <phoneticPr fontId="1" type="noConversion"/>
  </si>
  <si>
    <t>채리</t>
    <phoneticPr fontId="1" type="noConversion"/>
  </si>
  <si>
    <t>김영옥</t>
    <phoneticPr fontId="1" type="noConversion"/>
  </si>
  <si>
    <t>쭌이</t>
    <phoneticPr fontId="1" type="noConversion"/>
  </si>
  <si>
    <t>민지아</t>
    <phoneticPr fontId="1" type="noConversion"/>
  </si>
  <si>
    <t>장유주</t>
    <phoneticPr fontId="1" type="noConversion"/>
  </si>
  <si>
    <t>여름</t>
    <phoneticPr fontId="1" type="noConversion"/>
  </si>
  <si>
    <t>윤은한</t>
    <phoneticPr fontId="1" type="noConversion"/>
  </si>
  <si>
    <t>윤지구</t>
    <phoneticPr fontId="1" type="noConversion"/>
  </si>
  <si>
    <t>권선미</t>
    <phoneticPr fontId="1" type="noConversion"/>
  </si>
  <si>
    <t>길냥이</t>
    <phoneticPr fontId="1" type="noConversion"/>
  </si>
  <si>
    <t>장준수</t>
    <phoneticPr fontId="1" type="noConversion"/>
  </si>
  <si>
    <t>김미희(최현진)</t>
    <phoneticPr fontId="1" type="noConversion"/>
  </si>
  <si>
    <t>옐로우</t>
    <phoneticPr fontId="1" type="noConversion"/>
  </si>
  <si>
    <t>박주현</t>
    <phoneticPr fontId="1" type="noConversion"/>
  </si>
  <si>
    <t>토토</t>
    <phoneticPr fontId="1" type="noConversion"/>
  </si>
  <si>
    <t>김승윤</t>
    <phoneticPr fontId="1" type="noConversion"/>
  </si>
  <si>
    <t>하늘이</t>
    <phoneticPr fontId="1" type="noConversion"/>
  </si>
  <si>
    <t>엄태호</t>
    <phoneticPr fontId="1" type="noConversion"/>
  </si>
  <si>
    <t>이나영</t>
    <phoneticPr fontId="1" type="noConversion"/>
  </si>
  <si>
    <t>설기</t>
    <phoneticPr fontId="1" type="noConversion"/>
  </si>
  <si>
    <t>최재원</t>
    <phoneticPr fontId="1" type="noConversion"/>
  </si>
  <si>
    <t>블리</t>
    <phoneticPr fontId="1" type="noConversion"/>
  </si>
  <si>
    <t>신윤희</t>
    <phoneticPr fontId="1" type="noConversion"/>
  </si>
  <si>
    <t>다올</t>
    <phoneticPr fontId="1" type="noConversion"/>
  </si>
  <si>
    <t>김나영</t>
    <phoneticPr fontId="1" type="noConversion"/>
  </si>
  <si>
    <t>밀크</t>
    <phoneticPr fontId="1" type="noConversion"/>
  </si>
  <si>
    <t>윤혜민</t>
    <phoneticPr fontId="1" type="noConversion"/>
  </si>
  <si>
    <t>뚠뚠이</t>
    <phoneticPr fontId="1" type="noConversion"/>
  </si>
  <si>
    <t>정들림</t>
    <phoneticPr fontId="1" type="noConversion"/>
  </si>
  <si>
    <t>샤론</t>
    <phoneticPr fontId="1" type="noConversion"/>
  </si>
  <si>
    <t>이희옥</t>
    <phoneticPr fontId="1" type="noConversion"/>
  </si>
  <si>
    <t>인터넷 검색(가까운곳)</t>
    <phoneticPr fontId="1" type="noConversion"/>
  </si>
  <si>
    <t>김소라</t>
    <phoneticPr fontId="1" type="noConversion"/>
  </si>
  <si>
    <t>옥화</t>
    <phoneticPr fontId="1" type="noConversion"/>
  </si>
  <si>
    <t>하늘, 푸름</t>
    <phoneticPr fontId="1" type="noConversion"/>
  </si>
  <si>
    <t>블로그</t>
    <phoneticPr fontId="1" type="noConversion"/>
  </si>
  <si>
    <t>박영민</t>
    <phoneticPr fontId="1" type="noConversion"/>
  </si>
  <si>
    <t>박희은</t>
    <phoneticPr fontId="1" type="noConversion"/>
  </si>
  <si>
    <t>레몬</t>
    <phoneticPr fontId="1" type="noConversion"/>
  </si>
  <si>
    <t>오효범</t>
    <phoneticPr fontId="1" type="noConversion"/>
  </si>
  <si>
    <t>신디</t>
    <phoneticPr fontId="1" type="noConversion"/>
  </si>
  <si>
    <t>이승미</t>
    <phoneticPr fontId="1" type="noConversion"/>
  </si>
  <si>
    <t>보호자 이름</t>
    <phoneticPr fontId="1" type="noConversion"/>
  </si>
  <si>
    <t>이경훈</t>
    <phoneticPr fontId="1" type="noConversion"/>
  </si>
  <si>
    <t>하늘이</t>
    <phoneticPr fontId="1" type="noConversion"/>
  </si>
  <si>
    <t>용품점</t>
    <phoneticPr fontId="1" type="noConversion"/>
  </si>
  <si>
    <t>권미경</t>
    <phoneticPr fontId="1" type="noConversion"/>
  </si>
  <si>
    <t>코코</t>
    <phoneticPr fontId="1" type="noConversion"/>
  </si>
  <si>
    <t>집근처</t>
    <phoneticPr fontId="1" type="noConversion"/>
  </si>
  <si>
    <t>박희수</t>
    <phoneticPr fontId="1" type="noConversion"/>
  </si>
  <si>
    <t>몽룡</t>
    <phoneticPr fontId="1" type="noConversion"/>
  </si>
  <si>
    <t>인터넷 검색</t>
    <phoneticPr fontId="1" type="noConversion"/>
  </si>
  <si>
    <t>임문규</t>
    <phoneticPr fontId="1" type="noConversion"/>
  </si>
  <si>
    <t>인터넷 검색</t>
    <phoneticPr fontId="1" type="noConversion"/>
  </si>
  <si>
    <t>김윤경</t>
    <phoneticPr fontId="1" type="noConversion"/>
  </si>
  <si>
    <t>향기</t>
    <phoneticPr fontId="1" type="noConversion"/>
  </si>
  <si>
    <t>박효진</t>
    <phoneticPr fontId="1" type="noConversion"/>
  </si>
  <si>
    <t>파이</t>
    <phoneticPr fontId="1" type="noConversion"/>
  </si>
  <si>
    <t>지인추천</t>
    <phoneticPr fontId="1" type="noConversion"/>
  </si>
  <si>
    <t>김동진</t>
    <phoneticPr fontId="1" type="noConversion"/>
  </si>
  <si>
    <t>누리</t>
    <phoneticPr fontId="1" type="noConversion"/>
  </si>
  <si>
    <t>김윤금</t>
    <phoneticPr fontId="1" type="noConversion"/>
  </si>
  <si>
    <t>서해, 남해, 동해</t>
    <phoneticPr fontId="1" type="noConversion"/>
  </si>
  <si>
    <t>깜순이</t>
    <phoneticPr fontId="1" type="noConversion"/>
  </si>
  <si>
    <t>이현영</t>
    <phoneticPr fontId="1" type="noConversion"/>
  </si>
  <si>
    <t>인터넷 검색</t>
    <phoneticPr fontId="1" type="noConversion"/>
  </si>
  <si>
    <t>다운</t>
    <phoneticPr fontId="1" type="noConversion"/>
  </si>
  <si>
    <t>장학룡</t>
    <phoneticPr fontId="1" type="noConversion"/>
  </si>
  <si>
    <t>용품점</t>
    <phoneticPr fontId="1" type="noConversion"/>
  </si>
  <si>
    <t>히우</t>
    <phoneticPr fontId="1" type="noConversion"/>
  </si>
  <si>
    <t>안미화</t>
    <phoneticPr fontId="1" type="noConversion"/>
  </si>
  <si>
    <t>해피</t>
    <phoneticPr fontId="1" type="noConversion"/>
  </si>
  <si>
    <t>우리(유치원)</t>
    <phoneticPr fontId="1" type="noConversion"/>
  </si>
  <si>
    <t>쮸</t>
    <phoneticPr fontId="1" type="noConversion"/>
  </si>
  <si>
    <t>김하은</t>
    <phoneticPr fontId="1" type="noConversion"/>
  </si>
  <si>
    <t>쫑이</t>
    <phoneticPr fontId="1" type="noConversion"/>
  </si>
  <si>
    <t>유강후</t>
    <phoneticPr fontId="1" type="noConversion"/>
  </si>
  <si>
    <t>집근처</t>
    <phoneticPr fontId="1" type="noConversion"/>
  </si>
  <si>
    <t>몽돌</t>
    <phoneticPr fontId="1" type="noConversion"/>
  </si>
  <si>
    <t>이상하</t>
    <phoneticPr fontId="1" type="noConversion"/>
  </si>
  <si>
    <t>설기</t>
    <phoneticPr fontId="1" type="noConversion"/>
  </si>
  <si>
    <t>강수연</t>
    <phoneticPr fontId="1" type="noConversion"/>
  </si>
  <si>
    <t>네이버 후기, 용품점</t>
    <phoneticPr fontId="1" type="noConversion"/>
  </si>
  <si>
    <t>뚱이</t>
    <phoneticPr fontId="1" type="noConversion"/>
  </si>
  <si>
    <t>박혜진</t>
    <phoneticPr fontId="1" type="noConversion"/>
  </si>
  <si>
    <t>구름</t>
    <phoneticPr fontId="1" type="noConversion"/>
  </si>
  <si>
    <t>이소영</t>
    <phoneticPr fontId="1" type="noConversion"/>
  </si>
  <si>
    <t>지인추천</t>
    <phoneticPr fontId="1" type="noConversion"/>
  </si>
  <si>
    <t>지인추천</t>
    <phoneticPr fontId="1" type="noConversion"/>
  </si>
  <si>
    <t>밤톨</t>
    <phoneticPr fontId="1" type="noConversion"/>
  </si>
  <si>
    <t>천수빈</t>
    <phoneticPr fontId="1" type="noConversion"/>
  </si>
  <si>
    <t>꼬돌,꼬순</t>
    <phoneticPr fontId="1" type="noConversion"/>
  </si>
  <si>
    <t>박상민</t>
    <phoneticPr fontId="1" type="noConversion"/>
  </si>
  <si>
    <t>앵두</t>
    <phoneticPr fontId="1" type="noConversion"/>
  </si>
  <si>
    <t>이정원</t>
    <phoneticPr fontId="1" type="noConversion"/>
  </si>
  <si>
    <t>봄이</t>
    <phoneticPr fontId="1" type="noConversion"/>
  </si>
  <si>
    <t>김태연</t>
    <phoneticPr fontId="1" type="noConversion"/>
  </si>
  <si>
    <t>깜이</t>
    <phoneticPr fontId="1" type="noConversion"/>
  </si>
  <si>
    <t>오창희</t>
    <phoneticPr fontId="1" type="noConversion"/>
  </si>
  <si>
    <t>꾸니,빠니</t>
    <phoneticPr fontId="1" type="noConversion"/>
  </si>
  <si>
    <t>김지은</t>
    <phoneticPr fontId="1" type="noConversion"/>
  </si>
  <si>
    <t>짜뽀</t>
    <phoneticPr fontId="1" type="noConversion"/>
  </si>
  <si>
    <t>이성헌</t>
    <phoneticPr fontId="1" type="noConversion"/>
  </si>
  <si>
    <t>토미</t>
    <phoneticPr fontId="1" type="noConversion"/>
  </si>
  <si>
    <t>이충연</t>
    <phoneticPr fontId="1" type="noConversion"/>
  </si>
  <si>
    <t>쥬쥬</t>
    <phoneticPr fontId="1" type="noConversion"/>
  </si>
  <si>
    <t>윤지원</t>
    <phoneticPr fontId="1" type="noConversion"/>
  </si>
  <si>
    <t>두부</t>
    <phoneticPr fontId="1" type="noConversion"/>
  </si>
  <si>
    <t>유헤리</t>
    <phoneticPr fontId="1" type="noConversion"/>
  </si>
  <si>
    <t>알콩이</t>
    <phoneticPr fontId="1" type="noConversion"/>
  </si>
  <si>
    <t>이현지</t>
    <phoneticPr fontId="1" type="noConversion"/>
  </si>
  <si>
    <t>겨울이</t>
    <phoneticPr fontId="1" type="noConversion"/>
  </si>
  <si>
    <t>박건우</t>
    <phoneticPr fontId="1" type="noConversion"/>
  </si>
  <si>
    <t>송이</t>
    <phoneticPr fontId="1" type="noConversion"/>
  </si>
  <si>
    <t>하은진</t>
    <phoneticPr fontId="1" type="noConversion"/>
  </si>
  <si>
    <t>코코</t>
    <phoneticPr fontId="1" type="noConversion"/>
  </si>
  <si>
    <t>권오민</t>
    <phoneticPr fontId="1" type="noConversion"/>
  </si>
  <si>
    <t>바다</t>
    <phoneticPr fontId="1" type="noConversion"/>
  </si>
  <si>
    <t>노준희</t>
    <phoneticPr fontId="1" type="noConversion"/>
  </si>
  <si>
    <t>룰루</t>
    <phoneticPr fontId="1" type="noConversion"/>
  </si>
  <si>
    <t>전대건</t>
    <phoneticPr fontId="1" type="noConversion"/>
  </si>
  <si>
    <t>지나가다</t>
    <phoneticPr fontId="1" type="noConversion"/>
  </si>
  <si>
    <t>단추</t>
    <phoneticPr fontId="1" type="noConversion"/>
  </si>
  <si>
    <t>김제남</t>
    <phoneticPr fontId="1" type="noConversion"/>
  </si>
  <si>
    <t>양이</t>
    <phoneticPr fontId="1" type="noConversion"/>
  </si>
  <si>
    <t>이현자</t>
    <phoneticPr fontId="1" type="noConversion"/>
  </si>
  <si>
    <t>이정희</t>
    <phoneticPr fontId="1" type="noConversion"/>
  </si>
  <si>
    <t>장지연</t>
    <phoneticPr fontId="1" type="noConversion"/>
  </si>
  <si>
    <t>토리,별이</t>
    <phoneticPr fontId="1" type="noConversion"/>
  </si>
  <si>
    <t>보리</t>
    <phoneticPr fontId="1" type="noConversion"/>
  </si>
  <si>
    <t>강한모</t>
    <phoneticPr fontId="1" type="noConversion"/>
  </si>
  <si>
    <t>망고</t>
    <phoneticPr fontId="1" type="noConversion"/>
  </si>
  <si>
    <t>한상협</t>
    <phoneticPr fontId="1" type="noConversion"/>
  </si>
  <si>
    <t>래미</t>
    <phoneticPr fontId="1" type="noConversion"/>
  </si>
  <si>
    <t>유경희</t>
    <phoneticPr fontId="1" type="noConversion"/>
  </si>
  <si>
    <t>칸쵸</t>
    <phoneticPr fontId="1" type="noConversion"/>
  </si>
  <si>
    <t>최민아</t>
    <phoneticPr fontId="1" type="noConversion"/>
  </si>
  <si>
    <t>니모</t>
    <phoneticPr fontId="1" type="noConversion"/>
  </si>
  <si>
    <t>윤지현</t>
    <phoneticPr fontId="1" type="noConversion"/>
  </si>
  <si>
    <t>치치</t>
    <phoneticPr fontId="1" type="noConversion"/>
  </si>
  <si>
    <t>김민주</t>
    <phoneticPr fontId="1" type="noConversion"/>
  </si>
  <si>
    <t>지나가다 봄</t>
    <phoneticPr fontId="1" type="noConversion"/>
  </si>
  <si>
    <t>츄츄</t>
    <phoneticPr fontId="1" type="noConversion"/>
  </si>
  <si>
    <t>오윤지</t>
    <phoneticPr fontId="1" type="noConversion"/>
  </si>
  <si>
    <t>용석현</t>
    <phoneticPr fontId="1" type="noConversion"/>
  </si>
  <si>
    <t>강낭콩</t>
    <phoneticPr fontId="1" type="noConversion"/>
  </si>
  <si>
    <t>강민아</t>
    <phoneticPr fontId="1" type="noConversion"/>
  </si>
  <si>
    <t>로이</t>
    <phoneticPr fontId="1" type="noConversion"/>
  </si>
  <si>
    <t>김은주</t>
    <phoneticPr fontId="1" type="noConversion"/>
  </si>
  <si>
    <t>블로그</t>
    <phoneticPr fontId="1" type="noConversion"/>
  </si>
  <si>
    <t>루비</t>
    <phoneticPr fontId="1" type="noConversion"/>
  </si>
  <si>
    <t>이채원</t>
    <phoneticPr fontId="1" type="noConversion"/>
  </si>
  <si>
    <t>카이</t>
    <phoneticPr fontId="1" type="noConversion"/>
  </si>
  <si>
    <t>장진선</t>
    <phoneticPr fontId="1" type="noConversion"/>
  </si>
  <si>
    <t>지니가다 봄</t>
    <phoneticPr fontId="1" type="noConversion"/>
  </si>
  <si>
    <t>똘복이</t>
    <phoneticPr fontId="1" type="noConversion"/>
  </si>
  <si>
    <t>이정아</t>
    <phoneticPr fontId="1" type="noConversion"/>
  </si>
  <si>
    <t>인터넷검색</t>
    <phoneticPr fontId="1" type="noConversion"/>
  </si>
  <si>
    <t>시루</t>
    <phoneticPr fontId="1" type="noConversion"/>
  </si>
  <si>
    <t>이하나</t>
    <phoneticPr fontId="1" type="noConversion"/>
  </si>
  <si>
    <t>박소진</t>
    <phoneticPr fontId="1" type="noConversion"/>
  </si>
  <si>
    <t>타미, 뽀미</t>
    <phoneticPr fontId="1" type="noConversion"/>
  </si>
  <si>
    <t>박미정</t>
    <phoneticPr fontId="1" type="noConversion"/>
  </si>
  <si>
    <t>보리</t>
    <phoneticPr fontId="1" type="noConversion"/>
  </si>
  <si>
    <t>김영훈</t>
    <phoneticPr fontId="1" type="noConversion"/>
  </si>
  <si>
    <t>길냥이</t>
    <phoneticPr fontId="1" type="noConversion"/>
  </si>
  <si>
    <t>지인추천</t>
    <phoneticPr fontId="1" type="noConversion"/>
  </si>
  <si>
    <t>이수현</t>
    <phoneticPr fontId="1" type="noConversion"/>
  </si>
  <si>
    <t>설기</t>
    <phoneticPr fontId="1" type="noConversion"/>
  </si>
  <si>
    <t>벤, 다래</t>
    <phoneticPr fontId="1" type="noConversion"/>
  </si>
  <si>
    <t>왕윤정</t>
    <phoneticPr fontId="1" type="noConversion"/>
  </si>
  <si>
    <t>원장님</t>
    <phoneticPr fontId="1" type="noConversion"/>
  </si>
  <si>
    <t>나비</t>
    <phoneticPr fontId="1" type="noConversion"/>
  </si>
  <si>
    <t>김찬</t>
    <phoneticPr fontId="1" type="noConversion"/>
  </si>
  <si>
    <t>집근처 방문</t>
    <phoneticPr fontId="1" type="noConversion"/>
  </si>
  <si>
    <t>정장군</t>
    <phoneticPr fontId="1" type="noConversion"/>
  </si>
  <si>
    <t>정범욱</t>
    <phoneticPr fontId="1" type="noConversion"/>
  </si>
  <si>
    <t>인터넷 검색</t>
    <phoneticPr fontId="1" type="noConversion"/>
  </si>
  <si>
    <t>시월이</t>
    <phoneticPr fontId="1" type="noConversion"/>
  </si>
  <si>
    <t>이민아</t>
    <phoneticPr fontId="1" type="noConversion"/>
  </si>
  <si>
    <t>상추</t>
    <phoneticPr fontId="1" type="noConversion"/>
  </si>
  <si>
    <t>인명선</t>
    <phoneticPr fontId="1" type="noConversion"/>
  </si>
  <si>
    <t>용품점</t>
    <phoneticPr fontId="1" type="noConversion"/>
  </si>
  <si>
    <t>망치</t>
    <phoneticPr fontId="1" type="noConversion"/>
  </si>
  <si>
    <t>서원호</t>
    <phoneticPr fontId="1" type="noConversion"/>
  </si>
  <si>
    <t>지나가다 봄</t>
    <phoneticPr fontId="1" type="noConversion"/>
  </si>
  <si>
    <t>만두</t>
    <phoneticPr fontId="1" type="noConversion"/>
  </si>
  <si>
    <t>노은주</t>
    <phoneticPr fontId="1" type="noConversion"/>
  </si>
  <si>
    <t>짜꾸</t>
    <phoneticPr fontId="1" type="noConversion"/>
  </si>
  <si>
    <t>김수영</t>
    <phoneticPr fontId="1" type="noConversion"/>
  </si>
  <si>
    <t>짱아</t>
    <phoneticPr fontId="1" type="noConversion"/>
  </si>
  <si>
    <t>박혜은</t>
    <phoneticPr fontId="1" type="noConversion"/>
  </si>
  <si>
    <t>뚱이</t>
    <phoneticPr fontId="1" type="noConversion"/>
  </si>
  <si>
    <t>임철희</t>
    <phoneticPr fontId="1" type="noConversion"/>
  </si>
  <si>
    <t>보리</t>
    <phoneticPr fontId="1" type="noConversion"/>
  </si>
  <si>
    <t>임재은</t>
    <phoneticPr fontId="1" type="noConversion"/>
  </si>
  <si>
    <t>깜순</t>
    <phoneticPr fontId="1" type="noConversion"/>
  </si>
  <si>
    <t>강성희</t>
    <phoneticPr fontId="1" type="noConversion"/>
  </si>
  <si>
    <t>다롱</t>
    <phoneticPr fontId="1" type="noConversion"/>
  </si>
  <si>
    <t>진형기</t>
    <phoneticPr fontId="1" type="noConversion"/>
  </si>
  <si>
    <t>지인 추천</t>
    <phoneticPr fontId="1" type="noConversion"/>
  </si>
  <si>
    <t>김준</t>
    <phoneticPr fontId="1" type="noConversion"/>
  </si>
  <si>
    <t>비타</t>
    <phoneticPr fontId="1" type="noConversion"/>
  </si>
  <si>
    <t>이성남</t>
    <phoneticPr fontId="1" type="noConversion"/>
  </si>
  <si>
    <t>초코, 쿠키</t>
    <phoneticPr fontId="1" type="noConversion"/>
  </si>
  <si>
    <t>이지영</t>
    <phoneticPr fontId="1" type="noConversion"/>
  </si>
  <si>
    <t>또이</t>
    <phoneticPr fontId="1" type="noConversion"/>
  </si>
  <si>
    <t>임도애</t>
    <phoneticPr fontId="1" type="noConversion"/>
  </si>
  <si>
    <t>나사</t>
    <phoneticPr fontId="1" type="noConversion"/>
  </si>
  <si>
    <t>조장연</t>
    <phoneticPr fontId="1" type="noConversion"/>
  </si>
  <si>
    <t>전이루다, 전백수</t>
    <phoneticPr fontId="1" type="noConversion"/>
  </si>
  <si>
    <t>송주화</t>
    <phoneticPr fontId="1" type="noConversion"/>
  </si>
  <si>
    <t>찐빵</t>
    <phoneticPr fontId="1" type="noConversion"/>
  </si>
  <si>
    <t>주미래</t>
    <phoneticPr fontId="1" type="noConversion"/>
  </si>
  <si>
    <t>연탄이</t>
    <phoneticPr fontId="1" type="noConversion"/>
  </si>
  <si>
    <t>임수진</t>
    <phoneticPr fontId="1" type="noConversion"/>
  </si>
  <si>
    <t>블로그</t>
    <phoneticPr fontId="1" type="noConversion"/>
  </si>
  <si>
    <t>쿠키</t>
    <phoneticPr fontId="1" type="noConversion"/>
  </si>
  <si>
    <t>이현우</t>
    <phoneticPr fontId="1" type="noConversion"/>
  </si>
  <si>
    <t>알지</t>
    <phoneticPr fontId="1" type="noConversion"/>
  </si>
  <si>
    <t>조현숙</t>
    <phoneticPr fontId="1" type="noConversion"/>
  </si>
  <si>
    <t>토리</t>
    <phoneticPr fontId="1" type="noConversion"/>
  </si>
  <si>
    <t>최정민</t>
    <phoneticPr fontId="1" type="noConversion"/>
  </si>
  <si>
    <t>빵이</t>
    <phoneticPr fontId="1" type="noConversion"/>
  </si>
  <si>
    <t>정수진</t>
    <phoneticPr fontId="1" type="noConversion"/>
  </si>
  <si>
    <t>드림이</t>
    <phoneticPr fontId="1" type="noConversion"/>
  </si>
  <si>
    <t>이희제</t>
    <phoneticPr fontId="1" type="noConversion"/>
  </si>
  <si>
    <t>네이버 후기</t>
    <phoneticPr fontId="1" type="noConversion"/>
  </si>
  <si>
    <t>초코</t>
    <phoneticPr fontId="1" type="noConversion"/>
  </si>
  <si>
    <t>김정아</t>
    <phoneticPr fontId="1" type="noConversion"/>
  </si>
  <si>
    <t>단비</t>
    <phoneticPr fontId="1" type="noConversion"/>
  </si>
  <si>
    <t>전미화</t>
    <phoneticPr fontId="1" type="noConversion"/>
  </si>
  <si>
    <t>엠마</t>
    <phoneticPr fontId="1" type="noConversion"/>
  </si>
  <si>
    <t>전남숙</t>
    <phoneticPr fontId="1" type="noConversion"/>
  </si>
  <si>
    <t>백조</t>
    <phoneticPr fontId="1" type="noConversion"/>
  </si>
  <si>
    <t>김정화</t>
    <phoneticPr fontId="1" type="noConversion"/>
  </si>
  <si>
    <t>휴지</t>
    <phoneticPr fontId="1" type="noConversion"/>
  </si>
  <si>
    <t>최분이</t>
    <phoneticPr fontId="1" type="noConversion"/>
  </si>
  <si>
    <t>블랑</t>
    <phoneticPr fontId="1" type="noConversion"/>
  </si>
  <si>
    <t>문인호</t>
    <phoneticPr fontId="1" type="noConversion"/>
  </si>
  <si>
    <t>깜비</t>
    <phoneticPr fontId="1" type="noConversion"/>
  </si>
  <si>
    <t>유지은</t>
    <phoneticPr fontId="1" type="noConversion"/>
  </si>
  <si>
    <t>오투</t>
    <phoneticPr fontId="1" type="noConversion"/>
  </si>
  <si>
    <t>이종관</t>
    <phoneticPr fontId="1" type="noConversion"/>
  </si>
  <si>
    <t>또리</t>
    <phoneticPr fontId="1" type="noConversion"/>
  </si>
  <si>
    <t>윤은진</t>
    <phoneticPr fontId="1" type="noConversion"/>
  </si>
  <si>
    <t>레이</t>
    <phoneticPr fontId="1" type="noConversion"/>
  </si>
  <si>
    <t>토루</t>
    <phoneticPr fontId="1" type="noConversion"/>
  </si>
  <si>
    <t>김태은</t>
    <phoneticPr fontId="1" type="noConversion"/>
  </si>
  <si>
    <t>다비</t>
    <phoneticPr fontId="1" type="noConversion"/>
  </si>
  <si>
    <t>박은선</t>
    <phoneticPr fontId="1" type="noConversion"/>
  </si>
  <si>
    <t>마초</t>
    <phoneticPr fontId="1" type="noConversion"/>
  </si>
  <si>
    <t>이상협</t>
    <phoneticPr fontId="1" type="noConversion"/>
  </si>
  <si>
    <t>연두</t>
    <phoneticPr fontId="1" type="noConversion"/>
  </si>
  <si>
    <t>선초록</t>
    <phoneticPr fontId="1" type="noConversion"/>
  </si>
  <si>
    <t>보라</t>
    <phoneticPr fontId="1" type="noConversion"/>
  </si>
  <si>
    <t>조동성</t>
    <phoneticPr fontId="1" type="noConversion"/>
  </si>
  <si>
    <t>까미</t>
    <phoneticPr fontId="1" type="noConversion"/>
  </si>
  <si>
    <t>주지원</t>
    <phoneticPr fontId="1" type="noConversion"/>
  </si>
  <si>
    <t>루이</t>
    <phoneticPr fontId="1" type="noConversion"/>
  </si>
  <si>
    <t>안예은</t>
    <phoneticPr fontId="1" type="noConversion"/>
  </si>
  <si>
    <t>해피</t>
    <phoneticPr fontId="1" type="noConversion"/>
  </si>
  <si>
    <t>이주희</t>
    <phoneticPr fontId="1" type="noConversion"/>
  </si>
  <si>
    <t>난이</t>
    <phoneticPr fontId="1" type="noConversion"/>
  </si>
  <si>
    <t>김건중</t>
    <phoneticPr fontId="1" type="noConversion"/>
  </si>
  <si>
    <t>쿠키</t>
    <phoneticPr fontId="1" type="noConversion"/>
  </si>
  <si>
    <t>배고은</t>
    <phoneticPr fontId="1" type="noConversion"/>
  </si>
  <si>
    <t>지근거리</t>
    <phoneticPr fontId="1" type="noConversion"/>
  </si>
  <si>
    <t>동글이</t>
    <phoneticPr fontId="1" type="noConversion"/>
  </si>
  <si>
    <t>신서현</t>
    <phoneticPr fontId="1" type="noConversion"/>
  </si>
  <si>
    <t>탄이</t>
    <phoneticPr fontId="1" type="noConversion"/>
  </si>
  <si>
    <t>김옥희</t>
    <phoneticPr fontId="1" type="noConversion"/>
  </si>
  <si>
    <t>용품점</t>
    <phoneticPr fontId="1" type="noConversion"/>
  </si>
  <si>
    <t>사랑이</t>
    <phoneticPr fontId="1" type="noConversion"/>
  </si>
  <si>
    <t>송준식</t>
    <phoneticPr fontId="1" type="noConversion"/>
  </si>
  <si>
    <t>시동이</t>
    <phoneticPr fontId="1" type="noConversion"/>
  </si>
  <si>
    <t>최민혁</t>
    <phoneticPr fontId="1" type="noConversion"/>
  </si>
  <si>
    <t>지인추천</t>
    <phoneticPr fontId="1" type="noConversion"/>
  </si>
  <si>
    <t>레오</t>
    <phoneticPr fontId="1" type="noConversion"/>
  </si>
  <si>
    <t>전혜리</t>
    <phoneticPr fontId="1" type="noConversion"/>
  </si>
  <si>
    <t>똘이</t>
    <phoneticPr fontId="1" type="noConversion"/>
  </si>
  <si>
    <t>강월순</t>
    <phoneticPr fontId="1" type="noConversion"/>
  </si>
  <si>
    <t>감자</t>
    <phoneticPr fontId="1" type="noConversion"/>
  </si>
  <si>
    <t>김홍탁</t>
    <phoneticPr fontId="1" type="noConversion"/>
  </si>
  <si>
    <t>망고</t>
    <phoneticPr fontId="1" type="noConversion"/>
  </si>
  <si>
    <t>김은결</t>
    <phoneticPr fontId="1" type="noConversion"/>
  </si>
  <si>
    <t>치코</t>
    <phoneticPr fontId="1" type="noConversion"/>
  </si>
  <si>
    <t>강민순</t>
    <phoneticPr fontId="1" type="noConversion"/>
  </si>
  <si>
    <t>뽀송</t>
    <phoneticPr fontId="1" type="noConversion"/>
  </si>
  <si>
    <t>장손영</t>
    <phoneticPr fontId="1" type="noConversion"/>
  </si>
  <si>
    <t>까비, 은비</t>
    <phoneticPr fontId="1" type="noConversion"/>
  </si>
  <si>
    <t>김순주</t>
    <phoneticPr fontId="1" type="noConversion"/>
  </si>
  <si>
    <t>꽁이</t>
    <phoneticPr fontId="1" type="noConversion"/>
  </si>
  <si>
    <t>김아름</t>
    <phoneticPr fontId="1" type="noConversion"/>
  </si>
  <si>
    <t>낑깡, 김밥</t>
    <phoneticPr fontId="1" type="noConversion"/>
  </si>
  <si>
    <t>천유주</t>
    <phoneticPr fontId="1" type="noConversion"/>
  </si>
  <si>
    <t>보람</t>
    <phoneticPr fontId="1" type="noConversion"/>
  </si>
  <si>
    <t>김미라</t>
    <phoneticPr fontId="1" type="noConversion"/>
  </si>
  <si>
    <t>뭉이</t>
    <phoneticPr fontId="1" type="noConversion"/>
  </si>
  <si>
    <t>김혜림</t>
    <phoneticPr fontId="1" type="noConversion"/>
  </si>
  <si>
    <t>이슬이</t>
    <phoneticPr fontId="1" type="noConversion"/>
  </si>
  <si>
    <t>조성길</t>
    <phoneticPr fontId="1" type="noConversion"/>
  </si>
  <si>
    <t>신공숙</t>
    <phoneticPr fontId="1" type="noConversion"/>
  </si>
  <si>
    <t>네이버 후기</t>
    <phoneticPr fontId="1" type="noConversion"/>
  </si>
  <si>
    <t>얼룩이</t>
    <phoneticPr fontId="1" type="noConversion"/>
  </si>
  <si>
    <t>장현경</t>
    <phoneticPr fontId="1" type="noConversion"/>
  </si>
  <si>
    <t>인터넷 검색</t>
    <phoneticPr fontId="1" type="noConversion"/>
  </si>
  <si>
    <t>루나</t>
    <phoneticPr fontId="1" type="noConversion"/>
  </si>
  <si>
    <t>박미선</t>
    <phoneticPr fontId="1" type="noConversion"/>
  </si>
  <si>
    <t>히로</t>
    <phoneticPr fontId="1" type="noConversion"/>
  </si>
  <si>
    <t>정은혜</t>
    <phoneticPr fontId="1" type="noConversion"/>
  </si>
  <si>
    <t>해리</t>
    <phoneticPr fontId="1" type="noConversion"/>
  </si>
  <si>
    <t>임환희</t>
    <phoneticPr fontId="1" type="noConversion"/>
  </si>
  <si>
    <t>강달님</t>
    <phoneticPr fontId="1" type="noConversion"/>
  </si>
  <si>
    <t>양봉식</t>
    <phoneticPr fontId="1" type="noConversion"/>
  </si>
  <si>
    <t>호두</t>
    <phoneticPr fontId="1" type="noConversion"/>
  </si>
  <si>
    <t>정진이</t>
    <phoneticPr fontId="1" type="noConversion"/>
  </si>
  <si>
    <t>두부</t>
    <phoneticPr fontId="1" type="noConversion"/>
  </si>
  <si>
    <t>김현경</t>
    <phoneticPr fontId="1" type="noConversion"/>
  </si>
  <si>
    <t>숨</t>
    <phoneticPr fontId="1" type="noConversion"/>
  </si>
  <si>
    <t>박진서</t>
    <phoneticPr fontId="1" type="noConversion"/>
  </si>
  <si>
    <t>가루</t>
    <phoneticPr fontId="1" type="noConversion"/>
  </si>
  <si>
    <t>김지현</t>
    <phoneticPr fontId="1" type="noConversion"/>
  </si>
  <si>
    <t>용품점</t>
    <phoneticPr fontId="1" type="noConversion"/>
  </si>
  <si>
    <t>마크</t>
    <phoneticPr fontId="1" type="noConversion"/>
  </si>
  <si>
    <t>임선주</t>
    <phoneticPr fontId="1" type="noConversion"/>
  </si>
  <si>
    <t>네이버 후기</t>
    <phoneticPr fontId="1" type="noConversion"/>
  </si>
  <si>
    <t>여름</t>
    <phoneticPr fontId="1" type="noConversion"/>
  </si>
  <si>
    <t>황은지</t>
    <phoneticPr fontId="1" type="noConversion"/>
  </si>
  <si>
    <t>코코</t>
    <phoneticPr fontId="1" type="noConversion"/>
  </si>
  <si>
    <t>제갈미희</t>
    <phoneticPr fontId="1" type="noConversion"/>
  </si>
  <si>
    <t>크림이</t>
    <phoneticPr fontId="1" type="noConversion"/>
  </si>
  <si>
    <t>박혜란</t>
    <phoneticPr fontId="1" type="noConversion"/>
  </si>
  <si>
    <t>요미</t>
    <phoneticPr fontId="1" type="noConversion"/>
  </si>
  <si>
    <t>기수지</t>
    <phoneticPr fontId="1" type="noConversion"/>
  </si>
  <si>
    <t>시키</t>
    <phoneticPr fontId="1" type="noConversion"/>
  </si>
  <si>
    <t>신현진</t>
    <phoneticPr fontId="1" type="noConversion"/>
  </si>
  <si>
    <t>블로그</t>
    <phoneticPr fontId="1" type="noConversion"/>
  </si>
  <si>
    <t>하나</t>
    <phoneticPr fontId="1" type="noConversion"/>
  </si>
  <si>
    <t>김소은</t>
    <phoneticPr fontId="1" type="noConversion"/>
  </si>
  <si>
    <t>토리</t>
    <phoneticPr fontId="1" type="noConversion"/>
  </si>
  <si>
    <t>정소희</t>
    <phoneticPr fontId="1" type="noConversion"/>
  </si>
  <si>
    <t>강산</t>
    <phoneticPr fontId="1" type="noConversion"/>
  </si>
  <si>
    <t>유민규</t>
    <phoneticPr fontId="1" type="noConversion"/>
  </si>
  <si>
    <t>도토리</t>
    <phoneticPr fontId="1" type="noConversion"/>
  </si>
  <si>
    <t>권수연</t>
    <phoneticPr fontId="1" type="noConversion"/>
  </si>
  <si>
    <t>가을이</t>
    <phoneticPr fontId="1" type="noConversion"/>
  </si>
  <si>
    <t>이소민</t>
    <phoneticPr fontId="1" type="noConversion"/>
  </si>
  <si>
    <t>콩콩이, 호두</t>
    <phoneticPr fontId="1" type="noConversion"/>
  </si>
  <si>
    <t>박미희</t>
    <phoneticPr fontId="1" type="noConversion"/>
  </si>
  <si>
    <t>서순별</t>
    <phoneticPr fontId="1" type="noConversion"/>
  </si>
  <si>
    <t>서우원</t>
    <phoneticPr fontId="1" type="noConversion"/>
  </si>
  <si>
    <t>왕원장님 기존 환자</t>
    <phoneticPr fontId="1" type="noConversion"/>
  </si>
  <si>
    <t>양정훈</t>
    <phoneticPr fontId="1" type="noConversion"/>
  </si>
  <si>
    <t>누누</t>
    <phoneticPr fontId="1" type="noConversion"/>
  </si>
  <si>
    <t>감자</t>
    <phoneticPr fontId="1" type="noConversion"/>
  </si>
  <si>
    <t>권현수</t>
    <phoneticPr fontId="1" type="noConversion"/>
  </si>
  <si>
    <t>쿠키</t>
    <phoneticPr fontId="1" type="noConversion"/>
  </si>
  <si>
    <t>장은혜</t>
    <phoneticPr fontId="1" type="noConversion"/>
  </si>
  <si>
    <t>단비</t>
    <phoneticPr fontId="1" type="noConversion"/>
  </si>
  <si>
    <t>최혜정</t>
    <phoneticPr fontId="1" type="noConversion"/>
  </si>
  <si>
    <t>이사랑</t>
    <phoneticPr fontId="1" type="noConversion"/>
  </si>
  <si>
    <t>김건우</t>
    <phoneticPr fontId="1" type="noConversion"/>
  </si>
  <si>
    <t>이사야</t>
    <phoneticPr fontId="1" type="noConversion"/>
  </si>
  <si>
    <t>김종백</t>
    <phoneticPr fontId="1" type="noConversion"/>
  </si>
  <si>
    <t>동물 이름</t>
    <phoneticPr fontId="1" type="noConversion"/>
  </si>
  <si>
    <t>지창대</t>
    <phoneticPr fontId="1" type="noConversion"/>
  </si>
  <si>
    <t>쿠키</t>
    <phoneticPr fontId="1" type="noConversion"/>
  </si>
  <si>
    <t>인터넷 검색</t>
    <phoneticPr fontId="1" type="noConversion"/>
  </si>
  <si>
    <t>정다은</t>
    <phoneticPr fontId="1" type="noConversion"/>
  </si>
  <si>
    <t>몽실</t>
    <phoneticPr fontId="1" type="noConversion"/>
  </si>
  <si>
    <t>루이</t>
    <phoneticPr fontId="1" type="noConversion"/>
  </si>
  <si>
    <t>조성진</t>
    <phoneticPr fontId="1" type="noConversion"/>
  </si>
  <si>
    <t>레오</t>
    <phoneticPr fontId="1" type="noConversion"/>
  </si>
  <si>
    <t>이소림</t>
    <phoneticPr fontId="1" type="noConversion"/>
  </si>
  <si>
    <t>네이버 후기</t>
    <phoneticPr fontId="1" type="noConversion"/>
  </si>
  <si>
    <t>아린</t>
    <phoneticPr fontId="1" type="noConversion"/>
  </si>
  <si>
    <t>안수빈</t>
    <phoneticPr fontId="1" type="noConversion"/>
  </si>
  <si>
    <t>유지영</t>
    <phoneticPr fontId="1" type="noConversion"/>
  </si>
  <si>
    <t>미미</t>
    <phoneticPr fontId="1" type="noConversion"/>
  </si>
  <si>
    <t>이뻐</t>
    <phoneticPr fontId="1" type="noConversion"/>
  </si>
  <si>
    <t>이현정</t>
    <phoneticPr fontId="1" type="noConversion"/>
  </si>
  <si>
    <t>하늘</t>
    <phoneticPr fontId="1" type="noConversion"/>
  </si>
  <si>
    <t>이하나</t>
    <phoneticPr fontId="1" type="noConversion"/>
  </si>
  <si>
    <t>영웅</t>
    <phoneticPr fontId="1" type="noConversion"/>
  </si>
  <si>
    <t>석은숙</t>
    <phoneticPr fontId="1" type="noConversion"/>
  </si>
  <si>
    <t>쭈꾸</t>
    <phoneticPr fontId="1" type="noConversion"/>
  </si>
  <si>
    <t>김승정</t>
    <phoneticPr fontId="1" type="noConversion"/>
  </si>
  <si>
    <t>베리</t>
    <phoneticPr fontId="1" type="noConversion"/>
  </si>
  <si>
    <t>이은영</t>
    <phoneticPr fontId="1" type="noConversion"/>
  </si>
  <si>
    <t>용품점</t>
    <phoneticPr fontId="1" type="noConversion"/>
  </si>
  <si>
    <t>겨울이</t>
    <phoneticPr fontId="1" type="noConversion"/>
  </si>
  <si>
    <t>김자경</t>
    <phoneticPr fontId="1" type="noConversion"/>
  </si>
  <si>
    <t>달래</t>
    <phoneticPr fontId="1" type="noConversion"/>
  </si>
  <si>
    <t>안다예</t>
    <phoneticPr fontId="1" type="noConversion"/>
  </si>
  <si>
    <t>탐탐이</t>
    <phoneticPr fontId="1" type="noConversion"/>
  </si>
  <si>
    <t>이진희</t>
    <phoneticPr fontId="1" type="noConversion"/>
  </si>
  <si>
    <t>둥이</t>
    <phoneticPr fontId="1" type="noConversion"/>
  </si>
  <si>
    <t>이옥희</t>
    <phoneticPr fontId="1" type="noConversion"/>
  </si>
  <si>
    <t>내쉬</t>
    <phoneticPr fontId="1" type="noConversion"/>
  </si>
  <si>
    <t>윤소연</t>
    <phoneticPr fontId="1" type="noConversion"/>
  </si>
  <si>
    <t>지니</t>
    <phoneticPr fontId="1" type="noConversion"/>
  </si>
  <si>
    <t>류충희</t>
    <phoneticPr fontId="1" type="noConversion"/>
  </si>
  <si>
    <t>프링</t>
    <phoneticPr fontId="1" type="noConversion"/>
  </si>
  <si>
    <t>전예지</t>
    <phoneticPr fontId="1" type="noConversion"/>
  </si>
  <si>
    <t>깨비</t>
    <phoneticPr fontId="1" type="noConversion"/>
  </si>
  <si>
    <t>조은서</t>
    <phoneticPr fontId="1" type="noConversion"/>
  </si>
  <si>
    <t>김경빈</t>
    <phoneticPr fontId="1" type="noConversion"/>
  </si>
  <si>
    <t>집 근처 방문</t>
    <phoneticPr fontId="1" type="noConversion"/>
  </si>
  <si>
    <t>김다복</t>
    <phoneticPr fontId="1" type="noConversion"/>
  </si>
  <si>
    <t>김기현</t>
    <phoneticPr fontId="1" type="noConversion"/>
  </si>
  <si>
    <t>망고</t>
    <phoneticPr fontId="1" type="noConversion"/>
  </si>
  <si>
    <t>양유현</t>
    <phoneticPr fontId="1" type="noConversion"/>
  </si>
  <si>
    <t>초이</t>
    <phoneticPr fontId="1" type="noConversion"/>
  </si>
  <si>
    <t>방수희</t>
    <phoneticPr fontId="1" type="noConversion"/>
  </si>
  <si>
    <t>지인추천(한미옥/별이)</t>
    <phoneticPr fontId="1" type="noConversion"/>
  </si>
  <si>
    <t>도도</t>
    <phoneticPr fontId="1" type="noConversion"/>
  </si>
  <si>
    <t>한순남</t>
    <phoneticPr fontId="1" type="noConversion"/>
  </si>
  <si>
    <t>최효경</t>
    <phoneticPr fontId="1" type="noConversion"/>
  </si>
  <si>
    <t>요미</t>
    <phoneticPr fontId="1" type="noConversion"/>
  </si>
  <si>
    <t>정자현</t>
    <phoneticPr fontId="1" type="noConversion"/>
  </si>
  <si>
    <t>하루</t>
    <phoneticPr fontId="1" type="noConversion"/>
  </si>
  <si>
    <t>이미선</t>
    <phoneticPr fontId="1" type="noConversion"/>
  </si>
  <si>
    <t>지인추천</t>
    <phoneticPr fontId="1" type="noConversion"/>
  </si>
  <si>
    <t>콜라</t>
    <phoneticPr fontId="1" type="noConversion"/>
  </si>
  <si>
    <t>김수진</t>
    <phoneticPr fontId="1" type="noConversion"/>
  </si>
  <si>
    <t>제리</t>
    <phoneticPr fontId="1" type="noConversion"/>
  </si>
  <si>
    <t>김재구</t>
    <phoneticPr fontId="1" type="noConversion"/>
  </si>
  <si>
    <t>단콩</t>
    <phoneticPr fontId="1" type="noConversion"/>
  </si>
  <si>
    <t>이하진</t>
    <phoneticPr fontId="1" type="noConversion"/>
  </si>
  <si>
    <t>쫑이</t>
    <phoneticPr fontId="1" type="noConversion"/>
  </si>
  <si>
    <t>임택규</t>
    <phoneticPr fontId="1" type="noConversion"/>
  </si>
  <si>
    <t>설이</t>
    <phoneticPr fontId="1" type="noConversion"/>
  </si>
  <si>
    <t>김보경</t>
    <phoneticPr fontId="1" type="noConversion"/>
  </si>
  <si>
    <t>구름</t>
    <phoneticPr fontId="1" type="noConversion"/>
  </si>
  <si>
    <t>이서연</t>
    <phoneticPr fontId="1" type="noConversion"/>
  </si>
  <si>
    <t>초코</t>
    <phoneticPr fontId="1" type="noConversion"/>
  </si>
  <si>
    <t>김선미</t>
    <phoneticPr fontId="1" type="noConversion"/>
  </si>
  <si>
    <t>아름</t>
    <phoneticPr fontId="1" type="noConversion"/>
  </si>
  <si>
    <t>장안경</t>
    <phoneticPr fontId="1" type="noConversion"/>
  </si>
  <si>
    <t>왕</t>
    <phoneticPr fontId="1" type="noConversion"/>
  </si>
  <si>
    <t>권효진</t>
    <phoneticPr fontId="1" type="noConversion"/>
  </si>
  <si>
    <t>지인추천(순자엄마)</t>
    <phoneticPr fontId="1" type="noConversion"/>
  </si>
  <si>
    <t>모카</t>
    <phoneticPr fontId="1" type="noConversion"/>
  </si>
  <si>
    <t>이효진</t>
    <phoneticPr fontId="1" type="noConversion"/>
  </si>
  <si>
    <t>치즈</t>
    <phoneticPr fontId="1" type="noConversion"/>
  </si>
  <si>
    <t>김보라</t>
    <phoneticPr fontId="1" type="noConversion"/>
  </si>
  <si>
    <t>서구청점 소개</t>
    <phoneticPr fontId="1" type="noConversion"/>
  </si>
  <si>
    <t>겨울</t>
    <phoneticPr fontId="1" type="noConversion"/>
  </si>
  <si>
    <t>박애리</t>
    <phoneticPr fontId="1" type="noConversion"/>
  </si>
  <si>
    <t>땅콩</t>
    <phoneticPr fontId="1" type="noConversion"/>
  </si>
  <si>
    <t>정다움</t>
    <phoneticPr fontId="1" type="noConversion"/>
  </si>
  <si>
    <t>콩</t>
    <phoneticPr fontId="1" type="noConversion"/>
  </si>
  <si>
    <t>송미조</t>
    <phoneticPr fontId="1" type="noConversion"/>
  </si>
  <si>
    <t>쵸코</t>
    <phoneticPr fontId="1" type="noConversion"/>
  </si>
  <si>
    <t>최은영</t>
    <phoneticPr fontId="1" type="noConversion"/>
  </si>
  <si>
    <t>찡찡이</t>
    <phoneticPr fontId="1" type="noConversion"/>
  </si>
  <si>
    <t>김정민</t>
    <phoneticPr fontId="1" type="noConversion"/>
  </si>
  <si>
    <t>오동이</t>
    <phoneticPr fontId="1" type="noConversion"/>
  </si>
  <si>
    <t>이수진</t>
    <phoneticPr fontId="1" type="noConversion"/>
  </si>
  <si>
    <t>라이, 럭키</t>
    <phoneticPr fontId="1" type="noConversion"/>
  </si>
  <si>
    <t>이형일</t>
    <phoneticPr fontId="1" type="noConversion"/>
  </si>
  <si>
    <t>보리</t>
    <phoneticPr fontId="1" type="noConversion"/>
  </si>
  <si>
    <t>이유빈</t>
    <phoneticPr fontId="1" type="noConversion"/>
  </si>
  <si>
    <t>당근마켓 추천</t>
    <phoneticPr fontId="1" type="noConversion"/>
  </si>
  <si>
    <t>별이</t>
    <phoneticPr fontId="1" type="noConversion"/>
  </si>
  <si>
    <t>김동섭</t>
    <phoneticPr fontId="1" type="noConversion"/>
  </si>
  <si>
    <t>미샤</t>
    <phoneticPr fontId="1" type="noConversion"/>
  </si>
  <si>
    <t>김유라</t>
    <phoneticPr fontId="1" type="noConversion"/>
  </si>
  <si>
    <t>금동이</t>
    <phoneticPr fontId="1" type="noConversion"/>
  </si>
  <si>
    <t>김장봉</t>
    <phoneticPr fontId="1" type="noConversion"/>
  </si>
  <si>
    <t>감자</t>
    <phoneticPr fontId="1" type="noConversion"/>
  </si>
  <si>
    <t>임수정</t>
    <phoneticPr fontId="1" type="noConversion"/>
  </si>
  <si>
    <t>기타?</t>
    <phoneticPr fontId="1" type="noConversion"/>
  </si>
  <si>
    <t>두부, 콩</t>
    <phoneticPr fontId="1" type="noConversion"/>
  </si>
  <si>
    <t>장유진</t>
    <phoneticPr fontId="1" type="noConversion"/>
  </si>
  <si>
    <t>조준지</t>
    <phoneticPr fontId="1" type="noConversion"/>
  </si>
  <si>
    <t>조리퐁</t>
    <phoneticPr fontId="1" type="noConversion"/>
  </si>
  <si>
    <t>지인추천</t>
    <phoneticPr fontId="1" type="noConversion"/>
  </si>
  <si>
    <t>호식이</t>
    <phoneticPr fontId="1" type="noConversion"/>
  </si>
  <si>
    <t>김지훈</t>
    <phoneticPr fontId="1" type="noConversion"/>
  </si>
  <si>
    <t>용품점</t>
    <phoneticPr fontId="1" type="noConversion"/>
  </si>
  <si>
    <t>홍차</t>
    <phoneticPr fontId="1" type="noConversion"/>
  </si>
  <si>
    <t>박미란</t>
    <phoneticPr fontId="1" type="noConversion"/>
  </si>
  <si>
    <t>지나가다 봄</t>
    <phoneticPr fontId="1" type="noConversion"/>
  </si>
  <si>
    <t>토리</t>
    <phoneticPr fontId="1" type="noConversion"/>
  </si>
  <si>
    <t>서상희</t>
    <phoneticPr fontId="1" type="noConversion"/>
  </si>
  <si>
    <t>평강</t>
    <phoneticPr fontId="1" type="noConversion"/>
  </si>
  <si>
    <t>김수진</t>
    <phoneticPr fontId="1" type="noConversion"/>
  </si>
  <si>
    <t>구름</t>
    <phoneticPr fontId="1" type="noConversion"/>
  </si>
  <si>
    <t>이능섭</t>
    <phoneticPr fontId="1" type="noConversion"/>
  </si>
  <si>
    <t>도그마루</t>
    <phoneticPr fontId="1" type="noConversion"/>
  </si>
  <si>
    <t>달이</t>
    <phoneticPr fontId="1" type="noConversion"/>
  </si>
  <si>
    <t>윤명희</t>
    <phoneticPr fontId="1" type="noConversion"/>
  </si>
  <si>
    <t>미키</t>
    <phoneticPr fontId="1" type="noConversion"/>
  </si>
  <si>
    <t>윤주희</t>
    <phoneticPr fontId="1" type="noConversion"/>
  </si>
  <si>
    <t>하콩, 솜</t>
    <phoneticPr fontId="1" type="noConversion"/>
  </si>
  <si>
    <t>황지혜</t>
    <phoneticPr fontId="1" type="noConversion"/>
  </si>
  <si>
    <t>레오</t>
    <phoneticPr fontId="1" type="noConversion"/>
  </si>
  <si>
    <t>권예림</t>
    <phoneticPr fontId="1" type="noConversion"/>
  </si>
  <si>
    <t>꿀이</t>
    <phoneticPr fontId="1" type="noConversion"/>
  </si>
  <si>
    <t>이다은</t>
    <phoneticPr fontId="1" type="noConversion"/>
  </si>
  <si>
    <t>밀키</t>
    <phoneticPr fontId="1" type="noConversion"/>
  </si>
  <si>
    <t>전혜선</t>
    <phoneticPr fontId="1" type="noConversion"/>
  </si>
  <si>
    <t>고양이</t>
    <phoneticPr fontId="1" type="noConversion"/>
  </si>
  <si>
    <t>김정연</t>
    <phoneticPr fontId="1" type="noConversion"/>
  </si>
  <si>
    <t>루미</t>
    <phoneticPr fontId="1" type="noConversion"/>
  </si>
  <si>
    <t>항미혜</t>
    <phoneticPr fontId="1" type="noConversion"/>
  </si>
  <si>
    <t>봉봉</t>
    <phoneticPr fontId="1" type="noConversion"/>
  </si>
  <si>
    <t>최윤지</t>
    <phoneticPr fontId="1" type="noConversion"/>
  </si>
  <si>
    <t>빵지</t>
    <phoneticPr fontId="1" type="noConversion"/>
  </si>
  <si>
    <t>진현서</t>
    <phoneticPr fontId="1" type="noConversion"/>
  </si>
  <si>
    <t>블로그</t>
    <phoneticPr fontId="1" type="noConversion"/>
  </si>
  <si>
    <t>송이</t>
    <phoneticPr fontId="1" type="noConversion"/>
  </si>
  <si>
    <t>임다정</t>
    <phoneticPr fontId="1" type="noConversion"/>
  </si>
  <si>
    <t>밍키</t>
    <phoneticPr fontId="1" type="noConversion"/>
  </si>
  <si>
    <t>민정은</t>
    <phoneticPr fontId="1" type="noConversion"/>
  </si>
  <si>
    <t>신설기</t>
    <phoneticPr fontId="1" type="noConversion"/>
  </si>
  <si>
    <t>신지현</t>
    <phoneticPr fontId="1" type="noConversion"/>
  </si>
  <si>
    <t>아지</t>
    <phoneticPr fontId="1" type="noConversion"/>
  </si>
  <si>
    <t>강혜정</t>
    <phoneticPr fontId="1" type="noConversion"/>
  </si>
  <si>
    <t>김탄</t>
    <phoneticPr fontId="1" type="noConversion"/>
  </si>
  <si>
    <t>김민서</t>
    <phoneticPr fontId="1" type="noConversion"/>
  </si>
  <si>
    <t>초코</t>
    <phoneticPr fontId="1" type="noConversion"/>
  </si>
  <si>
    <t>김서희</t>
    <phoneticPr fontId="1" type="noConversion"/>
  </si>
  <si>
    <t>심수민</t>
    <phoneticPr fontId="1" type="noConversion"/>
  </si>
  <si>
    <t>뿡뿡이</t>
    <phoneticPr fontId="1" type="noConversion"/>
  </si>
  <si>
    <t>곽지민</t>
    <phoneticPr fontId="1" type="noConversion"/>
  </si>
  <si>
    <t>밤복이</t>
    <phoneticPr fontId="1" type="noConversion"/>
  </si>
  <si>
    <t>이수지</t>
    <phoneticPr fontId="1" type="noConversion"/>
  </si>
  <si>
    <t>포도</t>
    <phoneticPr fontId="1" type="noConversion"/>
  </si>
  <si>
    <t>경도영</t>
    <phoneticPr fontId="1" type="noConversion"/>
  </si>
  <si>
    <t>황희자</t>
    <phoneticPr fontId="1" type="noConversion"/>
  </si>
  <si>
    <t>이보영</t>
    <phoneticPr fontId="1" type="noConversion"/>
  </si>
  <si>
    <t>김재학</t>
    <phoneticPr fontId="1" type="noConversion"/>
  </si>
  <si>
    <t>총총이</t>
    <phoneticPr fontId="1" type="noConversion"/>
  </si>
  <si>
    <t>이경옥</t>
    <phoneticPr fontId="1" type="noConversion"/>
  </si>
  <si>
    <t>심라영</t>
    <phoneticPr fontId="1" type="noConversion"/>
  </si>
  <si>
    <t>콩이</t>
    <phoneticPr fontId="1" type="noConversion"/>
  </si>
  <si>
    <t>고인실</t>
    <phoneticPr fontId="1" type="noConversion"/>
  </si>
  <si>
    <t>톰,제리</t>
    <phoneticPr fontId="1" type="noConversion"/>
  </si>
  <si>
    <t>지수민</t>
    <phoneticPr fontId="1" type="noConversion"/>
  </si>
  <si>
    <t>이경애</t>
    <phoneticPr fontId="1" type="noConversion"/>
  </si>
  <si>
    <t>최민식</t>
    <phoneticPr fontId="1" type="noConversion"/>
  </si>
  <si>
    <t>삐삐</t>
    <phoneticPr fontId="1" type="noConversion"/>
  </si>
  <si>
    <t>정예빈</t>
    <phoneticPr fontId="1" type="noConversion"/>
  </si>
  <si>
    <t>새봄</t>
    <phoneticPr fontId="1" type="noConversion"/>
  </si>
  <si>
    <t>김혜연</t>
    <phoneticPr fontId="1" type="noConversion"/>
  </si>
  <si>
    <t>또또</t>
    <phoneticPr fontId="1" type="noConversion"/>
  </si>
  <si>
    <t>김미영</t>
    <phoneticPr fontId="1" type="noConversion"/>
  </si>
  <si>
    <t>지인추천</t>
    <phoneticPr fontId="1" type="noConversion"/>
  </si>
  <si>
    <t>이장군</t>
    <phoneticPr fontId="1" type="noConversion"/>
  </si>
  <si>
    <t>이일주</t>
    <phoneticPr fontId="1" type="noConversion"/>
  </si>
  <si>
    <t>인터넷 검색(응금진료 가능 여부)</t>
    <phoneticPr fontId="1" type="noConversion"/>
  </si>
  <si>
    <t>자두</t>
    <phoneticPr fontId="1" type="noConversion"/>
  </si>
  <si>
    <t>이홍주</t>
    <phoneticPr fontId="1" type="noConversion"/>
  </si>
  <si>
    <t>인터넷 검색</t>
    <phoneticPr fontId="1" type="noConversion"/>
  </si>
  <si>
    <t>김태연</t>
    <phoneticPr fontId="1" type="noConversion"/>
  </si>
  <si>
    <t xml:space="preserve">왕원장님 기존 환자 </t>
    <phoneticPr fontId="1" type="noConversion"/>
  </si>
  <si>
    <t>이영주</t>
    <phoneticPr fontId="1" type="noConversion"/>
  </si>
  <si>
    <t>춘삼</t>
    <phoneticPr fontId="1" type="noConversion"/>
  </si>
  <si>
    <t>누리</t>
    <phoneticPr fontId="1" type="noConversion"/>
  </si>
  <si>
    <t>유소연</t>
    <phoneticPr fontId="1" type="noConversion"/>
  </si>
  <si>
    <t>별</t>
    <phoneticPr fontId="1" type="noConversion"/>
  </si>
  <si>
    <t>유지현</t>
    <phoneticPr fontId="1" type="noConversion"/>
  </si>
  <si>
    <t>두부</t>
    <phoneticPr fontId="1" type="noConversion"/>
  </si>
  <si>
    <t>유아현</t>
    <phoneticPr fontId="1" type="noConversion"/>
  </si>
  <si>
    <t>용품점</t>
    <phoneticPr fontId="1" type="noConversion"/>
  </si>
  <si>
    <t>다롱이</t>
    <phoneticPr fontId="1" type="noConversion"/>
  </si>
  <si>
    <t>윤혜원</t>
    <phoneticPr fontId="1" type="noConversion"/>
  </si>
  <si>
    <t>인터넷 검색</t>
    <phoneticPr fontId="1" type="noConversion"/>
  </si>
  <si>
    <t>감쟈</t>
    <phoneticPr fontId="1" type="noConversion"/>
  </si>
  <si>
    <t>김성희</t>
    <phoneticPr fontId="1" type="noConversion"/>
  </si>
  <si>
    <t>지인추천</t>
    <phoneticPr fontId="1" type="noConversion"/>
  </si>
  <si>
    <t>몽실이</t>
    <phoneticPr fontId="1" type="noConversion"/>
  </si>
  <si>
    <t>오세훈</t>
    <phoneticPr fontId="1" type="noConversion"/>
  </si>
  <si>
    <t>시루</t>
    <phoneticPr fontId="1" type="noConversion"/>
  </si>
  <si>
    <t>유다솜</t>
    <phoneticPr fontId="1" type="noConversion"/>
  </si>
  <si>
    <t>별이</t>
    <phoneticPr fontId="1" type="noConversion"/>
  </si>
  <si>
    <t>전일권</t>
    <phoneticPr fontId="1" type="noConversion"/>
  </si>
  <si>
    <t>순자</t>
    <phoneticPr fontId="1" type="noConversion"/>
  </si>
  <si>
    <t>강혁</t>
    <phoneticPr fontId="1" type="noConversion"/>
  </si>
  <si>
    <t>깐돌이</t>
    <phoneticPr fontId="1" type="noConversion"/>
  </si>
  <si>
    <t>권순태</t>
    <phoneticPr fontId="1" type="noConversion"/>
  </si>
  <si>
    <t>금동이</t>
    <phoneticPr fontId="1" type="noConversion"/>
  </si>
  <si>
    <t>김송</t>
    <phoneticPr fontId="1" type="noConversion"/>
  </si>
  <si>
    <t>이인희</t>
    <phoneticPr fontId="1" type="noConversion"/>
  </si>
  <si>
    <t>하비</t>
    <phoneticPr fontId="1" type="noConversion"/>
  </si>
  <si>
    <t>라떼</t>
    <phoneticPr fontId="1" type="noConversion"/>
  </si>
  <si>
    <t>이상희</t>
    <phoneticPr fontId="1" type="noConversion"/>
  </si>
  <si>
    <t>블로그</t>
    <phoneticPr fontId="1" type="noConversion"/>
  </si>
  <si>
    <t>까미</t>
    <phoneticPr fontId="1" type="noConversion"/>
  </si>
  <si>
    <t>이민구</t>
    <phoneticPr fontId="1" type="noConversion"/>
  </si>
  <si>
    <t>뭉이</t>
    <phoneticPr fontId="1" type="noConversion"/>
  </si>
  <si>
    <t>임채린</t>
    <phoneticPr fontId="1" type="noConversion"/>
  </si>
  <si>
    <t>메시</t>
    <phoneticPr fontId="1" type="noConversion"/>
  </si>
  <si>
    <t>이회호</t>
    <phoneticPr fontId="1" type="noConversion"/>
  </si>
  <si>
    <t>설이</t>
    <phoneticPr fontId="1" type="noConversion"/>
  </si>
  <si>
    <t>김문환</t>
    <phoneticPr fontId="1" type="noConversion"/>
  </si>
  <si>
    <t>코코</t>
    <phoneticPr fontId="1" type="noConversion"/>
  </si>
  <si>
    <t>탁해인</t>
    <phoneticPr fontId="1" type="noConversion"/>
  </si>
  <si>
    <t>집 근처 방문</t>
    <phoneticPr fontId="1" type="noConversion"/>
  </si>
  <si>
    <t>망치</t>
    <phoneticPr fontId="1" type="noConversion"/>
  </si>
  <si>
    <t>김명희</t>
    <phoneticPr fontId="1" type="noConversion"/>
  </si>
  <si>
    <t>까미</t>
    <phoneticPr fontId="1" type="noConversion"/>
  </si>
  <si>
    <t>이윤경</t>
    <phoneticPr fontId="1" type="noConversion"/>
  </si>
  <si>
    <t>호두</t>
    <phoneticPr fontId="1" type="noConversion"/>
  </si>
  <si>
    <t>신애경</t>
    <phoneticPr fontId="1" type="noConversion"/>
  </si>
  <si>
    <t>용명희</t>
    <phoneticPr fontId="1" type="noConversion"/>
  </si>
  <si>
    <t>마요</t>
    <phoneticPr fontId="1" type="noConversion"/>
  </si>
  <si>
    <t>이태형</t>
    <phoneticPr fontId="1" type="noConversion"/>
  </si>
  <si>
    <t>네이버 후기</t>
    <phoneticPr fontId="1" type="noConversion"/>
  </si>
  <si>
    <t>카스</t>
    <phoneticPr fontId="1" type="noConversion"/>
  </si>
  <si>
    <t>김미</t>
    <phoneticPr fontId="1" type="noConversion"/>
  </si>
  <si>
    <t>히융</t>
    <phoneticPr fontId="1" type="noConversion"/>
  </si>
  <si>
    <t>황인혜</t>
    <phoneticPr fontId="1" type="noConversion"/>
  </si>
  <si>
    <t>만두</t>
    <phoneticPr fontId="1" type="noConversion"/>
  </si>
  <si>
    <t>윤선미</t>
    <phoneticPr fontId="1" type="noConversion"/>
  </si>
  <si>
    <t>정혜영</t>
    <phoneticPr fontId="1" type="noConversion"/>
  </si>
  <si>
    <t>만두</t>
    <phoneticPr fontId="1" type="noConversion"/>
  </si>
  <si>
    <t>콩이</t>
    <phoneticPr fontId="1" type="noConversion"/>
  </si>
  <si>
    <t>정화인</t>
    <phoneticPr fontId="1" type="noConversion"/>
  </si>
  <si>
    <t>유키</t>
    <phoneticPr fontId="1" type="noConversion"/>
  </si>
  <si>
    <t>전희조</t>
    <phoneticPr fontId="1" type="noConversion"/>
  </si>
  <si>
    <t>히로</t>
    <phoneticPr fontId="1" type="noConversion"/>
  </si>
  <si>
    <t>김미영</t>
    <phoneticPr fontId="1" type="noConversion"/>
  </si>
  <si>
    <t>라임</t>
    <phoneticPr fontId="1" type="noConversion"/>
  </si>
  <si>
    <t>전혜조</t>
    <phoneticPr fontId="1" type="noConversion"/>
  </si>
  <si>
    <t>허롱롱</t>
    <phoneticPr fontId="1" type="noConversion"/>
  </si>
  <si>
    <t>허미경</t>
    <phoneticPr fontId="1" type="noConversion"/>
  </si>
  <si>
    <t>심바</t>
    <phoneticPr fontId="1" type="noConversion"/>
  </si>
  <si>
    <t>박은주</t>
    <phoneticPr fontId="1" type="noConversion"/>
  </si>
  <si>
    <t>말라이</t>
    <phoneticPr fontId="1" type="noConversion"/>
  </si>
  <si>
    <t>김명진</t>
    <phoneticPr fontId="1" type="noConversion"/>
  </si>
  <si>
    <t>타마</t>
    <phoneticPr fontId="1" type="noConversion"/>
  </si>
  <si>
    <t>김재민</t>
    <phoneticPr fontId="1" type="noConversion"/>
  </si>
  <si>
    <t>열무</t>
    <phoneticPr fontId="1" type="noConversion"/>
  </si>
  <si>
    <t>이정애</t>
    <phoneticPr fontId="1" type="noConversion"/>
  </si>
  <si>
    <t>사바</t>
    <phoneticPr fontId="1" type="noConversion"/>
  </si>
  <si>
    <t>허정우</t>
    <phoneticPr fontId="1" type="noConversion"/>
  </si>
  <si>
    <t>단이</t>
    <phoneticPr fontId="1" type="noConversion"/>
  </si>
  <si>
    <t>방수지</t>
    <phoneticPr fontId="1" type="noConversion"/>
  </si>
  <si>
    <t>운</t>
    <phoneticPr fontId="1" type="noConversion"/>
  </si>
  <si>
    <t>구민주</t>
    <phoneticPr fontId="1" type="noConversion"/>
  </si>
  <si>
    <t>지인추천</t>
    <phoneticPr fontId="1" type="noConversion"/>
  </si>
  <si>
    <t>천둥이</t>
    <phoneticPr fontId="1" type="noConversion"/>
  </si>
  <si>
    <t>최송화</t>
    <phoneticPr fontId="1" type="noConversion"/>
  </si>
  <si>
    <t>브레</t>
    <phoneticPr fontId="1" type="noConversion"/>
  </si>
  <si>
    <t>윤소정</t>
    <phoneticPr fontId="1" type="noConversion"/>
  </si>
  <si>
    <t>가을</t>
    <phoneticPr fontId="1" type="noConversion"/>
  </si>
  <si>
    <t>정윤화</t>
    <phoneticPr fontId="1" type="noConversion"/>
  </si>
  <si>
    <t>구리</t>
    <phoneticPr fontId="1" type="noConversion"/>
  </si>
  <si>
    <t>조예림</t>
    <phoneticPr fontId="1" type="noConversion"/>
  </si>
  <si>
    <t>럭키</t>
    <phoneticPr fontId="1" type="noConversion"/>
  </si>
  <si>
    <t>최은일</t>
    <phoneticPr fontId="1" type="noConversion"/>
  </si>
  <si>
    <t>누룽지</t>
    <phoneticPr fontId="1" type="noConversion"/>
  </si>
  <si>
    <t>허경숙</t>
    <phoneticPr fontId="1" type="noConversion"/>
  </si>
  <si>
    <t>몽이</t>
    <phoneticPr fontId="1" type="noConversion"/>
  </si>
  <si>
    <t>심세은</t>
    <phoneticPr fontId="1" type="noConversion"/>
  </si>
  <si>
    <t>똘이</t>
    <phoneticPr fontId="1" type="noConversion"/>
  </si>
  <si>
    <t>안면모</t>
    <phoneticPr fontId="1" type="noConversion"/>
  </si>
  <si>
    <t>쿠키</t>
    <phoneticPr fontId="1" type="noConversion"/>
  </si>
  <si>
    <t>정진국</t>
    <phoneticPr fontId="1" type="noConversion"/>
  </si>
  <si>
    <t>달봉이</t>
    <phoneticPr fontId="1" type="noConversion"/>
  </si>
  <si>
    <t>전경란</t>
    <phoneticPr fontId="1" type="noConversion"/>
  </si>
  <si>
    <t>미소</t>
    <phoneticPr fontId="1" type="noConversion"/>
  </si>
  <si>
    <t>박경애</t>
    <phoneticPr fontId="1" type="noConversion"/>
  </si>
  <si>
    <t>두유</t>
    <phoneticPr fontId="1" type="noConversion"/>
  </si>
  <si>
    <t>박순영</t>
    <phoneticPr fontId="1" type="noConversion"/>
  </si>
  <si>
    <t>구름이</t>
    <phoneticPr fontId="1" type="noConversion"/>
  </si>
  <si>
    <t>김민지</t>
    <phoneticPr fontId="1" type="noConversion"/>
  </si>
  <si>
    <t>홍시</t>
    <phoneticPr fontId="1" type="noConversion"/>
  </si>
  <si>
    <t>이호민</t>
    <phoneticPr fontId="1" type="noConversion"/>
  </si>
  <si>
    <t>다다</t>
    <phoneticPr fontId="1" type="noConversion"/>
  </si>
  <si>
    <t>김선영</t>
    <phoneticPr fontId="1" type="noConversion"/>
  </si>
  <si>
    <t>단지</t>
    <phoneticPr fontId="1" type="noConversion"/>
  </si>
  <si>
    <t>이민주</t>
    <phoneticPr fontId="1" type="noConversion"/>
  </si>
  <si>
    <t>별이</t>
    <phoneticPr fontId="1" type="noConversion"/>
  </si>
  <si>
    <t>김희철</t>
    <phoneticPr fontId="1" type="noConversion"/>
  </si>
  <si>
    <t>서구청</t>
    <phoneticPr fontId="1" type="noConversion"/>
  </si>
  <si>
    <t>진동</t>
    <phoneticPr fontId="1" type="noConversion"/>
  </si>
  <si>
    <t>박정민</t>
    <phoneticPr fontId="1" type="noConversion"/>
  </si>
  <si>
    <t>티슈</t>
    <phoneticPr fontId="1" type="noConversion"/>
  </si>
  <si>
    <t>차승미</t>
    <phoneticPr fontId="1" type="noConversion"/>
  </si>
  <si>
    <t>밀크</t>
    <phoneticPr fontId="1" type="noConversion"/>
  </si>
  <si>
    <t>원남숙</t>
    <phoneticPr fontId="1" type="noConversion"/>
  </si>
  <si>
    <t>고기</t>
    <phoneticPr fontId="1" type="noConversion"/>
  </si>
  <si>
    <t>전호철</t>
    <phoneticPr fontId="1" type="noConversion"/>
  </si>
  <si>
    <t>인터넷 검색</t>
    <phoneticPr fontId="1" type="noConversion"/>
  </si>
  <si>
    <t>뽀삐</t>
    <phoneticPr fontId="1" type="noConversion"/>
  </si>
  <si>
    <t>김영아</t>
    <phoneticPr fontId="1" type="noConversion"/>
  </si>
  <si>
    <t>도그마루</t>
    <phoneticPr fontId="1" type="noConversion"/>
  </si>
  <si>
    <t>숭이</t>
    <phoneticPr fontId="1" type="noConversion"/>
  </si>
  <si>
    <t>이해진</t>
    <phoneticPr fontId="1" type="noConversion"/>
  </si>
  <si>
    <t>네이버후기</t>
    <phoneticPr fontId="1" type="noConversion"/>
  </si>
  <si>
    <t>뿌꾸</t>
    <phoneticPr fontId="1" type="noConversion"/>
  </si>
  <si>
    <t>한아름</t>
    <phoneticPr fontId="1" type="noConversion"/>
  </si>
  <si>
    <t>포포</t>
    <phoneticPr fontId="1" type="noConversion"/>
  </si>
  <si>
    <t>신혜영</t>
    <phoneticPr fontId="1" type="noConversion"/>
  </si>
  <si>
    <t>별</t>
    <phoneticPr fontId="1" type="noConversion"/>
  </si>
  <si>
    <t>이혜영</t>
    <phoneticPr fontId="1" type="noConversion"/>
  </si>
  <si>
    <t>용품점</t>
    <phoneticPr fontId="1" type="noConversion"/>
  </si>
  <si>
    <t>지나</t>
    <phoneticPr fontId="1" type="noConversion"/>
  </si>
  <si>
    <t>신현경</t>
    <phoneticPr fontId="1" type="noConversion"/>
  </si>
  <si>
    <t>보리</t>
    <phoneticPr fontId="1" type="noConversion"/>
  </si>
  <si>
    <t>이현주</t>
    <phoneticPr fontId="1" type="noConversion"/>
  </si>
  <si>
    <t>자몽</t>
    <phoneticPr fontId="1" type="noConversion"/>
  </si>
  <si>
    <t>임은욱</t>
    <phoneticPr fontId="1" type="noConversion"/>
  </si>
  <si>
    <t>초코</t>
    <phoneticPr fontId="1" type="noConversion"/>
  </si>
  <si>
    <t>고중기</t>
    <phoneticPr fontId="1" type="noConversion"/>
  </si>
  <si>
    <t>미미</t>
    <phoneticPr fontId="1" type="noConversion"/>
  </si>
  <si>
    <t>이종형</t>
    <phoneticPr fontId="1" type="noConversion"/>
  </si>
  <si>
    <t>치료해주오 논현점</t>
    <phoneticPr fontId="1" type="noConversion"/>
  </si>
  <si>
    <t>별이</t>
    <phoneticPr fontId="1" type="noConversion"/>
  </si>
  <si>
    <t>배성대</t>
    <phoneticPr fontId="1" type="noConversion"/>
  </si>
  <si>
    <t>원두</t>
    <phoneticPr fontId="1" type="noConversion"/>
  </si>
  <si>
    <t>신지예</t>
    <phoneticPr fontId="1" type="noConversion"/>
  </si>
  <si>
    <t>지나가다 봄</t>
    <phoneticPr fontId="1" type="noConversion"/>
  </si>
  <si>
    <t>머랭</t>
    <phoneticPr fontId="1" type="noConversion"/>
  </si>
  <si>
    <t>이한서</t>
    <phoneticPr fontId="1" type="noConversion"/>
  </si>
  <si>
    <t>도그마루</t>
    <phoneticPr fontId="1" type="noConversion"/>
  </si>
  <si>
    <t>옹</t>
    <phoneticPr fontId="1" type="noConversion"/>
  </si>
  <si>
    <t>김다영</t>
    <phoneticPr fontId="1" type="noConversion"/>
  </si>
  <si>
    <t>지인추천(송도점 매니저 지인)</t>
    <phoneticPr fontId="1" type="noConversion"/>
  </si>
  <si>
    <t>쿠키, 젤리</t>
    <phoneticPr fontId="1" type="noConversion"/>
  </si>
  <si>
    <t>김재연</t>
    <phoneticPr fontId="1" type="noConversion"/>
  </si>
  <si>
    <t>집 근처</t>
    <phoneticPr fontId="1" type="noConversion"/>
  </si>
  <si>
    <t>권정자</t>
    <phoneticPr fontId="1" type="noConversion"/>
  </si>
  <si>
    <t>장효정</t>
    <phoneticPr fontId="1" type="noConversion"/>
  </si>
  <si>
    <t>용품점</t>
    <phoneticPr fontId="1" type="noConversion"/>
  </si>
  <si>
    <t>두부</t>
    <phoneticPr fontId="1" type="noConversion"/>
  </si>
  <si>
    <t>땅콩</t>
    <phoneticPr fontId="1" type="noConversion"/>
  </si>
  <si>
    <t>홍서문</t>
    <phoneticPr fontId="1" type="noConversion"/>
  </si>
  <si>
    <t>쫑</t>
    <phoneticPr fontId="1" type="noConversion"/>
  </si>
  <si>
    <t>정강례</t>
    <phoneticPr fontId="1" type="noConversion"/>
  </si>
  <si>
    <t>꾸름</t>
    <phoneticPr fontId="1" type="noConversion"/>
  </si>
  <si>
    <t>방월석</t>
    <phoneticPr fontId="1" type="noConversion"/>
  </si>
  <si>
    <t>팡</t>
    <phoneticPr fontId="1" type="noConversion"/>
  </si>
  <si>
    <t>곽성용</t>
    <phoneticPr fontId="1" type="noConversion"/>
  </si>
  <si>
    <t>도그마루</t>
    <phoneticPr fontId="1" type="noConversion"/>
  </si>
  <si>
    <t>루비</t>
    <phoneticPr fontId="1" type="noConversion"/>
  </si>
  <si>
    <t>홍덕성</t>
    <phoneticPr fontId="1" type="noConversion"/>
  </si>
  <si>
    <t>전수경</t>
    <phoneticPr fontId="1" type="noConversion"/>
  </si>
  <si>
    <t>박소정</t>
    <phoneticPr fontId="1" type="noConversion"/>
  </si>
  <si>
    <t>둥이</t>
    <phoneticPr fontId="1" type="noConversion"/>
  </si>
  <si>
    <t>자몽</t>
    <phoneticPr fontId="1" type="noConversion"/>
  </si>
  <si>
    <t>전언설</t>
    <phoneticPr fontId="1" type="noConversion"/>
  </si>
  <si>
    <t>실장님 지인</t>
    <phoneticPr fontId="1" type="noConversion"/>
  </si>
  <si>
    <t>복희</t>
    <phoneticPr fontId="1" type="noConversion"/>
  </si>
  <si>
    <t>정희정</t>
    <phoneticPr fontId="1" type="noConversion"/>
  </si>
  <si>
    <t>밤푸리</t>
    <phoneticPr fontId="1" type="noConversion"/>
  </si>
  <si>
    <t>남윤희</t>
    <phoneticPr fontId="1" type="noConversion"/>
  </si>
  <si>
    <t>먼지</t>
    <phoneticPr fontId="1" type="noConversion"/>
  </si>
  <si>
    <t>김하람</t>
    <phoneticPr fontId="1" type="noConversion"/>
  </si>
  <si>
    <t>붓지</t>
    <phoneticPr fontId="1" type="noConversion"/>
  </si>
  <si>
    <t>장세일</t>
    <phoneticPr fontId="1" type="noConversion"/>
  </si>
  <si>
    <t>푸코(루코)</t>
    <phoneticPr fontId="1" type="noConversion"/>
  </si>
  <si>
    <t>손찬울</t>
    <phoneticPr fontId="1" type="noConversion"/>
  </si>
  <si>
    <t>망고</t>
    <phoneticPr fontId="1" type="noConversion"/>
  </si>
  <si>
    <t>이유주</t>
    <phoneticPr fontId="1" type="noConversion"/>
  </si>
  <si>
    <t>달님</t>
    <phoneticPr fontId="1" type="noConversion"/>
  </si>
  <si>
    <t>강봉식</t>
    <phoneticPr fontId="1" type="noConversion"/>
  </si>
  <si>
    <t>송은실</t>
    <phoneticPr fontId="1" type="noConversion"/>
  </si>
  <si>
    <t>겨울이</t>
    <phoneticPr fontId="1" type="noConversion"/>
  </si>
  <si>
    <t>레미</t>
    <phoneticPr fontId="1" type="noConversion"/>
  </si>
  <si>
    <t>황선희</t>
    <phoneticPr fontId="1" type="noConversion"/>
  </si>
  <si>
    <t>봉팔이</t>
    <phoneticPr fontId="1" type="noConversion"/>
  </si>
  <si>
    <t>이도연</t>
    <phoneticPr fontId="1" type="noConversion"/>
  </si>
  <si>
    <t>쭈롱</t>
    <phoneticPr fontId="1" type="noConversion"/>
  </si>
  <si>
    <t>하슬기</t>
    <phoneticPr fontId="1" type="noConversion"/>
  </si>
  <si>
    <t>루카</t>
    <phoneticPr fontId="1" type="noConversion"/>
  </si>
  <si>
    <t>안이삭</t>
    <phoneticPr fontId="1" type="noConversion"/>
  </si>
  <si>
    <t>강귀순</t>
    <phoneticPr fontId="1" type="noConversion"/>
  </si>
  <si>
    <t>다롱이</t>
    <phoneticPr fontId="1" type="noConversion"/>
  </si>
  <si>
    <t>김단아</t>
    <phoneticPr fontId="1" type="noConversion"/>
  </si>
  <si>
    <t>루이</t>
    <phoneticPr fontId="1" type="noConversion"/>
  </si>
  <si>
    <t>이옥영</t>
    <phoneticPr fontId="1" type="noConversion"/>
  </si>
  <si>
    <t>네이버 후기</t>
    <phoneticPr fontId="1" type="noConversion"/>
  </si>
  <si>
    <t>강현아</t>
    <phoneticPr fontId="1" type="noConversion"/>
  </si>
  <si>
    <t>몽이</t>
    <phoneticPr fontId="1" type="noConversion"/>
  </si>
  <si>
    <t>김소라</t>
    <phoneticPr fontId="1" type="noConversion"/>
  </si>
  <si>
    <t>열무</t>
    <phoneticPr fontId="1" type="noConversion"/>
  </si>
  <si>
    <t>허두호</t>
    <phoneticPr fontId="1" type="noConversion"/>
  </si>
  <si>
    <t>자두</t>
    <phoneticPr fontId="1" type="noConversion"/>
  </si>
  <si>
    <t>김혜수</t>
    <phoneticPr fontId="1" type="noConversion"/>
  </si>
  <si>
    <t>이경임</t>
    <phoneticPr fontId="1" type="noConversion"/>
  </si>
  <si>
    <t>김은수</t>
    <phoneticPr fontId="1" type="noConversion"/>
  </si>
  <si>
    <t>솜이</t>
    <phoneticPr fontId="1" type="noConversion"/>
  </si>
  <si>
    <t>권순무</t>
    <phoneticPr fontId="1" type="noConversion"/>
  </si>
  <si>
    <t>권희경</t>
    <phoneticPr fontId="1" type="noConversion"/>
  </si>
  <si>
    <t>덱스</t>
    <phoneticPr fontId="1" type="noConversion"/>
  </si>
  <si>
    <t>유기정</t>
    <phoneticPr fontId="1" type="noConversion"/>
  </si>
  <si>
    <t>문양</t>
    <phoneticPr fontId="1" type="noConversion"/>
  </si>
  <si>
    <t>문지연</t>
    <phoneticPr fontId="1" type="noConversion"/>
  </si>
  <si>
    <t>밍키</t>
    <phoneticPr fontId="1" type="noConversion"/>
  </si>
  <si>
    <t>임경수</t>
    <phoneticPr fontId="1" type="noConversion"/>
  </si>
  <si>
    <t>진순이</t>
    <phoneticPr fontId="1" type="noConversion"/>
  </si>
  <si>
    <t>손민아</t>
    <phoneticPr fontId="1" type="noConversion"/>
  </si>
  <si>
    <t>지인추천</t>
    <phoneticPr fontId="1" type="noConversion"/>
  </si>
  <si>
    <t>써비</t>
    <phoneticPr fontId="1" type="noConversion"/>
  </si>
  <si>
    <t>이규정</t>
    <phoneticPr fontId="1" type="noConversion"/>
  </si>
  <si>
    <t>영심이</t>
    <phoneticPr fontId="1" type="noConversion"/>
  </si>
  <si>
    <t>또리</t>
    <phoneticPr fontId="1" type="noConversion"/>
  </si>
  <si>
    <t>김동형</t>
    <phoneticPr fontId="1" type="noConversion"/>
  </si>
  <si>
    <t>치즈</t>
    <phoneticPr fontId="1" type="noConversion"/>
  </si>
  <si>
    <t>김하수</t>
    <phoneticPr fontId="1" type="noConversion"/>
  </si>
  <si>
    <t>콩이</t>
    <phoneticPr fontId="1" type="noConversion"/>
  </si>
  <si>
    <t>이진현</t>
    <phoneticPr fontId="1" type="noConversion"/>
  </si>
  <si>
    <t>콜라</t>
    <phoneticPr fontId="1" type="noConversion"/>
  </si>
  <si>
    <t>김주희</t>
    <phoneticPr fontId="1" type="noConversion"/>
  </si>
  <si>
    <t>파니</t>
    <phoneticPr fontId="1" type="noConversion"/>
  </si>
  <si>
    <t>김현숙</t>
    <phoneticPr fontId="1" type="noConversion"/>
  </si>
  <si>
    <t>미미</t>
    <phoneticPr fontId="1" type="noConversion"/>
  </si>
  <si>
    <t>최재구</t>
    <phoneticPr fontId="1" type="noConversion"/>
  </si>
  <si>
    <t>용품점</t>
    <phoneticPr fontId="1" type="noConversion"/>
  </si>
  <si>
    <t>하루</t>
    <phoneticPr fontId="1" type="noConversion"/>
  </si>
  <si>
    <t>이순향</t>
    <phoneticPr fontId="1" type="noConversion"/>
  </si>
  <si>
    <t>도그마루</t>
    <phoneticPr fontId="1" type="noConversion"/>
  </si>
  <si>
    <t>호프</t>
    <phoneticPr fontId="1" type="noConversion"/>
  </si>
  <si>
    <t>조복내</t>
    <phoneticPr fontId="1" type="noConversion"/>
  </si>
  <si>
    <t>뭉찌</t>
    <phoneticPr fontId="1" type="noConversion"/>
  </si>
  <si>
    <t>조인선</t>
    <phoneticPr fontId="1" type="noConversion"/>
  </si>
  <si>
    <t>가을</t>
    <phoneticPr fontId="1" type="noConversion"/>
  </si>
  <si>
    <t>이윤경</t>
    <phoneticPr fontId="1" type="noConversion"/>
  </si>
  <si>
    <t>후추</t>
    <phoneticPr fontId="1" type="noConversion"/>
  </si>
  <si>
    <t>조승행</t>
    <phoneticPr fontId="1" type="noConversion"/>
  </si>
  <si>
    <t>지인추천</t>
    <phoneticPr fontId="1" type="noConversion"/>
  </si>
  <si>
    <t>구름</t>
    <phoneticPr fontId="1" type="noConversion"/>
  </si>
  <si>
    <t>송지연</t>
    <phoneticPr fontId="1" type="noConversion"/>
  </si>
  <si>
    <t>인터넷 검색</t>
    <phoneticPr fontId="1" type="noConversion"/>
  </si>
  <si>
    <t>젤리</t>
    <phoneticPr fontId="1" type="noConversion"/>
  </si>
  <si>
    <t>임다영</t>
    <phoneticPr fontId="1" type="noConversion"/>
  </si>
  <si>
    <t>네이버 후기</t>
    <phoneticPr fontId="1" type="noConversion"/>
  </si>
  <si>
    <t>염애은</t>
    <phoneticPr fontId="1" type="noConversion"/>
  </si>
  <si>
    <t>딸기</t>
    <phoneticPr fontId="1" type="noConversion"/>
  </si>
  <si>
    <t>밍키</t>
    <phoneticPr fontId="1" type="noConversion"/>
  </si>
  <si>
    <t>최영희</t>
    <phoneticPr fontId="1" type="noConversion"/>
  </si>
  <si>
    <t>럭키</t>
    <phoneticPr fontId="1" type="noConversion"/>
  </si>
  <si>
    <t>하윤수</t>
    <phoneticPr fontId="1" type="noConversion"/>
  </si>
  <si>
    <t>보리</t>
    <phoneticPr fontId="1" type="noConversion"/>
  </si>
  <si>
    <t>김재은</t>
    <phoneticPr fontId="1" type="noConversion"/>
  </si>
  <si>
    <t>김하람</t>
    <phoneticPr fontId="1" type="noConversion"/>
  </si>
  <si>
    <t>하루, 루이</t>
    <phoneticPr fontId="1" type="noConversion"/>
  </si>
  <si>
    <t>블로그, 네이버 후기</t>
    <phoneticPr fontId="1" type="noConversion"/>
  </si>
  <si>
    <t>두부</t>
    <phoneticPr fontId="1" type="noConversion"/>
  </si>
  <si>
    <t>김다혜</t>
    <phoneticPr fontId="1" type="noConversion"/>
  </si>
  <si>
    <t>시루, 흰둥이</t>
    <phoneticPr fontId="1" type="noConversion"/>
  </si>
  <si>
    <t>정미희</t>
    <phoneticPr fontId="1" type="noConversion"/>
  </si>
  <si>
    <t>절미</t>
    <phoneticPr fontId="1" type="noConversion"/>
  </si>
  <si>
    <t>임재영</t>
    <phoneticPr fontId="1" type="noConversion"/>
  </si>
  <si>
    <t>쩔미</t>
    <phoneticPr fontId="1" type="noConversion"/>
  </si>
  <si>
    <t>이진아</t>
    <phoneticPr fontId="1" type="noConversion"/>
  </si>
  <si>
    <t>밀크</t>
    <phoneticPr fontId="1" type="noConversion"/>
  </si>
  <si>
    <t>신숙경</t>
    <phoneticPr fontId="1" type="noConversion"/>
  </si>
  <si>
    <t>봄이</t>
    <phoneticPr fontId="1" type="noConversion"/>
  </si>
  <si>
    <t>이미선</t>
    <phoneticPr fontId="1" type="noConversion"/>
  </si>
  <si>
    <t>기타?</t>
    <phoneticPr fontId="1" type="noConversion"/>
  </si>
  <si>
    <t>호준</t>
    <phoneticPr fontId="1" type="noConversion"/>
  </si>
  <si>
    <t>성지예</t>
    <phoneticPr fontId="1" type="noConversion"/>
  </si>
  <si>
    <t>김윤희</t>
    <phoneticPr fontId="1" type="noConversion"/>
  </si>
  <si>
    <t>치치</t>
    <phoneticPr fontId="1" type="noConversion"/>
  </si>
  <si>
    <t>겨울</t>
    <phoneticPr fontId="1" type="noConversion"/>
  </si>
  <si>
    <t>전진영</t>
    <phoneticPr fontId="1" type="noConversion"/>
  </si>
  <si>
    <t>김수정</t>
    <phoneticPr fontId="1" type="noConversion"/>
  </si>
  <si>
    <t>비타</t>
    <phoneticPr fontId="1" type="noConversion"/>
  </si>
  <si>
    <t>김승환</t>
    <phoneticPr fontId="1" type="noConversion"/>
  </si>
  <si>
    <t>루이</t>
    <phoneticPr fontId="1" type="noConversion"/>
  </si>
  <si>
    <t>김현민</t>
    <phoneticPr fontId="1" type="noConversion"/>
  </si>
  <si>
    <t>난이</t>
    <phoneticPr fontId="1" type="noConversion"/>
  </si>
  <si>
    <t>오선녀</t>
    <phoneticPr fontId="1" type="noConversion"/>
  </si>
  <si>
    <t>도그마루</t>
    <phoneticPr fontId="1" type="noConversion"/>
  </si>
  <si>
    <t>심은비</t>
    <phoneticPr fontId="1" type="noConversion"/>
  </si>
  <si>
    <t>신보나</t>
    <phoneticPr fontId="1" type="noConversion"/>
  </si>
  <si>
    <t>츄츄</t>
    <phoneticPr fontId="1" type="noConversion"/>
  </si>
  <si>
    <t>강효정</t>
    <phoneticPr fontId="1" type="noConversion"/>
  </si>
  <si>
    <t>용품점</t>
    <phoneticPr fontId="1" type="noConversion"/>
  </si>
  <si>
    <t>망치</t>
    <phoneticPr fontId="1" type="noConversion"/>
  </si>
  <si>
    <t>이은지</t>
    <phoneticPr fontId="1" type="noConversion"/>
  </si>
  <si>
    <t>네이버 후기</t>
    <phoneticPr fontId="1" type="noConversion"/>
  </si>
  <si>
    <t>코코</t>
    <phoneticPr fontId="1" type="noConversion"/>
  </si>
  <si>
    <t>방은주</t>
    <phoneticPr fontId="1" type="noConversion"/>
  </si>
  <si>
    <t>뽀또</t>
    <phoneticPr fontId="1" type="noConversion"/>
  </si>
  <si>
    <t>김보람</t>
    <phoneticPr fontId="1" type="noConversion"/>
  </si>
  <si>
    <t>짱아</t>
    <phoneticPr fontId="1" type="noConversion"/>
  </si>
  <si>
    <t>송미르</t>
    <phoneticPr fontId="1" type="noConversion"/>
  </si>
  <si>
    <t>체리</t>
    <phoneticPr fontId="1" type="noConversion"/>
  </si>
  <si>
    <t>신성현</t>
    <phoneticPr fontId="1" type="noConversion"/>
  </si>
  <si>
    <t>태태</t>
    <phoneticPr fontId="1" type="noConversion"/>
  </si>
  <si>
    <t>김민주</t>
    <phoneticPr fontId="1" type="noConversion"/>
  </si>
  <si>
    <t>아오</t>
    <phoneticPr fontId="1" type="noConversion"/>
  </si>
  <si>
    <t>나원빈</t>
    <phoneticPr fontId="1" type="noConversion"/>
  </si>
  <si>
    <t>희동이</t>
    <phoneticPr fontId="1" type="noConversion"/>
  </si>
  <si>
    <t>이찬희</t>
    <phoneticPr fontId="1" type="noConversion"/>
  </si>
  <si>
    <t>복덩이</t>
    <phoneticPr fontId="1" type="noConversion"/>
  </si>
  <si>
    <t>윤태현</t>
    <phoneticPr fontId="1" type="noConversion"/>
  </si>
  <si>
    <t>뽀송이</t>
    <phoneticPr fontId="1" type="noConversion"/>
  </si>
  <si>
    <t>박은열</t>
    <phoneticPr fontId="1" type="noConversion"/>
  </si>
  <si>
    <t>김도윤</t>
    <phoneticPr fontId="1" type="noConversion"/>
  </si>
  <si>
    <t>탁구</t>
    <phoneticPr fontId="1" type="noConversion"/>
  </si>
  <si>
    <t>김진혁</t>
    <phoneticPr fontId="1" type="noConversion"/>
  </si>
  <si>
    <t>설콩</t>
    <phoneticPr fontId="1" type="noConversion"/>
  </si>
  <si>
    <t>이남욱</t>
    <phoneticPr fontId="1" type="noConversion"/>
  </si>
  <si>
    <t>메리</t>
    <phoneticPr fontId="1" type="noConversion"/>
  </si>
  <si>
    <t>김석원</t>
    <phoneticPr fontId="1" type="noConversion"/>
  </si>
  <si>
    <t>도그마루</t>
    <phoneticPr fontId="1" type="noConversion"/>
  </si>
  <si>
    <t>순대</t>
    <phoneticPr fontId="1" type="noConversion"/>
  </si>
  <si>
    <t>주지혜</t>
    <phoneticPr fontId="1" type="noConversion"/>
  </si>
  <si>
    <t>겨울</t>
    <phoneticPr fontId="1" type="noConversion"/>
  </si>
  <si>
    <t>김태권</t>
    <phoneticPr fontId="1" type="noConversion"/>
  </si>
  <si>
    <t>호두</t>
    <phoneticPr fontId="1" type="noConversion"/>
  </si>
  <si>
    <t>배진주</t>
    <phoneticPr fontId="1" type="noConversion"/>
  </si>
  <si>
    <t>루나</t>
    <phoneticPr fontId="1" type="noConversion"/>
  </si>
  <si>
    <t>이지애</t>
    <phoneticPr fontId="1" type="noConversion"/>
  </si>
  <si>
    <t>여름</t>
    <phoneticPr fontId="1" type="noConversion"/>
  </si>
  <si>
    <t>산타</t>
    <phoneticPr fontId="1" type="noConversion"/>
  </si>
  <si>
    <t>김성진</t>
    <phoneticPr fontId="1" type="noConversion"/>
  </si>
  <si>
    <t>도그마루</t>
    <phoneticPr fontId="1" type="noConversion"/>
  </si>
  <si>
    <t>이하루</t>
    <phoneticPr fontId="1" type="noConversion"/>
  </si>
  <si>
    <t>이봄</t>
    <phoneticPr fontId="1" type="noConversion"/>
  </si>
  <si>
    <t>블로그</t>
    <phoneticPr fontId="1" type="noConversion"/>
  </si>
  <si>
    <t>토르</t>
    <phoneticPr fontId="1" type="noConversion"/>
  </si>
  <si>
    <t>김상우</t>
    <phoneticPr fontId="1" type="noConversion"/>
  </si>
  <si>
    <t>실장님 지인</t>
    <phoneticPr fontId="1" type="noConversion"/>
  </si>
  <si>
    <t>깍지</t>
    <phoneticPr fontId="1" type="noConversion"/>
  </si>
  <si>
    <t>김서희</t>
    <phoneticPr fontId="1" type="noConversion"/>
  </si>
  <si>
    <t>도그마루 직원</t>
    <phoneticPr fontId="1" type="noConversion"/>
  </si>
  <si>
    <t>규돌</t>
    <phoneticPr fontId="1" type="noConversion"/>
  </si>
  <si>
    <t>김영예</t>
    <phoneticPr fontId="1" type="noConversion"/>
  </si>
  <si>
    <t>초롱이</t>
    <phoneticPr fontId="1" type="noConversion"/>
  </si>
  <si>
    <t>최진영</t>
    <phoneticPr fontId="1" type="noConversion"/>
  </si>
  <si>
    <t>콩이</t>
    <phoneticPr fontId="1" type="noConversion"/>
  </si>
  <si>
    <t>송해남</t>
    <phoneticPr fontId="1" type="noConversion"/>
  </si>
  <si>
    <t>곽윤주</t>
    <phoneticPr fontId="1" type="noConversion"/>
  </si>
  <si>
    <t>?</t>
    <phoneticPr fontId="1" type="noConversion"/>
  </si>
  <si>
    <t>두유</t>
    <phoneticPr fontId="1" type="noConversion"/>
  </si>
  <si>
    <t>인수지</t>
    <phoneticPr fontId="1" type="noConversion"/>
  </si>
  <si>
    <t>김미유</t>
    <phoneticPr fontId="1" type="noConversion"/>
  </si>
  <si>
    <t>김연수</t>
    <phoneticPr fontId="1" type="noConversion"/>
  </si>
  <si>
    <t>장주희</t>
    <phoneticPr fontId="1" type="noConversion"/>
  </si>
  <si>
    <t>김은미</t>
    <phoneticPr fontId="1" type="noConversion"/>
  </si>
  <si>
    <t>이필순</t>
    <phoneticPr fontId="1" type="noConversion"/>
  </si>
  <si>
    <t>뽀뽀</t>
    <phoneticPr fontId="1" type="noConversion"/>
  </si>
  <si>
    <t>박은영</t>
    <phoneticPr fontId="1" type="noConversion"/>
  </si>
  <si>
    <t>양갱</t>
    <phoneticPr fontId="1" type="noConversion"/>
  </si>
  <si>
    <t>따미</t>
    <phoneticPr fontId="1" type="noConversion"/>
  </si>
  <si>
    <t>문혜린</t>
    <phoneticPr fontId="1" type="noConversion"/>
  </si>
  <si>
    <t>신비</t>
    <phoneticPr fontId="1" type="noConversion"/>
  </si>
  <si>
    <t>임주연</t>
    <phoneticPr fontId="1" type="noConversion"/>
  </si>
  <si>
    <t>복땡이</t>
    <phoneticPr fontId="1" type="noConversion"/>
  </si>
  <si>
    <t>강연우</t>
    <phoneticPr fontId="1" type="noConversion"/>
  </si>
  <si>
    <t>몽글이</t>
    <phoneticPr fontId="1" type="noConversion"/>
  </si>
  <si>
    <t>이지혜</t>
    <phoneticPr fontId="1" type="noConversion"/>
  </si>
  <si>
    <t>먼지</t>
    <phoneticPr fontId="1" type="noConversion"/>
  </si>
  <si>
    <t>조은실</t>
    <phoneticPr fontId="1" type="noConversion"/>
  </si>
  <si>
    <t>최진우</t>
    <phoneticPr fontId="1" type="noConversion"/>
  </si>
  <si>
    <t>현</t>
    <phoneticPr fontId="1" type="noConversion"/>
  </si>
  <si>
    <t>이윤정</t>
    <phoneticPr fontId="1" type="noConversion"/>
  </si>
  <si>
    <t>왕승현</t>
    <phoneticPr fontId="1" type="noConversion"/>
  </si>
  <si>
    <t>솜</t>
    <phoneticPr fontId="1" type="noConversion"/>
  </si>
  <si>
    <t>최한식</t>
    <phoneticPr fontId="1" type="noConversion"/>
  </si>
  <si>
    <t>동키</t>
    <phoneticPr fontId="1" type="noConversion"/>
  </si>
  <si>
    <t>유동명</t>
    <phoneticPr fontId="1" type="noConversion"/>
  </si>
  <si>
    <t>정종윤</t>
    <phoneticPr fontId="1" type="noConversion"/>
  </si>
  <si>
    <t>마리</t>
    <phoneticPr fontId="1" type="noConversion"/>
  </si>
  <si>
    <t>홍미란</t>
    <phoneticPr fontId="1" type="noConversion"/>
  </si>
  <si>
    <t>흰둥이</t>
    <phoneticPr fontId="1" type="noConversion"/>
  </si>
  <si>
    <t>권송덕</t>
    <phoneticPr fontId="1" type="noConversion"/>
  </si>
  <si>
    <t>현미</t>
    <phoneticPr fontId="1" type="noConversion"/>
  </si>
  <si>
    <t>김재현</t>
    <phoneticPr fontId="1" type="noConversion"/>
  </si>
  <si>
    <t>박은지</t>
    <phoneticPr fontId="1" type="noConversion"/>
  </si>
  <si>
    <t>박경선</t>
    <phoneticPr fontId="1" type="noConversion"/>
  </si>
  <si>
    <t>민트</t>
    <phoneticPr fontId="1" type="noConversion"/>
  </si>
  <si>
    <t>호랑이 동물병원 소개</t>
    <phoneticPr fontId="1" type="noConversion"/>
  </si>
  <si>
    <t>정지미</t>
    <phoneticPr fontId="1" type="noConversion"/>
  </si>
  <si>
    <t>운이</t>
    <phoneticPr fontId="1" type="noConversion"/>
  </si>
  <si>
    <t>이수미</t>
    <phoneticPr fontId="1" type="noConversion"/>
  </si>
  <si>
    <t>최광진</t>
    <phoneticPr fontId="1" type="noConversion"/>
  </si>
  <si>
    <t>구름이</t>
    <phoneticPr fontId="1" type="noConversion"/>
  </si>
  <si>
    <t>길용익</t>
    <phoneticPr fontId="1" type="noConversion"/>
  </si>
  <si>
    <t>시루</t>
    <phoneticPr fontId="1" type="noConversion"/>
  </si>
  <si>
    <t>지연화</t>
    <phoneticPr fontId="1" type="noConversion"/>
  </si>
  <si>
    <t>미오</t>
    <phoneticPr fontId="1" type="noConversion"/>
  </si>
  <si>
    <t>오수진</t>
    <phoneticPr fontId="1" type="noConversion"/>
  </si>
  <si>
    <t>몽, 사랑</t>
    <phoneticPr fontId="1" type="noConversion"/>
  </si>
  <si>
    <t>송용민</t>
    <phoneticPr fontId="1" type="noConversion"/>
  </si>
  <si>
    <t>영웅</t>
    <phoneticPr fontId="1" type="noConversion"/>
  </si>
  <si>
    <t>송란</t>
    <phoneticPr fontId="1" type="noConversion"/>
  </si>
  <si>
    <t>예솜이</t>
    <phoneticPr fontId="1" type="noConversion"/>
  </si>
  <si>
    <t>김만은</t>
    <phoneticPr fontId="1" type="noConversion"/>
  </si>
  <si>
    <t>마루</t>
    <phoneticPr fontId="1" type="noConversion"/>
  </si>
  <si>
    <t>최아영</t>
    <phoneticPr fontId="1" type="noConversion"/>
  </si>
  <si>
    <t>이대한</t>
    <phoneticPr fontId="1" type="noConversion"/>
  </si>
  <si>
    <t>성문정</t>
    <phoneticPr fontId="1" type="noConversion"/>
  </si>
  <si>
    <t>창변성</t>
    <phoneticPr fontId="1" type="noConversion"/>
  </si>
  <si>
    <t>곽지인</t>
    <phoneticPr fontId="1" type="noConversion"/>
  </si>
  <si>
    <t>해피, 피크</t>
    <phoneticPr fontId="1" type="noConversion"/>
  </si>
  <si>
    <t>민현기</t>
    <phoneticPr fontId="1" type="noConversion"/>
  </si>
  <si>
    <t>영월이</t>
    <phoneticPr fontId="1" type="noConversion"/>
  </si>
  <si>
    <t>박현주</t>
    <phoneticPr fontId="1" type="noConversion"/>
  </si>
  <si>
    <t>양새이</t>
    <phoneticPr fontId="1" type="noConversion"/>
  </si>
  <si>
    <t>정춘화</t>
    <phoneticPr fontId="1" type="noConversion"/>
  </si>
  <si>
    <t>여름이</t>
    <phoneticPr fontId="1" type="noConversion"/>
  </si>
  <si>
    <t>안혜임</t>
    <phoneticPr fontId="1" type="noConversion"/>
  </si>
  <si>
    <t>연우</t>
    <phoneticPr fontId="1" type="noConversion"/>
  </si>
  <si>
    <t>최윤이</t>
    <phoneticPr fontId="1" type="noConversion"/>
  </si>
  <si>
    <t>김경락</t>
    <phoneticPr fontId="1" type="noConversion"/>
  </si>
  <si>
    <t>옥지</t>
    <phoneticPr fontId="1" type="noConversion"/>
  </si>
  <si>
    <t>정효민</t>
    <phoneticPr fontId="1" type="noConversion"/>
  </si>
  <si>
    <t>구본석</t>
    <phoneticPr fontId="1" type="noConversion"/>
  </si>
  <si>
    <t>일구</t>
    <phoneticPr fontId="1" type="noConversion"/>
  </si>
  <si>
    <t>김효민</t>
    <phoneticPr fontId="1" type="noConversion"/>
  </si>
  <si>
    <t>하루</t>
    <phoneticPr fontId="1" type="noConversion"/>
  </si>
  <si>
    <t>진승후</t>
    <phoneticPr fontId="1" type="noConversion"/>
  </si>
  <si>
    <t>지인추천</t>
    <phoneticPr fontId="1" type="noConversion"/>
  </si>
  <si>
    <t>모카</t>
    <phoneticPr fontId="1" type="noConversion"/>
  </si>
  <si>
    <t>김영식</t>
    <phoneticPr fontId="1" type="noConversion"/>
  </si>
  <si>
    <t>용품점</t>
    <phoneticPr fontId="1" type="noConversion"/>
  </si>
  <si>
    <t>임하나</t>
    <phoneticPr fontId="1" type="noConversion"/>
  </si>
  <si>
    <t>뭉치</t>
    <phoneticPr fontId="1" type="noConversion"/>
  </si>
  <si>
    <t>도그마루</t>
    <phoneticPr fontId="1" type="noConversion"/>
  </si>
  <si>
    <t>꼬미</t>
    <phoneticPr fontId="1" type="noConversion"/>
  </si>
  <si>
    <t>박혜민</t>
    <phoneticPr fontId="1" type="noConversion"/>
  </si>
  <si>
    <t>호순이</t>
    <phoneticPr fontId="1" type="noConversion"/>
  </si>
  <si>
    <t>정상길</t>
    <phoneticPr fontId="1" type="noConversion"/>
  </si>
  <si>
    <t>보니</t>
    <phoneticPr fontId="1" type="noConversion"/>
  </si>
  <si>
    <t>김근영</t>
    <phoneticPr fontId="1" type="noConversion"/>
  </si>
  <si>
    <t>상추</t>
    <phoneticPr fontId="1" type="noConversion"/>
  </si>
  <si>
    <t>김은해</t>
    <phoneticPr fontId="1" type="noConversion"/>
  </si>
  <si>
    <t>뿌뿌</t>
    <phoneticPr fontId="1" type="noConversion"/>
  </si>
  <si>
    <t>한은비</t>
    <phoneticPr fontId="1" type="noConversion"/>
  </si>
  <si>
    <t>강치</t>
    <phoneticPr fontId="1" type="noConversion"/>
  </si>
  <si>
    <t>김미란</t>
    <phoneticPr fontId="1" type="noConversion"/>
  </si>
  <si>
    <t>박떡국</t>
    <phoneticPr fontId="1" type="noConversion"/>
  </si>
  <si>
    <t>서한샘</t>
    <phoneticPr fontId="1" type="noConversion"/>
  </si>
  <si>
    <t>하늘</t>
    <phoneticPr fontId="1" type="noConversion"/>
  </si>
  <si>
    <t>김혜림</t>
    <phoneticPr fontId="1" type="noConversion"/>
  </si>
  <si>
    <t>보배</t>
    <phoneticPr fontId="1" type="noConversion"/>
  </si>
  <si>
    <t>김가원</t>
    <phoneticPr fontId="1" type="noConversion"/>
  </si>
  <si>
    <t>김성임</t>
    <phoneticPr fontId="1" type="noConversion"/>
  </si>
  <si>
    <t>자두</t>
    <phoneticPr fontId="1" type="noConversion"/>
  </si>
  <si>
    <t>몽실</t>
    <phoneticPr fontId="1" type="noConversion"/>
  </si>
  <si>
    <t>김용오</t>
    <phoneticPr fontId="1" type="noConversion"/>
  </si>
  <si>
    <t>몽이</t>
    <phoneticPr fontId="1" type="noConversion"/>
  </si>
  <si>
    <t>권다윤</t>
    <phoneticPr fontId="1" type="noConversion"/>
  </si>
  <si>
    <t>이가을</t>
    <phoneticPr fontId="1" type="noConversion"/>
  </si>
  <si>
    <t>설기</t>
    <phoneticPr fontId="1" type="noConversion"/>
  </si>
  <si>
    <t>조연숙</t>
    <phoneticPr fontId="1" type="noConversion"/>
  </si>
  <si>
    <t>뽀찌</t>
    <phoneticPr fontId="1" type="noConversion"/>
  </si>
  <si>
    <t>윤혜정</t>
    <phoneticPr fontId="1" type="noConversion"/>
  </si>
  <si>
    <t>쪽지</t>
    <phoneticPr fontId="1" type="noConversion"/>
  </si>
  <si>
    <t>홍찬</t>
    <phoneticPr fontId="1" type="noConversion"/>
  </si>
  <si>
    <t>우주</t>
    <phoneticPr fontId="1" type="noConversion"/>
  </si>
  <si>
    <t>정소영</t>
    <phoneticPr fontId="1" type="noConversion"/>
  </si>
  <si>
    <t>리치, 캔디</t>
    <phoneticPr fontId="1" type="noConversion"/>
  </si>
  <si>
    <t>박순복</t>
    <phoneticPr fontId="1" type="noConversion"/>
  </si>
  <si>
    <t>짜장이</t>
    <phoneticPr fontId="1" type="noConversion"/>
  </si>
  <si>
    <t>신민철</t>
    <phoneticPr fontId="1" type="noConversion"/>
  </si>
  <si>
    <t>해달</t>
    <phoneticPr fontId="1" type="noConversion"/>
  </si>
  <si>
    <t>문설화</t>
    <phoneticPr fontId="1" type="noConversion"/>
  </si>
  <si>
    <t>레이</t>
    <phoneticPr fontId="1" type="noConversion"/>
  </si>
  <si>
    <t>조현아</t>
    <phoneticPr fontId="1" type="noConversion"/>
  </si>
  <si>
    <t>구름이</t>
    <phoneticPr fontId="1" type="noConversion"/>
  </si>
  <si>
    <t>김예진</t>
    <phoneticPr fontId="1" type="noConversion"/>
  </si>
  <si>
    <t>인터넷 검색</t>
    <phoneticPr fontId="1" type="noConversion"/>
  </si>
  <si>
    <t>수수</t>
    <phoneticPr fontId="1" type="noConversion"/>
  </si>
  <si>
    <t>윤수근</t>
    <phoneticPr fontId="1" type="noConversion"/>
  </si>
  <si>
    <t>보리</t>
    <phoneticPr fontId="1" type="noConversion"/>
  </si>
  <si>
    <t>남화숙</t>
    <phoneticPr fontId="1" type="noConversion"/>
  </si>
  <si>
    <t>래아</t>
    <phoneticPr fontId="1" type="noConversion"/>
  </si>
  <si>
    <t>조현은</t>
    <phoneticPr fontId="1" type="noConversion"/>
  </si>
  <si>
    <t>딸기</t>
    <phoneticPr fontId="1" type="noConversion"/>
  </si>
  <si>
    <t>이동훈</t>
    <phoneticPr fontId="1" type="noConversion"/>
  </si>
  <si>
    <t>머루</t>
    <phoneticPr fontId="1" type="noConversion"/>
  </si>
  <si>
    <t>류석용</t>
    <phoneticPr fontId="1" type="noConversion"/>
  </si>
  <si>
    <t>지인 추천</t>
    <phoneticPr fontId="1" type="noConversion"/>
  </si>
  <si>
    <t>쫑이</t>
    <phoneticPr fontId="1" type="noConversion"/>
  </si>
  <si>
    <t>전다진</t>
    <phoneticPr fontId="1" type="noConversion"/>
  </si>
  <si>
    <t>곰</t>
    <phoneticPr fontId="1" type="noConversion"/>
  </si>
  <si>
    <t>홍종찬</t>
    <phoneticPr fontId="1" type="noConversion"/>
  </si>
  <si>
    <t>포도</t>
    <phoneticPr fontId="1" type="noConversion"/>
  </si>
  <si>
    <t>박정미</t>
    <phoneticPr fontId="1" type="noConversion"/>
  </si>
  <si>
    <t>용품점</t>
    <phoneticPr fontId="1" type="noConversion"/>
  </si>
  <si>
    <t>달</t>
    <phoneticPr fontId="1" type="noConversion"/>
  </si>
  <si>
    <t>이지연</t>
    <phoneticPr fontId="1" type="noConversion"/>
  </si>
  <si>
    <t>연탄이</t>
    <phoneticPr fontId="1" type="noConversion"/>
  </si>
  <si>
    <t>조은비</t>
    <phoneticPr fontId="1" type="noConversion"/>
  </si>
  <si>
    <t>라이언</t>
    <phoneticPr fontId="1" type="noConversion"/>
  </si>
  <si>
    <t>고세열</t>
    <phoneticPr fontId="1" type="noConversion"/>
  </si>
  <si>
    <t>쿠키</t>
    <phoneticPr fontId="1" type="noConversion"/>
  </si>
  <si>
    <t>이윤정</t>
    <phoneticPr fontId="1" type="noConversion"/>
  </si>
  <si>
    <t>네이버 후기</t>
    <phoneticPr fontId="1" type="noConversion"/>
  </si>
  <si>
    <t>앵두</t>
    <phoneticPr fontId="1" type="noConversion"/>
  </si>
  <si>
    <t>신영화</t>
    <phoneticPr fontId="1" type="noConversion"/>
  </si>
  <si>
    <t>토리</t>
    <phoneticPr fontId="1" type="noConversion"/>
  </si>
  <si>
    <t>전인숙</t>
    <phoneticPr fontId="1" type="noConversion"/>
  </si>
  <si>
    <t>시루, 시둥이</t>
    <phoneticPr fontId="1" type="noConversion"/>
  </si>
  <si>
    <t>김민희</t>
    <phoneticPr fontId="1" type="noConversion"/>
  </si>
  <si>
    <t>레오</t>
    <phoneticPr fontId="1" type="noConversion"/>
  </si>
  <si>
    <t>이해정</t>
    <phoneticPr fontId="1" type="noConversion"/>
  </si>
  <si>
    <t>소이</t>
    <phoneticPr fontId="1" type="noConversion"/>
  </si>
  <si>
    <t>김가이</t>
    <phoneticPr fontId="1" type="noConversion"/>
  </si>
  <si>
    <t>한은정</t>
    <phoneticPr fontId="1" type="noConversion"/>
  </si>
  <si>
    <t>먼지</t>
    <phoneticPr fontId="1" type="noConversion"/>
  </si>
  <si>
    <t>원미정</t>
    <phoneticPr fontId="1" type="noConversion"/>
  </si>
  <si>
    <t>아돌</t>
    <phoneticPr fontId="1" type="noConversion"/>
  </si>
  <si>
    <t>김아진</t>
    <phoneticPr fontId="1" type="noConversion"/>
  </si>
  <si>
    <t>버디</t>
    <phoneticPr fontId="1" type="noConversion"/>
  </si>
  <si>
    <t>홍혜림</t>
    <phoneticPr fontId="1" type="noConversion"/>
  </si>
  <si>
    <t>호두</t>
    <phoneticPr fontId="1" type="noConversion"/>
  </si>
  <si>
    <t>양선희</t>
    <phoneticPr fontId="1" type="noConversion"/>
  </si>
  <si>
    <t>김지수</t>
    <phoneticPr fontId="1" type="noConversion"/>
  </si>
  <si>
    <t>새벽</t>
    <phoneticPr fontId="1" type="noConversion"/>
  </si>
  <si>
    <t>몽실이</t>
    <phoneticPr fontId="1" type="noConversion"/>
  </si>
  <si>
    <t>박지효</t>
    <phoneticPr fontId="1" type="noConversion"/>
  </si>
  <si>
    <t>꼬미</t>
    <phoneticPr fontId="1" type="noConversion"/>
  </si>
  <si>
    <t>류수민</t>
    <phoneticPr fontId="1" type="noConversion"/>
  </si>
  <si>
    <t>최선미</t>
    <phoneticPr fontId="1" type="noConversion"/>
  </si>
  <si>
    <t>파티</t>
    <phoneticPr fontId="1" type="noConversion"/>
  </si>
  <si>
    <t>김혜란</t>
    <phoneticPr fontId="1" type="noConversion"/>
  </si>
  <si>
    <t>타병원 소개</t>
    <phoneticPr fontId="1" type="noConversion"/>
  </si>
  <si>
    <t>미니</t>
    <phoneticPr fontId="1" type="noConversion"/>
  </si>
  <si>
    <t>최순옥</t>
    <phoneticPr fontId="1" type="noConversion"/>
  </si>
  <si>
    <t>줄리</t>
    <phoneticPr fontId="1" type="noConversion"/>
  </si>
  <si>
    <t>강선욱</t>
    <phoneticPr fontId="1" type="noConversion"/>
  </si>
  <si>
    <t>엘사</t>
    <phoneticPr fontId="1" type="noConversion"/>
  </si>
  <si>
    <t>원은경</t>
    <phoneticPr fontId="1" type="noConversion"/>
  </si>
  <si>
    <t>박하</t>
    <phoneticPr fontId="1" type="noConversion"/>
  </si>
  <si>
    <t>홍두리</t>
    <phoneticPr fontId="1" type="noConversion"/>
  </si>
  <si>
    <t>홍다영</t>
    <phoneticPr fontId="1" type="noConversion"/>
  </si>
  <si>
    <t>뿌꾸</t>
    <phoneticPr fontId="1" type="noConversion"/>
  </si>
  <si>
    <t>이예진</t>
    <phoneticPr fontId="1" type="noConversion"/>
  </si>
  <si>
    <t>츄리</t>
    <phoneticPr fontId="1" type="noConversion"/>
  </si>
  <si>
    <t>김인옥</t>
    <phoneticPr fontId="1" type="noConversion"/>
  </si>
  <si>
    <t>별이</t>
    <phoneticPr fontId="1" type="noConversion"/>
  </si>
  <si>
    <t>이민주</t>
    <phoneticPr fontId="1" type="noConversion"/>
  </si>
  <si>
    <t>장석진</t>
    <phoneticPr fontId="1" type="noConversion"/>
  </si>
  <si>
    <t>자두</t>
    <phoneticPr fontId="1" type="noConversion"/>
  </si>
  <si>
    <t>유연주</t>
    <phoneticPr fontId="1" type="noConversion"/>
  </si>
  <si>
    <t>이틀</t>
    <phoneticPr fontId="1" type="noConversion"/>
  </si>
  <si>
    <t>배하은</t>
    <phoneticPr fontId="1" type="noConversion"/>
  </si>
  <si>
    <t>은비</t>
    <phoneticPr fontId="1" type="noConversion"/>
  </si>
  <si>
    <t>김임길</t>
    <phoneticPr fontId="1" type="noConversion"/>
  </si>
  <si>
    <t>이월</t>
    <phoneticPr fontId="1" type="noConversion"/>
  </si>
  <si>
    <t>김희정</t>
    <phoneticPr fontId="1" type="noConversion"/>
  </si>
  <si>
    <t>브레드</t>
    <phoneticPr fontId="1" type="noConversion"/>
  </si>
  <si>
    <t>정유리</t>
    <phoneticPr fontId="1" type="noConversion"/>
  </si>
  <si>
    <t>김유래</t>
    <phoneticPr fontId="1" type="noConversion"/>
  </si>
  <si>
    <t>검색</t>
    <phoneticPr fontId="1" type="noConversion"/>
  </si>
  <si>
    <t>말랑이</t>
    <phoneticPr fontId="1" type="noConversion"/>
  </si>
  <si>
    <t>황윤이</t>
    <phoneticPr fontId="1" type="noConversion"/>
  </si>
  <si>
    <t>치즈, 설이</t>
    <phoneticPr fontId="1" type="noConversion"/>
  </si>
  <si>
    <t>구름이</t>
    <phoneticPr fontId="1" type="noConversion"/>
  </si>
  <si>
    <t>조미경</t>
    <phoneticPr fontId="1" type="noConversion"/>
  </si>
  <si>
    <t>김신영</t>
    <phoneticPr fontId="1" type="noConversion"/>
  </si>
  <si>
    <t>탱구</t>
    <phoneticPr fontId="1" type="noConversion"/>
  </si>
  <si>
    <t>한윤순</t>
    <phoneticPr fontId="1" type="noConversion"/>
  </si>
  <si>
    <t>집근처</t>
    <phoneticPr fontId="1" type="noConversion"/>
  </si>
  <si>
    <t>길냥이</t>
    <phoneticPr fontId="1" type="noConversion"/>
  </si>
  <si>
    <t>백봉석</t>
    <phoneticPr fontId="1" type="noConversion"/>
  </si>
  <si>
    <t xml:space="preserve">솜 </t>
    <phoneticPr fontId="1" type="noConversion"/>
  </si>
  <si>
    <t>지인추천</t>
    <phoneticPr fontId="1" type="noConversion"/>
  </si>
  <si>
    <t>슈슈</t>
    <phoneticPr fontId="1" type="noConversion"/>
  </si>
  <si>
    <t>박영서</t>
    <phoneticPr fontId="1" type="noConversion"/>
  </si>
  <si>
    <t>유호인</t>
    <phoneticPr fontId="1" type="noConversion"/>
  </si>
  <si>
    <t>마음이</t>
    <phoneticPr fontId="1" type="noConversion"/>
  </si>
  <si>
    <t>이종원</t>
    <phoneticPr fontId="1" type="noConversion"/>
  </si>
  <si>
    <t>레이</t>
    <phoneticPr fontId="1" type="noConversion"/>
  </si>
  <si>
    <t>신동현</t>
    <phoneticPr fontId="1" type="noConversion"/>
  </si>
  <si>
    <t>요찌,요롱,요복</t>
    <phoneticPr fontId="1" type="noConversion"/>
  </si>
  <si>
    <t>정진주</t>
    <phoneticPr fontId="1" type="noConversion"/>
  </si>
  <si>
    <t>동락이</t>
    <phoneticPr fontId="1" type="noConversion"/>
  </si>
  <si>
    <t>허수정</t>
    <phoneticPr fontId="1" type="noConversion"/>
  </si>
  <si>
    <t>용품점</t>
    <phoneticPr fontId="1" type="noConversion"/>
  </si>
  <si>
    <t>라라</t>
    <phoneticPr fontId="1" type="noConversion"/>
  </si>
  <si>
    <t>이선우</t>
    <phoneticPr fontId="1" type="noConversion"/>
  </si>
  <si>
    <t>하얀이</t>
    <phoneticPr fontId="1" type="noConversion"/>
  </si>
  <si>
    <t>안윤이</t>
    <phoneticPr fontId="1" type="noConversion"/>
  </si>
  <si>
    <t>메리</t>
    <phoneticPr fontId="1" type="noConversion"/>
  </si>
  <si>
    <t>곽미영</t>
    <phoneticPr fontId="1" type="noConversion"/>
  </si>
  <si>
    <t>마왕이</t>
    <phoneticPr fontId="1" type="noConversion"/>
  </si>
  <si>
    <t>문정현</t>
    <phoneticPr fontId="1" type="noConversion"/>
  </si>
  <si>
    <t>집근처</t>
    <phoneticPr fontId="1" type="noConversion"/>
  </si>
  <si>
    <t>맹이</t>
    <phoneticPr fontId="1" type="noConversion"/>
  </si>
  <si>
    <t>김철환</t>
    <phoneticPr fontId="1" type="noConversion"/>
  </si>
  <si>
    <t>크림이</t>
    <phoneticPr fontId="1" type="noConversion"/>
  </si>
  <si>
    <t>김민배</t>
    <phoneticPr fontId="1" type="noConversion"/>
  </si>
  <si>
    <t>예쁜이</t>
    <phoneticPr fontId="1" type="noConversion"/>
  </si>
  <si>
    <t>서효림</t>
    <phoneticPr fontId="1" type="noConversion"/>
  </si>
  <si>
    <t>밍키</t>
    <phoneticPr fontId="1" type="noConversion"/>
  </si>
  <si>
    <t>김동건</t>
    <phoneticPr fontId="1" type="noConversion"/>
  </si>
  <si>
    <t>블로그</t>
    <phoneticPr fontId="1" type="noConversion"/>
  </si>
  <si>
    <t>호두</t>
    <phoneticPr fontId="1" type="noConversion"/>
  </si>
  <si>
    <t>김윤아</t>
    <phoneticPr fontId="1" type="noConversion"/>
  </si>
  <si>
    <t>삑삑이</t>
    <phoneticPr fontId="1" type="noConversion"/>
  </si>
  <si>
    <t>경은조</t>
    <phoneticPr fontId="1" type="noConversion"/>
  </si>
  <si>
    <t>노랑이</t>
    <phoneticPr fontId="1" type="noConversion"/>
  </si>
  <si>
    <t>최현수</t>
    <phoneticPr fontId="1" type="noConversion"/>
  </si>
  <si>
    <t>앵두</t>
    <phoneticPr fontId="1" type="noConversion"/>
  </si>
  <si>
    <t>김운경</t>
    <phoneticPr fontId="1" type="noConversion"/>
  </si>
  <si>
    <t>쵸코</t>
    <phoneticPr fontId="1" type="noConversion"/>
  </si>
  <si>
    <t>이석주</t>
    <phoneticPr fontId="1" type="noConversion"/>
  </si>
  <si>
    <t>고양이</t>
    <phoneticPr fontId="1" type="noConversion"/>
  </si>
  <si>
    <t>김지연</t>
    <phoneticPr fontId="1" type="noConversion"/>
  </si>
  <si>
    <t>몽</t>
    <phoneticPr fontId="1" type="noConversion"/>
  </si>
  <si>
    <t>정기남</t>
    <phoneticPr fontId="1" type="noConversion"/>
  </si>
  <si>
    <t>모모</t>
    <phoneticPr fontId="1" type="noConversion"/>
  </si>
  <si>
    <t>김성희</t>
    <phoneticPr fontId="1" type="noConversion"/>
  </si>
  <si>
    <t>천사</t>
    <phoneticPr fontId="1" type="noConversion"/>
  </si>
  <si>
    <t>이지원</t>
    <phoneticPr fontId="1" type="noConversion"/>
  </si>
  <si>
    <t>망고</t>
    <phoneticPr fontId="1" type="noConversion"/>
  </si>
  <si>
    <t>강미애</t>
    <phoneticPr fontId="1" type="noConversion"/>
  </si>
  <si>
    <t>포근</t>
    <phoneticPr fontId="1" type="noConversion"/>
  </si>
  <si>
    <t>김선화</t>
    <phoneticPr fontId="1" type="noConversion"/>
  </si>
  <si>
    <t>레오</t>
    <phoneticPr fontId="1" type="noConversion"/>
  </si>
  <si>
    <t>김대희</t>
    <phoneticPr fontId="1" type="noConversion"/>
  </si>
  <si>
    <t>콩</t>
    <phoneticPr fontId="1" type="noConversion"/>
  </si>
  <si>
    <t>진영주</t>
    <phoneticPr fontId="1" type="noConversion"/>
  </si>
  <si>
    <t>코비</t>
    <phoneticPr fontId="1" type="noConversion"/>
  </si>
  <si>
    <t>유충현</t>
    <phoneticPr fontId="1" type="noConversion"/>
  </si>
  <si>
    <t>럭키</t>
    <phoneticPr fontId="1" type="noConversion"/>
  </si>
  <si>
    <t>이선욱</t>
    <phoneticPr fontId="1" type="noConversion"/>
  </si>
  <si>
    <t>미남</t>
    <phoneticPr fontId="1" type="noConversion"/>
  </si>
  <si>
    <t>김수현</t>
    <phoneticPr fontId="1" type="noConversion"/>
  </si>
  <si>
    <t>두부</t>
    <phoneticPr fontId="1" type="noConversion"/>
  </si>
  <si>
    <t>황진심</t>
    <phoneticPr fontId="1" type="noConversion"/>
  </si>
  <si>
    <t>김선일</t>
    <phoneticPr fontId="1" type="noConversion"/>
  </si>
  <si>
    <t>후추</t>
    <phoneticPr fontId="1" type="noConversion"/>
  </si>
  <si>
    <t>안소영</t>
    <phoneticPr fontId="1" type="noConversion"/>
  </si>
  <si>
    <t>정유진</t>
    <phoneticPr fontId="1" type="noConversion"/>
  </si>
  <si>
    <t>사월</t>
    <phoneticPr fontId="1" type="noConversion"/>
  </si>
  <si>
    <t>김현선</t>
    <phoneticPr fontId="1" type="noConversion"/>
  </si>
  <si>
    <t>꼬물</t>
    <phoneticPr fontId="1" type="noConversion"/>
  </si>
  <si>
    <t xml:space="preserve">김소담 </t>
    <phoneticPr fontId="1" type="noConversion"/>
  </si>
  <si>
    <t>요호</t>
    <phoneticPr fontId="1" type="noConversion"/>
  </si>
  <si>
    <t>권혜인</t>
    <phoneticPr fontId="1" type="noConversion"/>
  </si>
  <si>
    <t>지인추천(천미네 쉼터)</t>
    <phoneticPr fontId="1" type="noConversion"/>
  </si>
  <si>
    <t>타미</t>
    <phoneticPr fontId="1" type="noConversion"/>
  </si>
  <si>
    <t>김정희</t>
    <phoneticPr fontId="1" type="noConversion"/>
  </si>
  <si>
    <t>이정희</t>
    <phoneticPr fontId="1" type="noConversion"/>
  </si>
  <si>
    <t>푸스</t>
    <phoneticPr fontId="1" type="noConversion"/>
  </si>
  <si>
    <t>주범기</t>
    <phoneticPr fontId="1" type="noConversion"/>
  </si>
  <si>
    <t>아가</t>
    <phoneticPr fontId="1" type="noConversion"/>
  </si>
  <si>
    <t>박세희</t>
    <phoneticPr fontId="1" type="noConversion"/>
  </si>
  <si>
    <t>박믿음</t>
    <phoneticPr fontId="1" type="noConversion"/>
  </si>
  <si>
    <t>솜사탕</t>
    <phoneticPr fontId="1" type="noConversion"/>
  </si>
  <si>
    <t>허수진</t>
    <phoneticPr fontId="1" type="noConversion"/>
  </si>
  <si>
    <t>모네</t>
    <phoneticPr fontId="1" type="noConversion"/>
  </si>
  <si>
    <t>한사랑</t>
    <phoneticPr fontId="1" type="noConversion"/>
  </si>
  <si>
    <t>네이버 후기</t>
    <phoneticPr fontId="1" type="noConversion"/>
  </si>
  <si>
    <t>꼬무</t>
    <phoneticPr fontId="1" type="noConversion"/>
  </si>
  <si>
    <t>최은미</t>
    <phoneticPr fontId="1" type="noConversion"/>
  </si>
  <si>
    <t xml:space="preserve">최지나님 </t>
    <phoneticPr fontId="1" type="noConversion"/>
  </si>
  <si>
    <t>사랑이</t>
    <phoneticPr fontId="1" type="noConversion"/>
  </si>
  <si>
    <t>박성미</t>
    <phoneticPr fontId="1" type="noConversion"/>
  </si>
  <si>
    <t>낑낑이</t>
    <phoneticPr fontId="1" type="noConversion"/>
  </si>
  <si>
    <t>이미영</t>
    <phoneticPr fontId="1" type="noConversion"/>
  </si>
  <si>
    <t>하루</t>
    <phoneticPr fontId="1" type="noConversion"/>
  </si>
  <si>
    <t>박미화</t>
    <phoneticPr fontId="1" type="noConversion"/>
  </si>
  <si>
    <t>하찌</t>
    <phoneticPr fontId="1" type="noConversion"/>
  </si>
  <si>
    <t>신예지</t>
    <phoneticPr fontId="1" type="noConversion"/>
  </si>
  <si>
    <t>라떼</t>
    <phoneticPr fontId="1" type="noConversion"/>
  </si>
  <si>
    <t>이경은</t>
    <phoneticPr fontId="1" type="noConversion"/>
  </si>
  <si>
    <t>땅콩</t>
    <phoneticPr fontId="1" type="noConversion"/>
  </si>
  <si>
    <t>이원국</t>
    <phoneticPr fontId="1" type="noConversion"/>
  </si>
  <si>
    <t>해피</t>
    <phoneticPr fontId="1" type="noConversion"/>
  </si>
  <si>
    <t>김민주</t>
    <phoneticPr fontId="1" type="noConversion"/>
  </si>
  <si>
    <t>정루제</t>
    <phoneticPr fontId="1" type="noConversion"/>
  </si>
  <si>
    <t>박지은</t>
    <phoneticPr fontId="1" type="noConversion"/>
  </si>
  <si>
    <t>뽕이</t>
    <phoneticPr fontId="1" type="noConversion"/>
  </si>
  <si>
    <t>박도은</t>
    <phoneticPr fontId="1" type="noConversion"/>
  </si>
  <si>
    <t>앨리</t>
    <phoneticPr fontId="1" type="noConversion"/>
  </si>
  <si>
    <t>김미래</t>
    <phoneticPr fontId="1" type="noConversion"/>
  </si>
  <si>
    <t>동물이름</t>
    <phoneticPr fontId="1" type="noConversion"/>
  </si>
  <si>
    <t>내원경로</t>
    <phoneticPr fontId="1" type="noConversion"/>
  </si>
  <si>
    <t>쿤</t>
    <phoneticPr fontId="1" type="noConversion"/>
  </si>
  <si>
    <t>정유진</t>
    <phoneticPr fontId="1" type="noConversion"/>
  </si>
  <si>
    <t>코코</t>
    <phoneticPr fontId="1" type="noConversion"/>
  </si>
  <si>
    <t>이천금</t>
    <phoneticPr fontId="1" type="noConversion"/>
  </si>
  <si>
    <t>검색</t>
    <phoneticPr fontId="1" type="noConversion"/>
  </si>
  <si>
    <t>도롱이</t>
    <phoneticPr fontId="1" type="noConversion"/>
  </si>
  <si>
    <t>김아름</t>
    <phoneticPr fontId="1" type="noConversion"/>
  </si>
  <si>
    <t>봄이</t>
    <phoneticPr fontId="1" type="noConversion"/>
  </si>
  <si>
    <t>정유미</t>
    <phoneticPr fontId="1" type="noConversion"/>
  </si>
  <si>
    <t>쿠키</t>
    <phoneticPr fontId="1" type="noConversion"/>
  </si>
  <si>
    <t>홍미영</t>
    <phoneticPr fontId="1" type="noConversion"/>
  </si>
  <si>
    <t>또치</t>
    <phoneticPr fontId="1" type="noConversion"/>
  </si>
  <si>
    <t>지윤유</t>
    <phoneticPr fontId="1" type="noConversion"/>
  </si>
  <si>
    <t>차차</t>
    <phoneticPr fontId="1" type="noConversion"/>
  </si>
  <si>
    <t>네이버 카페</t>
    <phoneticPr fontId="1" type="noConversion"/>
  </si>
  <si>
    <t>조수현</t>
    <phoneticPr fontId="1" type="noConversion"/>
  </si>
  <si>
    <t>리아</t>
    <phoneticPr fontId="1" type="noConversion"/>
  </si>
  <si>
    <t>박지수</t>
    <phoneticPr fontId="1" type="noConversion"/>
  </si>
  <si>
    <t>라떼</t>
    <phoneticPr fontId="1" type="noConversion"/>
  </si>
  <si>
    <t>경미영</t>
    <phoneticPr fontId="1" type="noConversion"/>
  </si>
  <si>
    <t>용품점</t>
    <phoneticPr fontId="1" type="noConversion"/>
  </si>
  <si>
    <t>맹순이</t>
    <phoneticPr fontId="1" type="noConversion"/>
  </si>
  <si>
    <t>천우송</t>
    <phoneticPr fontId="1" type="noConversion"/>
  </si>
  <si>
    <t xml:space="preserve">근처 지나가다 </t>
    <phoneticPr fontId="1" type="noConversion"/>
  </si>
  <si>
    <t>키슈</t>
    <phoneticPr fontId="1" type="noConversion"/>
  </si>
  <si>
    <t>김의상</t>
    <phoneticPr fontId="1" type="noConversion"/>
  </si>
  <si>
    <t>몽이</t>
    <phoneticPr fontId="1" type="noConversion"/>
  </si>
  <si>
    <t>우유경</t>
    <phoneticPr fontId="1" type="noConversion"/>
  </si>
  <si>
    <t>정미영</t>
    <phoneticPr fontId="1" type="noConversion"/>
  </si>
  <si>
    <t>크림</t>
    <phoneticPr fontId="1" type="noConversion"/>
  </si>
  <si>
    <t>홍지니</t>
    <phoneticPr fontId="1" type="noConversion"/>
  </si>
  <si>
    <t>쿵이</t>
    <phoneticPr fontId="1" type="noConversion"/>
  </si>
  <si>
    <t>서정은</t>
    <phoneticPr fontId="1" type="noConversion"/>
  </si>
  <si>
    <t>딱밤</t>
    <phoneticPr fontId="1" type="noConversion"/>
  </si>
  <si>
    <t>박현화</t>
    <phoneticPr fontId="1" type="noConversion"/>
  </si>
  <si>
    <t>집근처</t>
    <phoneticPr fontId="1" type="noConversion"/>
  </si>
  <si>
    <t>리치</t>
    <phoneticPr fontId="1" type="noConversion"/>
  </si>
  <si>
    <t>성희은</t>
    <phoneticPr fontId="1" type="noConversion"/>
  </si>
  <si>
    <t>복희</t>
    <phoneticPr fontId="1" type="noConversion"/>
  </si>
  <si>
    <t>이수연</t>
    <phoneticPr fontId="1" type="noConversion"/>
  </si>
  <si>
    <t>봄</t>
    <phoneticPr fontId="1" type="noConversion"/>
  </si>
  <si>
    <t>김용남</t>
    <phoneticPr fontId="1" type="noConversion"/>
  </si>
  <si>
    <t>사랑이</t>
    <phoneticPr fontId="1" type="noConversion"/>
  </si>
  <si>
    <t>이서연</t>
    <phoneticPr fontId="1" type="noConversion"/>
  </si>
  <si>
    <t>구름이</t>
    <phoneticPr fontId="1" type="noConversion"/>
  </si>
  <si>
    <t>이수현</t>
    <phoneticPr fontId="1" type="noConversion"/>
  </si>
  <si>
    <t>코카</t>
    <phoneticPr fontId="1" type="noConversion"/>
  </si>
  <si>
    <t>이하림</t>
    <phoneticPr fontId="1" type="noConversion"/>
  </si>
  <si>
    <t>네이버 후기</t>
    <phoneticPr fontId="1" type="noConversion"/>
  </si>
  <si>
    <t>토리</t>
    <phoneticPr fontId="1" type="noConversion"/>
  </si>
  <si>
    <t>장명희</t>
    <phoneticPr fontId="1" type="noConversion"/>
  </si>
  <si>
    <t>하양이</t>
    <phoneticPr fontId="1" type="noConversion"/>
  </si>
  <si>
    <t>김혜숙</t>
    <phoneticPr fontId="1" type="noConversion"/>
  </si>
  <si>
    <t>잉크</t>
    <phoneticPr fontId="1" type="noConversion"/>
  </si>
  <si>
    <t>김은정</t>
    <phoneticPr fontId="1" type="noConversion"/>
  </si>
  <si>
    <t>청담</t>
    <phoneticPr fontId="1" type="noConversion"/>
  </si>
  <si>
    <t>박지영</t>
    <phoneticPr fontId="1" type="noConversion"/>
  </si>
  <si>
    <t>지인추천</t>
    <phoneticPr fontId="1" type="noConversion"/>
  </si>
  <si>
    <t>설이</t>
    <phoneticPr fontId="1" type="noConversion"/>
  </si>
  <si>
    <t>이경은</t>
    <phoneticPr fontId="1" type="noConversion"/>
  </si>
  <si>
    <t>모래</t>
    <phoneticPr fontId="1" type="noConversion"/>
  </si>
  <si>
    <t>권영심</t>
    <phoneticPr fontId="1" type="noConversion"/>
  </si>
  <si>
    <t>미미</t>
    <phoneticPr fontId="1" type="noConversion"/>
  </si>
  <si>
    <t>김향화</t>
    <phoneticPr fontId="1" type="noConversion"/>
  </si>
  <si>
    <t>치즈</t>
    <phoneticPr fontId="1" type="noConversion"/>
  </si>
  <si>
    <t>이한솔</t>
    <phoneticPr fontId="1" type="noConversion"/>
  </si>
  <si>
    <t>두부</t>
    <phoneticPr fontId="1" type="noConversion"/>
  </si>
  <si>
    <t>민훈</t>
    <phoneticPr fontId="1" type="noConversion"/>
  </si>
  <si>
    <t>지나가다</t>
    <phoneticPr fontId="1" type="noConversion"/>
  </si>
  <si>
    <t>우연</t>
    <phoneticPr fontId="1" type="noConversion"/>
  </si>
  <si>
    <t>김선우</t>
    <phoneticPr fontId="1" type="noConversion"/>
  </si>
  <si>
    <t>가루</t>
    <phoneticPr fontId="1" type="noConversion"/>
  </si>
  <si>
    <t>김수진</t>
    <phoneticPr fontId="1" type="noConversion"/>
  </si>
  <si>
    <t>은비</t>
    <phoneticPr fontId="1" type="noConversion"/>
  </si>
  <si>
    <t>진용호</t>
    <phoneticPr fontId="1" type="noConversion"/>
  </si>
  <si>
    <t>아지</t>
    <phoneticPr fontId="1" type="noConversion"/>
  </si>
  <si>
    <t>조동철</t>
    <phoneticPr fontId="1" type="noConversion"/>
  </si>
  <si>
    <t>블로그</t>
    <phoneticPr fontId="1" type="noConversion"/>
  </si>
  <si>
    <t>푸딩</t>
    <phoneticPr fontId="1" type="noConversion"/>
  </si>
  <si>
    <t>채유미</t>
    <phoneticPr fontId="1" type="noConversion"/>
  </si>
  <si>
    <t>대빵이</t>
    <phoneticPr fontId="1" type="noConversion"/>
  </si>
  <si>
    <t>김영찬</t>
    <phoneticPr fontId="1" type="noConversion"/>
  </si>
  <si>
    <t>자나가다</t>
    <phoneticPr fontId="1" type="noConversion"/>
  </si>
  <si>
    <t>대길이</t>
    <phoneticPr fontId="1" type="noConversion"/>
  </si>
  <si>
    <t>이상미</t>
    <phoneticPr fontId="1" type="noConversion"/>
  </si>
  <si>
    <t>루미</t>
    <phoneticPr fontId="1" type="noConversion"/>
  </si>
  <si>
    <t>최고운</t>
    <phoneticPr fontId="1" type="noConversion"/>
  </si>
  <si>
    <t>쪼꼬</t>
    <phoneticPr fontId="1" type="noConversion"/>
  </si>
  <si>
    <t>감민수</t>
    <phoneticPr fontId="1" type="noConversion"/>
  </si>
  <si>
    <t>서범창</t>
    <phoneticPr fontId="1" type="noConversion"/>
  </si>
  <si>
    <t>노랑이</t>
    <phoneticPr fontId="1" type="noConversion"/>
  </si>
  <si>
    <t>홍혜진</t>
    <phoneticPr fontId="1" type="noConversion"/>
  </si>
  <si>
    <t>백동이</t>
    <phoneticPr fontId="1" type="noConversion"/>
  </si>
  <si>
    <t>이경진</t>
    <phoneticPr fontId="1" type="noConversion"/>
  </si>
  <si>
    <t>보리</t>
    <phoneticPr fontId="1" type="noConversion"/>
  </si>
  <si>
    <t>이다예</t>
    <phoneticPr fontId="1" type="noConversion"/>
  </si>
  <si>
    <t>김믿음</t>
    <phoneticPr fontId="1" type="noConversion"/>
  </si>
  <si>
    <t>조은미</t>
    <phoneticPr fontId="1" type="noConversion"/>
  </si>
  <si>
    <t>맘카페 추천</t>
    <phoneticPr fontId="1" type="noConversion"/>
  </si>
  <si>
    <t>스티</t>
    <phoneticPr fontId="1" type="noConversion"/>
  </si>
  <si>
    <t>이혜선</t>
    <phoneticPr fontId="1" type="noConversion"/>
  </si>
  <si>
    <t>철수</t>
    <phoneticPr fontId="1" type="noConversion"/>
  </si>
  <si>
    <t>정혜미</t>
    <phoneticPr fontId="1" type="noConversion"/>
  </si>
  <si>
    <t>사과</t>
    <phoneticPr fontId="1" type="noConversion"/>
  </si>
  <si>
    <t>주용재</t>
    <phoneticPr fontId="1" type="noConversion"/>
  </si>
  <si>
    <t>조성숙</t>
    <phoneticPr fontId="1" type="noConversion"/>
  </si>
  <si>
    <t>예삐</t>
    <phoneticPr fontId="1" type="noConversion"/>
  </si>
  <si>
    <t>모찌</t>
    <phoneticPr fontId="1" type="noConversion"/>
  </si>
  <si>
    <t>은희란</t>
    <phoneticPr fontId="1" type="noConversion"/>
  </si>
  <si>
    <t>마루</t>
    <phoneticPr fontId="1" type="noConversion"/>
  </si>
  <si>
    <t>김지숙</t>
    <phoneticPr fontId="1" type="noConversion"/>
  </si>
  <si>
    <t>네이버후기</t>
    <phoneticPr fontId="1" type="noConversion"/>
  </si>
  <si>
    <t>이영희</t>
    <phoneticPr fontId="1" type="noConversion"/>
  </si>
  <si>
    <t>지인추천</t>
    <phoneticPr fontId="1" type="noConversion"/>
  </si>
  <si>
    <t>아토</t>
    <phoneticPr fontId="1" type="noConversion"/>
  </si>
  <si>
    <t>송성현</t>
    <phoneticPr fontId="1" type="noConversion"/>
  </si>
  <si>
    <t>용품점</t>
    <phoneticPr fontId="1" type="noConversion"/>
  </si>
  <si>
    <t>레오</t>
    <phoneticPr fontId="1" type="noConversion"/>
  </si>
  <si>
    <t>김소울</t>
    <phoneticPr fontId="1" type="noConversion"/>
  </si>
  <si>
    <t>왕원장님</t>
    <phoneticPr fontId="1" type="noConversion"/>
  </si>
  <si>
    <t>곽미진</t>
    <phoneticPr fontId="1" type="noConversion"/>
  </si>
  <si>
    <t>김석훈</t>
    <phoneticPr fontId="1" type="noConversion"/>
  </si>
  <si>
    <t>쿤이</t>
    <phoneticPr fontId="1" type="noConversion"/>
  </si>
  <si>
    <t>손유리</t>
    <phoneticPr fontId="1" type="noConversion"/>
  </si>
  <si>
    <t>지나가다</t>
    <phoneticPr fontId="1" type="noConversion"/>
  </si>
  <si>
    <t>박부영</t>
    <phoneticPr fontId="1" type="noConversion"/>
  </si>
  <si>
    <t>조향현</t>
    <phoneticPr fontId="1" type="noConversion"/>
  </si>
  <si>
    <t>여우</t>
    <phoneticPr fontId="1" type="noConversion"/>
  </si>
  <si>
    <t>최성우</t>
    <phoneticPr fontId="1" type="noConversion"/>
  </si>
  <si>
    <t>집주변</t>
    <phoneticPr fontId="1" type="noConversion"/>
  </si>
  <si>
    <t>짱이</t>
    <phoneticPr fontId="1" type="noConversion"/>
  </si>
  <si>
    <t>황화숙</t>
    <phoneticPr fontId="1" type="noConversion"/>
  </si>
  <si>
    <t>원보라</t>
    <phoneticPr fontId="1" type="noConversion"/>
  </si>
  <si>
    <t>퐁</t>
    <phoneticPr fontId="1" type="noConversion"/>
  </si>
  <si>
    <t>이기현</t>
    <phoneticPr fontId="1" type="noConversion"/>
  </si>
  <si>
    <t>벨라</t>
    <phoneticPr fontId="1" type="noConversion"/>
  </si>
  <si>
    <t>이상호</t>
    <phoneticPr fontId="1" type="noConversion"/>
  </si>
  <si>
    <t>포리</t>
    <phoneticPr fontId="1" type="noConversion"/>
  </si>
  <si>
    <t>안정희</t>
    <phoneticPr fontId="1" type="noConversion"/>
  </si>
  <si>
    <t>뽀구리</t>
    <phoneticPr fontId="1" type="noConversion"/>
  </si>
  <si>
    <t>황진정</t>
    <phoneticPr fontId="1" type="noConversion"/>
  </si>
  <si>
    <t>샤미</t>
    <phoneticPr fontId="1" type="noConversion"/>
  </si>
  <si>
    <t>희진쌤</t>
    <phoneticPr fontId="1" type="noConversion"/>
  </si>
  <si>
    <t>댕이</t>
    <phoneticPr fontId="1" type="noConversion"/>
  </si>
  <si>
    <t>윤현석</t>
    <phoneticPr fontId="1" type="noConversion"/>
  </si>
  <si>
    <t>김재성</t>
    <phoneticPr fontId="1" type="noConversion"/>
  </si>
  <si>
    <t>이민숙</t>
    <phoneticPr fontId="1" type="noConversion"/>
  </si>
  <si>
    <t>딱지</t>
    <phoneticPr fontId="1" type="noConversion"/>
  </si>
  <si>
    <t>윤순재</t>
    <phoneticPr fontId="1" type="noConversion"/>
  </si>
  <si>
    <t>춘삼이</t>
    <phoneticPr fontId="1" type="noConversion"/>
  </si>
  <si>
    <t>김태훈</t>
    <phoneticPr fontId="1" type="noConversion"/>
  </si>
  <si>
    <t>김석호</t>
    <phoneticPr fontId="1" type="noConversion"/>
  </si>
  <si>
    <t>조아</t>
    <phoneticPr fontId="1" type="noConversion"/>
  </si>
  <si>
    <t>이유미</t>
    <phoneticPr fontId="1" type="noConversion"/>
  </si>
  <si>
    <t>유채연</t>
    <phoneticPr fontId="1" type="noConversion"/>
  </si>
  <si>
    <t>아코</t>
    <phoneticPr fontId="1" type="noConversion"/>
  </si>
  <si>
    <t>김다운</t>
    <phoneticPr fontId="1" type="noConversion"/>
  </si>
  <si>
    <t>마니</t>
    <phoneticPr fontId="1" type="noConversion"/>
  </si>
  <si>
    <t>황명신</t>
    <phoneticPr fontId="1" type="noConversion"/>
  </si>
  <si>
    <t>김주영</t>
    <phoneticPr fontId="1" type="noConversion"/>
  </si>
  <si>
    <t>누가바</t>
    <phoneticPr fontId="1" type="noConversion"/>
  </si>
  <si>
    <t>박하은</t>
    <phoneticPr fontId="1" type="noConversion"/>
  </si>
  <si>
    <t>토비</t>
    <phoneticPr fontId="1" type="noConversion"/>
  </si>
  <si>
    <t>김미옥</t>
    <phoneticPr fontId="1" type="noConversion"/>
  </si>
  <si>
    <t>심쿵이</t>
    <phoneticPr fontId="1" type="noConversion"/>
  </si>
  <si>
    <t>박한별</t>
    <phoneticPr fontId="1" type="noConversion"/>
  </si>
  <si>
    <t>나리</t>
    <phoneticPr fontId="1" type="noConversion"/>
  </si>
  <si>
    <t>전성원</t>
    <phoneticPr fontId="1" type="noConversion"/>
  </si>
  <si>
    <t>쭈니</t>
    <phoneticPr fontId="1" type="noConversion"/>
  </si>
  <si>
    <t>김영애</t>
    <phoneticPr fontId="1" type="noConversion"/>
  </si>
  <si>
    <t>유지연</t>
    <phoneticPr fontId="1" type="noConversion"/>
  </si>
  <si>
    <t>타병원 추천</t>
    <phoneticPr fontId="1" type="noConversion"/>
  </si>
  <si>
    <t>김소희</t>
    <phoneticPr fontId="1" type="noConversion"/>
  </si>
  <si>
    <t>미로</t>
    <phoneticPr fontId="1" type="noConversion"/>
  </si>
  <si>
    <t>버터</t>
    <phoneticPr fontId="1" type="noConversion"/>
  </si>
  <si>
    <t>이유나</t>
    <phoneticPr fontId="1" type="noConversion"/>
  </si>
  <si>
    <t>뽀야</t>
    <phoneticPr fontId="1" type="noConversion"/>
  </si>
  <si>
    <t>문유정</t>
    <phoneticPr fontId="1" type="noConversion"/>
  </si>
  <si>
    <t>유진엽</t>
    <phoneticPr fontId="1" type="noConversion"/>
  </si>
  <si>
    <t>버들</t>
    <phoneticPr fontId="1" type="noConversion"/>
  </si>
  <si>
    <t>길기옥</t>
    <phoneticPr fontId="1" type="noConversion"/>
  </si>
  <si>
    <t>친노</t>
    <phoneticPr fontId="1" type="noConversion"/>
  </si>
  <si>
    <t>이진태</t>
    <phoneticPr fontId="1" type="noConversion"/>
  </si>
  <si>
    <t>김성아</t>
    <phoneticPr fontId="1" type="noConversion"/>
  </si>
  <si>
    <t>장승예</t>
    <phoneticPr fontId="1" type="noConversion"/>
  </si>
  <si>
    <t>네오</t>
    <phoneticPr fontId="1" type="noConversion"/>
  </si>
  <si>
    <t>심승현</t>
    <phoneticPr fontId="1" type="noConversion"/>
  </si>
  <si>
    <t>고종희</t>
    <phoneticPr fontId="1" type="noConversion"/>
  </si>
  <si>
    <t>워리</t>
    <phoneticPr fontId="1" type="noConversion"/>
  </si>
  <si>
    <t>잉염식</t>
    <phoneticPr fontId="1" type="noConversion"/>
  </si>
  <si>
    <t>김진주</t>
    <phoneticPr fontId="1" type="noConversion"/>
  </si>
  <si>
    <t>쌀이</t>
    <phoneticPr fontId="1" type="noConversion"/>
  </si>
  <si>
    <t>안상문</t>
    <phoneticPr fontId="1" type="noConversion"/>
  </si>
  <si>
    <t>한누</t>
    <phoneticPr fontId="1" type="noConversion"/>
  </si>
  <si>
    <t>한주연</t>
    <phoneticPr fontId="1" type="noConversion"/>
  </si>
  <si>
    <t>네이버 지도</t>
    <phoneticPr fontId="1" type="noConversion"/>
  </si>
  <si>
    <t>우아</t>
    <phoneticPr fontId="1" type="noConversion"/>
  </si>
  <si>
    <t>이근애</t>
    <phoneticPr fontId="1" type="noConversion"/>
  </si>
  <si>
    <t>흑설탕</t>
    <phoneticPr fontId="1" type="noConversion"/>
  </si>
  <si>
    <t>최현지</t>
    <phoneticPr fontId="1" type="noConversion"/>
  </si>
  <si>
    <t>장기재</t>
    <phoneticPr fontId="1" type="noConversion"/>
  </si>
  <si>
    <t>정지수</t>
    <phoneticPr fontId="1" type="noConversion"/>
  </si>
  <si>
    <t>아롱</t>
    <phoneticPr fontId="1" type="noConversion"/>
  </si>
  <si>
    <t>조솔비</t>
    <phoneticPr fontId="1" type="noConversion"/>
  </si>
  <si>
    <t>변보희</t>
    <phoneticPr fontId="1" type="noConversion"/>
  </si>
  <si>
    <t>홍은비</t>
    <phoneticPr fontId="1" type="noConversion"/>
  </si>
  <si>
    <t>임코코</t>
    <phoneticPr fontId="1" type="noConversion"/>
  </si>
  <si>
    <t>손태연</t>
    <phoneticPr fontId="1" type="noConversion"/>
  </si>
  <si>
    <t>박안자</t>
    <phoneticPr fontId="1" type="noConversion"/>
  </si>
  <si>
    <t>김인수</t>
    <phoneticPr fontId="1" type="noConversion"/>
  </si>
  <si>
    <t>이민호</t>
    <phoneticPr fontId="1" type="noConversion"/>
  </si>
  <si>
    <t>김하나</t>
    <phoneticPr fontId="1" type="noConversion"/>
  </si>
  <si>
    <t>로빈</t>
    <phoneticPr fontId="1" type="noConversion"/>
  </si>
  <si>
    <t>최찬석</t>
    <phoneticPr fontId="1" type="noConversion"/>
  </si>
  <si>
    <t>폼이</t>
    <phoneticPr fontId="1" type="noConversion"/>
  </si>
  <si>
    <t>임희숙</t>
    <phoneticPr fontId="1" type="noConversion"/>
  </si>
  <si>
    <t>빵</t>
    <phoneticPr fontId="1" type="noConversion"/>
  </si>
  <si>
    <t>전수지</t>
    <phoneticPr fontId="1" type="noConversion"/>
  </si>
  <si>
    <t>벨롬</t>
    <phoneticPr fontId="1" type="noConversion"/>
  </si>
  <si>
    <t>홍승주</t>
    <phoneticPr fontId="1" type="noConversion"/>
  </si>
  <si>
    <t>모영미</t>
    <phoneticPr fontId="1" type="noConversion"/>
  </si>
  <si>
    <t>이지안</t>
    <phoneticPr fontId="1" type="noConversion"/>
  </si>
  <si>
    <t>우디,버즈</t>
    <phoneticPr fontId="1" type="noConversion"/>
  </si>
  <si>
    <t>나나</t>
    <phoneticPr fontId="1" type="noConversion"/>
  </si>
  <si>
    <t>김우현</t>
    <phoneticPr fontId="1" type="noConversion"/>
  </si>
  <si>
    <t>이은미</t>
    <phoneticPr fontId="1" type="noConversion"/>
  </si>
  <si>
    <t>김지혜</t>
    <phoneticPr fontId="1" type="noConversion"/>
  </si>
  <si>
    <t>나무</t>
    <phoneticPr fontId="1" type="noConversion"/>
  </si>
  <si>
    <t>김해란</t>
    <phoneticPr fontId="1" type="noConversion"/>
  </si>
  <si>
    <t>김옥민</t>
    <phoneticPr fontId="1" type="noConversion"/>
  </si>
  <si>
    <t>하니</t>
    <phoneticPr fontId="1" type="noConversion"/>
  </si>
  <si>
    <t>김근옥</t>
    <phoneticPr fontId="1" type="noConversion"/>
  </si>
  <si>
    <t>김진실</t>
    <phoneticPr fontId="1" type="noConversion"/>
  </si>
  <si>
    <t>보노</t>
    <phoneticPr fontId="1" type="noConversion"/>
  </si>
  <si>
    <t>김채림</t>
    <phoneticPr fontId="1" type="noConversion"/>
  </si>
  <si>
    <t>조은우</t>
    <phoneticPr fontId="1" type="noConversion"/>
  </si>
  <si>
    <t>밤비,몽돌</t>
    <phoneticPr fontId="1" type="noConversion"/>
  </si>
  <si>
    <t>김윤자</t>
    <phoneticPr fontId="1" type="noConversion"/>
  </si>
  <si>
    <t>박소연</t>
    <phoneticPr fontId="1" type="noConversion"/>
  </si>
  <si>
    <t>안소얀</t>
    <phoneticPr fontId="1" type="noConversion"/>
  </si>
  <si>
    <t>담보</t>
    <phoneticPr fontId="1" type="noConversion"/>
  </si>
  <si>
    <t>최금선</t>
    <phoneticPr fontId="1" type="noConversion"/>
  </si>
  <si>
    <t>율무</t>
    <phoneticPr fontId="1" type="noConversion"/>
  </si>
  <si>
    <t>김아린</t>
    <phoneticPr fontId="1" type="noConversion"/>
  </si>
  <si>
    <t>따오</t>
    <phoneticPr fontId="1" type="noConversion"/>
  </si>
  <si>
    <t>김희영</t>
    <phoneticPr fontId="1" type="noConversion"/>
  </si>
  <si>
    <t>개</t>
    <phoneticPr fontId="1" type="noConversion"/>
  </si>
  <si>
    <t>김경태</t>
    <phoneticPr fontId="1" type="noConversion"/>
  </si>
  <si>
    <t>검발이</t>
    <phoneticPr fontId="1" type="noConversion"/>
  </si>
  <si>
    <t>한심덕</t>
    <phoneticPr fontId="1" type="noConversion"/>
  </si>
  <si>
    <t>천혜숙</t>
    <phoneticPr fontId="1" type="noConversion"/>
  </si>
  <si>
    <t>밀크</t>
    <phoneticPr fontId="1" type="noConversion"/>
  </si>
  <si>
    <t>집근처</t>
    <phoneticPr fontId="1" type="noConversion"/>
  </si>
  <si>
    <t>조영자</t>
    <phoneticPr fontId="1" type="noConversion"/>
  </si>
  <si>
    <t>까미</t>
    <phoneticPr fontId="1" type="noConversion"/>
  </si>
  <si>
    <t>서영서</t>
    <phoneticPr fontId="1" type="noConversion"/>
  </si>
  <si>
    <t>쭈쭈</t>
    <phoneticPr fontId="1" type="noConversion"/>
  </si>
  <si>
    <t>신선미</t>
    <phoneticPr fontId="1" type="noConversion"/>
  </si>
  <si>
    <t>라떼,크림</t>
    <phoneticPr fontId="1" type="noConversion"/>
  </si>
  <si>
    <t>한효수</t>
    <phoneticPr fontId="1" type="noConversion"/>
  </si>
  <si>
    <t>난이</t>
    <phoneticPr fontId="1" type="noConversion"/>
  </si>
  <si>
    <t>검색</t>
    <phoneticPr fontId="1" type="noConversion"/>
  </si>
  <si>
    <t>박수남</t>
    <phoneticPr fontId="1" type="noConversion"/>
  </si>
  <si>
    <t>추추</t>
    <phoneticPr fontId="1" type="noConversion"/>
  </si>
  <si>
    <t>검색</t>
    <phoneticPr fontId="1" type="noConversion"/>
  </si>
  <si>
    <t>이재문</t>
    <phoneticPr fontId="1" type="noConversion"/>
  </si>
  <si>
    <t>힐탑이</t>
    <phoneticPr fontId="1" type="noConversion"/>
  </si>
  <si>
    <t>검색</t>
    <phoneticPr fontId="1" type="noConversion"/>
  </si>
  <si>
    <t>구정임</t>
    <phoneticPr fontId="1" type="noConversion"/>
  </si>
  <si>
    <t>셀콩</t>
    <phoneticPr fontId="1" type="noConversion"/>
  </si>
  <si>
    <t>지인추천</t>
    <phoneticPr fontId="1" type="noConversion"/>
  </si>
  <si>
    <t>유해나</t>
    <phoneticPr fontId="1" type="noConversion"/>
  </si>
  <si>
    <t>감자</t>
    <phoneticPr fontId="1" type="noConversion"/>
  </si>
  <si>
    <t>블로그</t>
    <phoneticPr fontId="1" type="noConversion"/>
  </si>
  <si>
    <t>김건주</t>
    <phoneticPr fontId="1" type="noConversion"/>
  </si>
  <si>
    <t>종신이</t>
    <phoneticPr fontId="1" type="noConversion"/>
  </si>
  <si>
    <t>검색</t>
    <phoneticPr fontId="1" type="noConversion"/>
  </si>
  <si>
    <t>이해경</t>
    <phoneticPr fontId="1" type="noConversion"/>
  </si>
  <si>
    <t>해솔</t>
    <phoneticPr fontId="1" type="noConversion"/>
  </si>
  <si>
    <t>용품샵</t>
    <phoneticPr fontId="1" type="noConversion"/>
  </si>
  <si>
    <t>또리</t>
    <phoneticPr fontId="1" type="noConversion"/>
  </si>
  <si>
    <t>문인경</t>
    <phoneticPr fontId="1" type="noConversion"/>
  </si>
  <si>
    <t>블로그</t>
    <phoneticPr fontId="1" type="noConversion"/>
  </si>
  <si>
    <t>조은경</t>
    <phoneticPr fontId="1" type="noConversion"/>
  </si>
  <si>
    <t>도도</t>
    <phoneticPr fontId="1" type="noConversion"/>
  </si>
  <si>
    <t>검색</t>
    <phoneticPr fontId="1" type="noConversion"/>
  </si>
  <si>
    <t>김보은</t>
    <phoneticPr fontId="1" type="noConversion"/>
  </si>
  <si>
    <t>지니</t>
    <phoneticPr fontId="1" type="noConversion"/>
  </si>
  <si>
    <t>신순오</t>
    <phoneticPr fontId="1" type="noConversion"/>
  </si>
  <si>
    <t>코코</t>
    <phoneticPr fontId="1" type="noConversion"/>
  </si>
  <si>
    <t>박원</t>
    <phoneticPr fontId="1" type="noConversion"/>
  </si>
  <si>
    <t>검댕이</t>
    <phoneticPr fontId="1" type="noConversion"/>
  </si>
  <si>
    <t>최인영</t>
    <phoneticPr fontId="1" type="noConversion"/>
  </si>
  <si>
    <t>차돌이</t>
    <phoneticPr fontId="1" type="noConversion"/>
  </si>
  <si>
    <t>네이버후기</t>
    <phoneticPr fontId="1" type="noConversion"/>
  </si>
  <si>
    <t>안홍권</t>
    <phoneticPr fontId="1" type="noConversion"/>
  </si>
  <si>
    <t>밥풀이</t>
    <phoneticPr fontId="1" type="noConversion"/>
  </si>
  <si>
    <t>이하람</t>
    <phoneticPr fontId="1" type="noConversion"/>
  </si>
  <si>
    <t>노엘</t>
    <phoneticPr fontId="1" type="noConversion"/>
  </si>
  <si>
    <t>검색</t>
    <phoneticPr fontId="1" type="noConversion"/>
  </si>
  <si>
    <t>서준우</t>
    <phoneticPr fontId="1" type="noConversion"/>
  </si>
  <si>
    <t>기쁨이</t>
    <phoneticPr fontId="1" type="noConversion"/>
  </si>
  <si>
    <t>이경순</t>
    <phoneticPr fontId="1" type="noConversion"/>
  </si>
  <si>
    <t>꼬미</t>
    <phoneticPr fontId="1" type="noConversion"/>
  </si>
  <si>
    <t>한민지</t>
    <phoneticPr fontId="1" type="noConversion"/>
  </si>
  <si>
    <t>둥이</t>
    <phoneticPr fontId="1" type="noConversion"/>
  </si>
  <si>
    <t>검색</t>
    <phoneticPr fontId="1" type="noConversion"/>
  </si>
  <si>
    <t>김선숙</t>
    <phoneticPr fontId="1" type="noConversion"/>
  </si>
  <si>
    <t>토미</t>
    <phoneticPr fontId="1" type="noConversion"/>
  </si>
  <si>
    <t>박현선</t>
    <phoneticPr fontId="1" type="noConversion"/>
  </si>
  <si>
    <t>하리</t>
    <phoneticPr fontId="1" type="noConversion"/>
  </si>
  <si>
    <t>네이버후기</t>
    <phoneticPr fontId="1" type="noConversion"/>
  </si>
  <si>
    <t>김순자</t>
    <phoneticPr fontId="1" type="noConversion"/>
  </si>
  <si>
    <t>코코(비코)</t>
    <phoneticPr fontId="1" type="noConversion"/>
  </si>
  <si>
    <t>이진희</t>
    <phoneticPr fontId="1" type="noConversion"/>
  </si>
  <si>
    <t>길냥이</t>
    <phoneticPr fontId="1" type="noConversion"/>
  </si>
  <si>
    <t>한지수</t>
    <phoneticPr fontId="1" type="noConversion"/>
  </si>
  <si>
    <t>단비</t>
    <phoneticPr fontId="1" type="noConversion"/>
  </si>
  <si>
    <t>김지선</t>
    <phoneticPr fontId="1" type="noConversion"/>
  </si>
  <si>
    <t>강산</t>
    <phoneticPr fontId="1" type="noConversion"/>
  </si>
  <si>
    <t>송혜영</t>
    <phoneticPr fontId="1" type="noConversion"/>
  </si>
  <si>
    <t>테디</t>
    <phoneticPr fontId="1" type="noConversion"/>
  </si>
  <si>
    <t>검색</t>
    <phoneticPr fontId="1" type="noConversion"/>
  </si>
  <si>
    <t>김진아</t>
    <phoneticPr fontId="1" type="noConversion"/>
  </si>
  <si>
    <t>몽실이</t>
    <phoneticPr fontId="1" type="noConversion"/>
  </si>
  <si>
    <t>검색</t>
    <phoneticPr fontId="1" type="noConversion"/>
  </si>
  <si>
    <t>김성훈</t>
    <phoneticPr fontId="1" type="noConversion"/>
  </si>
  <si>
    <t>마루</t>
    <phoneticPr fontId="1" type="noConversion"/>
  </si>
  <si>
    <t>집근처</t>
    <phoneticPr fontId="1" type="noConversion"/>
  </si>
  <si>
    <t>한영진</t>
    <phoneticPr fontId="1" type="noConversion"/>
  </si>
  <si>
    <t>하론</t>
    <phoneticPr fontId="1" type="noConversion"/>
  </si>
  <si>
    <t>임재학</t>
    <phoneticPr fontId="1" type="noConversion"/>
  </si>
  <si>
    <t>사랑이</t>
    <phoneticPr fontId="1" type="noConversion"/>
  </si>
  <si>
    <t>조세희</t>
    <phoneticPr fontId="1" type="noConversion"/>
  </si>
  <si>
    <t>뭉치</t>
    <phoneticPr fontId="1" type="noConversion"/>
  </si>
  <si>
    <t>박영진</t>
    <phoneticPr fontId="1" type="noConversion"/>
  </si>
  <si>
    <t>길냥이</t>
    <phoneticPr fontId="1" type="noConversion"/>
  </si>
  <si>
    <t>근처</t>
    <phoneticPr fontId="1" type="noConversion"/>
  </si>
  <si>
    <t>이윤석</t>
    <phoneticPr fontId="1" type="noConversion"/>
  </si>
  <si>
    <t>송송이</t>
    <phoneticPr fontId="1" type="noConversion"/>
  </si>
  <si>
    <t>윤옥금</t>
    <phoneticPr fontId="1" type="noConversion"/>
  </si>
  <si>
    <t>츄츄</t>
    <phoneticPr fontId="1" type="noConversion"/>
  </si>
  <si>
    <t>용품점</t>
    <phoneticPr fontId="1" type="noConversion"/>
  </si>
  <si>
    <t>장영미</t>
    <phoneticPr fontId="1" type="noConversion"/>
  </si>
  <si>
    <t>보리</t>
    <phoneticPr fontId="1" type="noConversion"/>
  </si>
  <si>
    <t>검색</t>
    <phoneticPr fontId="1" type="noConversion"/>
  </si>
  <si>
    <t>이은주</t>
    <phoneticPr fontId="1" type="noConversion"/>
  </si>
  <si>
    <t>감자</t>
    <phoneticPr fontId="1" type="noConversion"/>
  </si>
  <si>
    <t>최윤희</t>
    <phoneticPr fontId="1" type="noConversion"/>
  </si>
  <si>
    <t>장수,포도,준</t>
    <phoneticPr fontId="1" type="noConversion"/>
  </si>
  <si>
    <t>윤선혜</t>
    <phoneticPr fontId="1" type="noConversion"/>
  </si>
  <si>
    <t>두부</t>
    <phoneticPr fontId="1" type="noConversion"/>
  </si>
  <si>
    <t>김채연</t>
    <phoneticPr fontId="1" type="noConversion"/>
  </si>
  <si>
    <t>김참치</t>
    <phoneticPr fontId="1" type="noConversion"/>
  </si>
  <si>
    <t>김범기</t>
    <phoneticPr fontId="1" type="noConversion"/>
  </si>
  <si>
    <t>행복,건빵</t>
    <phoneticPr fontId="1" type="noConversion"/>
  </si>
  <si>
    <t>정희경</t>
    <phoneticPr fontId="1" type="noConversion"/>
  </si>
  <si>
    <t>딸기</t>
    <phoneticPr fontId="1" type="noConversion"/>
  </si>
  <si>
    <t>검색</t>
    <phoneticPr fontId="1" type="noConversion"/>
  </si>
  <si>
    <t>위성자</t>
    <phoneticPr fontId="1" type="noConversion"/>
  </si>
  <si>
    <t>연두</t>
    <phoneticPr fontId="1" type="noConversion"/>
  </si>
  <si>
    <t>안지수</t>
    <phoneticPr fontId="1" type="noConversion"/>
  </si>
  <si>
    <t>쿠로,히로</t>
    <phoneticPr fontId="1" type="noConversion"/>
  </si>
  <si>
    <t>고상열</t>
    <phoneticPr fontId="1" type="noConversion"/>
  </si>
  <si>
    <t>크림</t>
    <phoneticPr fontId="1" type="noConversion"/>
  </si>
  <si>
    <t>김귀옥</t>
    <phoneticPr fontId="1" type="noConversion"/>
  </si>
  <si>
    <t>네이버후기</t>
    <phoneticPr fontId="1" type="noConversion"/>
  </si>
  <si>
    <t>심설희</t>
    <phoneticPr fontId="1" type="noConversion"/>
  </si>
  <si>
    <t>다중이</t>
    <phoneticPr fontId="1" type="noConversion"/>
  </si>
  <si>
    <t>정재희</t>
    <phoneticPr fontId="1" type="noConversion"/>
  </si>
  <si>
    <t>구름</t>
    <phoneticPr fontId="1" type="noConversion"/>
  </si>
  <si>
    <t>이진아</t>
    <phoneticPr fontId="1" type="noConversion"/>
  </si>
  <si>
    <t>레오</t>
    <phoneticPr fontId="1" type="noConversion"/>
  </si>
  <si>
    <t>주미래</t>
    <phoneticPr fontId="1" type="noConversion"/>
  </si>
  <si>
    <t>호두</t>
    <phoneticPr fontId="1" type="noConversion"/>
  </si>
  <si>
    <t>용품점</t>
    <phoneticPr fontId="1" type="noConversion"/>
  </si>
  <si>
    <t>조서원</t>
    <phoneticPr fontId="1" type="noConversion"/>
  </si>
  <si>
    <t>까망</t>
    <phoneticPr fontId="1" type="noConversion"/>
  </si>
  <si>
    <t>김혜윤</t>
    <phoneticPr fontId="1" type="noConversion"/>
  </si>
  <si>
    <t>길고양이</t>
    <phoneticPr fontId="1" type="noConversion"/>
  </si>
  <si>
    <t>박봉화</t>
    <phoneticPr fontId="1" type="noConversion"/>
  </si>
  <si>
    <t>뭉치,까미</t>
    <phoneticPr fontId="1" type="noConversion"/>
  </si>
  <si>
    <t>김은애</t>
    <phoneticPr fontId="1" type="noConversion"/>
  </si>
  <si>
    <t>하트</t>
    <phoneticPr fontId="1" type="noConversion"/>
  </si>
  <si>
    <t>최영숙</t>
    <phoneticPr fontId="1" type="noConversion"/>
  </si>
  <si>
    <t>정명주</t>
    <phoneticPr fontId="1" type="noConversion"/>
  </si>
  <si>
    <t>김은혜</t>
    <phoneticPr fontId="1" type="noConversion"/>
  </si>
  <si>
    <t>코코</t>
    <phoneticPr fontId="1" type="noConversion"/>
  </si>
  <si>
    <t>박순미</t>
    <phoneticPr fontId="1" type="noConversion"/>
  </si>
  <si>
    <t>박소현</t>
    <phoneticPr fontId="1" type="noConversion"/>
  </si>
  <si>
    <t>우디,버즈</t>
    <phoneticPr fontId="1" type="noConversion"/>
  </si>
  <si>
    <t>전혜성</t>
    <phoneticPr fontId="1" type="noConversion"/>
  </si>
  <si>
    <t>소망이,순딩이</t>
    <phoneticPr fontId="1" type="noConversion"/>
  </si>
  <si>
    <t>김현주</t>
    <phoneticPr fontId="1" type="noConversion"/>
  </si>
  <si>
    <t>나홍희</t>
    <phoneticPr fontId="1" type="noConversion"/>
  </si>
  <si>
    <t>모란</t>
    <phoneticPr fontId="1" type="noConversion"/>
  </si>
  <si>
    <t>달콩</t>
    <phoneticPr fontId="1" type="noConversion"/>
  </si>
  <si>
    <t>지인추천</t>
    <phoneticPr fontId="1" type="noConversion"/>
  </si>
  <si>
    <t>최민영</t>
    <phoneticPr fontId="1" type="noConversion"/>
  </si>
  <si>
    <t>강아지</t>
    <phoneticPr fontId="1" type="noConversion"/>
  </si>
  <si>
    <t>이은영</t>
    <phoneticPr fontId="1" type="noConversion"/>
  </si>
  <si>
    <t>김유월</t>
    <phoneticPr fontId="1" type="noConversion"/>
  </si>
  <si>
    <t>강현주</t>
    <phoneticPr fontId="1" type="noConversion"/>
  </si>
  <si>
    <t>거진</t>
    <phoneticPr fontId="1" type="noConversion"/>
  </si>
  <si>
    <t>안지훈</t>
    <phoneticPr fontId="1" type="noConversion"/>
  </si>
  <si>
    <t>구름이</t>
    <phoneticPr fontId="1" type="noConversion"/>
  </si>
  <si>
    <t>변아연</t>
    <phoneticPr fontId="1" type="noConversion"/>
  </si>
  <si>
    <t>백호</t>
    <phoneticPr fontId="1" type="noConversion"/>
  </si>
  <si>
    <t>타병원추천</t>
    <phoneticPr fontId="1" type="noConversion"/>
  </si>
  <si>
    <t>이연재</t>
    <phoneticPr fontId="1" type="noConversion"/>
  </si>
  <si>
    <t>행심</t>
    <phoneticPr fontId="1" type="noConversion"/>
  </si>
  <si>
    <t>유재이</t>
    <phoneticPr fontId="1" type="noConversion"/>
  </si>
  <si>
    <t>라니</t>
    <phoneticPr fontId="1" type="noConversion"/>
  </si>
  <si>
    <t>주하영</t>
    <phoneticPr fontId="1" type="noConversion"/>
  </si>
  <si>
    <t>김옥지</t>
    <phoneticPr fontId="1" type="noConversion"/>
  </si>
  <si>
    <t>김민구</t>
    <phoneticPr fontId="1" type="noConversion"/>
  </si>
  <si>
    <t>치미,꾹이</t>
    <phoneticPr fontId="1" type="noConversion"/>
  </si>
  <si>
    <t>조명희</t>
    <phoneticPr fontId="1" type="noConversion"/>
  </si>
  <si>
    <t>콩이</t>
    <phoneticPr fontId="1" type="noConversion"/>
  </si>
  <si>
    <t>오태석</t>
    <phoneticPr fontId="1" type="noConversion"/>
  </si>
  <si>
    <t>오봉구</t>
    <phoneticPr fontId="1" type="noConversion"/>
  </si>
  <si>
    <t>주민정</t>
    <phoneticPr fontId="1" type="noConversion"/>
  </si>
  <si>
    <t>밍키</t>
    <phoneticPr fontId="1" type="noConversion"/>
  </si>
  <si>
    <t>오문희</t>
    <phoneticPr fontId="1" type="noConversion"/>
  </si>
  <si>
    <t>오봄</t>
    <phoneticPr fontId="1" type="noConversion"/>
  </si>
  <si>
    <t>블로그</t>
    <phoneticPr fontId="1" type="noConversion"/>
  </si>
  <si>
    <t>깜미</t>
    <phoneticPr fontId="1" type="noConversion"/>
  </si>
  <si>
    <t>손민희</t>
    <phoneticPr fontId="1" type="noConversion"/>
  </si>
  <si>
    <t>세찌</t>
    <phoneticPr fontId="1" type="noConversion"/>
  </si>
  <si>
    <t>검색</t>
    <phoneticPr fontId="1" type="noConversion"/>
  </si>
  <si>
    <t>이희원</t>
    <phoneticPr fontId="1" type="noConversion"/>
  </si>
  <si>
    <t>이조림</t>
    <phoneticPr fontId="1" type="noConversion"/>
  </si>
  <si>
    <t>지인추천</t>
    <phoneticPr fontId="1" type="noConversion"/>
  </si>
  <si>
    <t>이정후</t>
    <phoneticPr fontId="1" type="noConversion"/>
  </si>
  <si>
    <t>논두렁</t>
    <phoneticPr fontId="1" type="noConversion"/>
  </si>
  <si>
    <t>박원</t>
    <phoneticPr fontId="1" type="noConversion"/>
  </si>
  <si>
    <t>토리</t>
    <phoneticPr fontId="1" type="noConversion"/>
  </si>
  <si>
    <t>용품점</t>
    <phoneticPr fontId="1" type="noConversion"/>
  </si>
  <si>
    <t>이윤표</t>
    <phoneticPr fontId="1" type="noConversion"/>
  </si>
  <si>
    <t>꼬미</t>
    <phoneticPr fontId="1" type="noConversion"/>
  </si>
  <si>
    <t>집근처</t>
    <phoneticPr fontId="1" type="noConversion"/>
  </si>
  <si>
    <t>이달, 이콩</t>
    <phoneticPr fontId="1" type="noConversion"/>
  </si>
  <si>
    <t>미요</t>
    <phoneticPr fontId="1" type="noConversion"/>
  </si>
  <si>
    <t>하영숙</t>
    <phoneticPr fontId="1" type="noConversion"/>
  </si>
  <si>
    <t>구찌</t>
    <phoneticPr fontId="1" type="noConversion"/>
  </si>
  <si>
    <t>전대우</t>
    <phoneticPr fontId="1" type="noConversion"/>
  </si>
  <si>
    <t>먼지</t>
    <phoneticPr fontId="1" type="noConversion"/>
  </si>
  <si>
    <t>김만희</t>
    <phoneticPr fontId="1" type="noConversion"/>
  </si>
  <si>
    <t>검색</t>
    <phoneticPr fontId="1" type="noConversion"/>
  </si>
  <si>
    <t>봄이</t>
    <phoneticPr fontId="1" type="noConversion"/>
  </si>
  <si>
    <t>김선애</t>
    <phoneticPr fontId="1" type="noConversion"/>
  </si>
  <si>
    <t>먼지</t>
    <phoneticPr fontId="1" type="noConversion"/>
  </si>
  <si>
    <t>이채민</t>
    <phoneticPr fontId="1" type="noConversion"/>
  </si>
  <si>
    <t>대박이</t>
    <phoneticPr fontId="1" type="noConversion"/>
  </si>
  <si>
    <t>김미연</t>
    <phoneticPr fontId="1" type="noConversion"/>
  </si>
  <si>
    <t>지인추천</t>
    <phoneticPr fontId="1" type="noConversion"/>
  </si>
  <si>
    <t>로로</t>
    <phoneticPr fontId="1" type="noConversion"/>
  </si>
  <si>
    <t>김나진</t>
    <phoneticPr fontId="1" type="noConversion"/>
  </si>
  <si>
    <t>요란이</t>
    <phoneticPr fontId="1" type="noConversion"/>
  </si>
  <si>
    <t>이미정</t>
    <phoneticPr fontId="1" type="noConversion"/>
  </si>
  <si>
    <t>용품점</t>
    <phoneticPr fontId="1" type="noConversion"/>
  </si>
  <si>
    <t>전민아</t>
    <phoneticPr fontId="1" type="noConversion"/>
  </si>
  <si>
    <t>전이루리</t>
    <phoneticPr fontId="1" type="noConversion"/>
  </si>
  <si>
    <t>오구름</t>
    <phoneticPr fontId="1" type="noConversion"/>
  </si>
  <si>
    <t>오창현</t>
    <phoneticPr fontId="1" type="noConversion"/>
  </si>
  <si>
    <t>태양</t>
    <phoneticPr fontId="1" type="noConversion"/>
  </si>
  <si>
    <t>보리</t>
    <phoneticPr fontId="1" type="noConversion"/>
  </si>
  <si>
    <t>박미선</t>
    <phoneticPr fontId="1" type="noConversion"/>
  </si>
  <si>
    <t>네이버 후기</t>
    <phoneticPr fontId="1" type="noConversion"/>
  </si>
  <si>
    <t>차숙희</t>
    <phoneticPr fontId="1" type="noConversion"/>
  </si>
  <si>
    <t>희망이</t>
    <phoneticPr fontId="1" type="noConversion"/>
  </si>
  <si>
    <t>김희성</t>
    <phoneticPr fontId="1" type="noConversion"/>
  </si>
  <si>
    <t>조아</t>
    <phoneticPr fontId="1" type="noConversion"/>
  </si>
  <si>
    <t>김영희</t>
    <phoneticPr fontId="1" type="noConversion"/>
  </si>
  <si>
    <t>두부</t>
    <phoneticPr fontId="1" type="noConversion"/>
  </si>
  <si>
    <t>정남기</t>
    <phoneticPr fontId="1" type="noConversion"/>
  </si>
  <si>
    <t>이지영</t>
    <phoneticPr fontId="1" type="noConversion"/>
  </si>
  <si>
    <t>청순</t>
    <phoneticPr fontId="1" type="noConversion"/>
  </si>
  <si>
    <t>설이</t>
    <phoneticPr fontId="1" type="noConversion"/>
  </si>
  <si>
    <t>유진주</t>
    <phoneticPr fontId="1" type="noConversion"/>
  </si>
  <si>
    <t>유지은</t>
    <phoneticPr fontId="1" type="noConversion"/>
  </si>
  <si>
    <t>해피</t>
    <phoneticPr fontId="1" type="noConversion"/>
  </si>
  <si>
    <t>장향선</t>
    <phoneticPr fontId="1" type="noConversion"/>
  </si>
  <si>
    <t>정지영</t>
    <phoneticPr fontId="1" type="noConversion"/>
  </si>
  <si>
    <t>고양이</t>
    <phoneticPr fontId="1" type="noConversion"/>
  </si>
  <si>
    <t>길가다 봄</t>
    <phoneticPr fontId="1" type="noConversion"/>
  </si>
  <si>
    <t>검색</t>
    <phoneticPr fontId="1" type="noConversion"/>
  </si>
  <si>
    <t>시로</t>
    <phoneticPr fontId="1" type="noConversion"/>
  </si>
  <si>
    <t>김예빈</t>
    <phoneticPr fontId="1" type="noConversion"/>
  </si>
  <si>
    <t>말랭이</t>
    <phoneticPr fontId="1" type="noConversion"/>
  </si>
  <si>
    <t>이현임</t>
    <phoneticPr fontId="1" type="noConversion"/>
  </si>
  <si>
    <t>검색</t>
    <phoneticPr fontId="1" type="noConversion"/>
  </si>
  <si>
    <t>박솜</t>
    <phoneticPr fontId="1" type="noConversion"/>
  </si>
  <si>
    <t>이재연</t>
    <phoneticPr fontId="1" type="noConversion"/>
  </si>
  <si>
    <t>난난이</t>
    <phoneticPr fontId="1" type="noConversion"/>
  </si>
  <si>
    <t>이선미</t>
    <phoneticPr fontId="1" type="noConversion"/>
  </si>
  <si>
    <t>사랑이</t>
    <phoneticPr fontId="1" type="noConversion"/>
  </si>
  <si>
    <t>윤영아</t>
    <phoneticPr fontId="1" type="noConversion"/>
  </si>
  <si>
    <t>꼭지</t>
    <phoneticPr fontId="1" type="noConversion"/>
  </si>
  <si>
    <t>나경숙</t>
    <phoneticPr fontId="1" type="noConversion"/>
  </si>
  <si>
    <t>베니</t>
    <phoneticPr fontId="1" type="noConversion"/>
  </si>
  <si>
    <t>장수빈</t>
    <phoneticPr fontId="1" type="noConversion"/>
  </si>
  <si>
    <t>환타</t>
    <phoneticPr fontId="1" type="noConversion"/>
  </si>
  <si>
    <t>고시니</t>
    <phoneticPr fontId="1" type="noConversion"/>
  </si>
  <si>
    <t>하늘이</t>
    <phoneticPr fontId="1" type="noConversion"/>
  </si>
  <si>
    <t>이석봉</t>
    <phoneticPr fontId="1" type="noConversion"/>
  </si>
  <si>
    <t>뭉치</t>
    <phoneticPr fontId="1" type="noConversion"/>
  </si>
  <si>
    <t>하영걸</t>
    <phoneticPr fontId="1" type="noConversion"/>
  </si>
  <si>
    <t>길냥이</t>
    <phoneticPr fontId="1" type="noConversion"/>
  </si>
  <si>
    <t>이명인</t>
    <phoneticPr fontId="1" type="noConversion"/>
  </si>
  <si>
    <t>봄</t>
    <phoneticPr fontId="1" type="noConversion"/>
  </si>
  <si>
    <t>이지혜</t>
    <phoneticPr fontId="1" type="noConversion"/>
  </si>
  <si>
    <t>코롱이</t>
    <phoneticPr fontId="1" type="noConversion"/>
  </si>
  <si>
    <t>장호정</t>
    <phoneticPr fontId="1" type="noConversion"/>
  </si>
  <si>
    <t>네이버 후기</t>
    <phoneticPr fontId="1" type="noConversion"/>
  </si>
  <si>
    <t>렌치</t>
    <phoneticPr fontId="1" type="noConversion"/>
  </si>
  <si>
    <t>이빈나</t>
    <phoneticPr fontId="1" type="noConversion"/>
  </si>
  <si>
    <t>길가다 봄</t>
    <phoneticPr fontId="1" type="noConversion"/>
  </si>
  <si>
    <t>아롱이</t>
    <phoneticPr fontId="1" type="noConversion"/>
  </si>
  <si>
    <t>나동민</t>
    <phoneticPr fontId="1" type="noConversion"/>
  </si>
  <si>
    <t>지인추천</t>
    <phoneticPr fontId="1" type="noConversion"/>
  </si>
  <si>
    <t>충만</t>
    <phoneticPr fontId="1" type="noConversion"/>
  </si>
  <si>
    <t>검색</t>
    <phoneticPr fontId="1" type="noConversion"/>
  </si>
  <si>
    <t>구름</t>
    <phoneticPr fontId="1" type="noConversion"/>
  </si>
  <si>
    <t>조윤서</t>
    <phoneticPr fontId="1" type="noConversion"/>
  </si>
  <si>
    <t>벼리</t>
    <phoneticPr fontId="1" type="noConversion"/>
  </si>
  <si>
    <t>배은옥</t>
    <phoneticPr fontId="1" type="noConversion"/>
  </si>
  <si>
    <t>용품점</t>
    <phoneticPr fontId="1" type="noConversion"/>
  </si>
  <si>
    <t>설이</t>
    <phoneticPr fontId="1" type="noConversion"/>
  </si>
  <si>
    <t>이정은</t>
    <phoneticPr fontId="1" type="noConversion"/>
  </si>
  <si>
    <t>가을이</t>
    <phoneticPr fontId="1" type="noConversion"/>
  </si>
  <si>
    <t>황인성</t>
    <phoneticPr fontId="1" type="noConversion"/>
  </si>
  <si>
    <t>망고</t>
    <phoneticPr fontId="1" type="noConversion"/>
  </si>
  <si>
    <t>이지연</t>
    <phoneticPr fontId="1" type="noConversion"/>
  </si>
  <si>
    <t>시로</t>
    <phoneticPr fontId="1" type="noConversion"/>
  </si>
  <si>
    <t>손민지</t>
    <phoneticPr fontId="1" type="noConversion"/>
  </si>
  <si>
    <t>무아</t>
    <phoneticPr fontId="1" type="noConversion"/>
  </si>
  <si>
    <t>정세빈</t>
    <phoneticPr fontId="1" type="noConversion"/>
  </si>
  <si>
    <t>김은실</t>
    <phoneticPr fontId="1" type="noConversion"/>
  </si>
  <si>
    <t>쵸파</t>
    <phoneticPr fontId="1" type="noConversion"/>
  </si>
  <si>
    <t>정선경</t>
    <phoneticPr fontId="1" type="noConversion"/>
  </si>
  <si>
    <t>네이버 후기</t>
    <phoneticPr fontId="1" type="noConversion"/>
  </si>
  <si>
    <t>코코</t>
    <phoneticPr fontId="1" type="noConversion"/>
  </si>
  <si>
    <t>정현</t>
    <phoneticPr fontId="1" type="noConversion"/>
  </si>
  <si>
    <t>지인추천</t>
    <phoneticPr fontId="1" type="noConversion"/>
  </si>
  <si>
    <t>뿌요</t>
    <phoneticPr fontId="1" type="noConversion"/>
  </si>
  <si>
    <t>김현주</t>
    <phoneticPr fontId="1" type="noConversion"/>
  </si>
  <si>
    <t>집근처</t>
    <phoneticPr fontId="1" type="noConversion"/>
  </si>
  <si>
    <t>아잉</t>
    <phoneticPr fontId="1" type="noConversion"/>
  </si>
  <si>
    <t>장서연</t>
    <phoneticPr fontId="1" type="noConversion"/>
  </si>
  <si>
    <t>용품점</t>
    <phoneticPr fontId="1" type="noConversion"/>
  </si>
  <si>
    <t>구름이</t>
    <phoneticPr fontId="1" type="noConversion"/>
  </si>
  <si>
    <t>이현아</t>
    <phoneticPr fontId="1" type="noConversion"/>
  </si>
  <si>
    <t>검색</t>
    <phoneticPr fontId="1" type="noConversion"/>
  </si>
  <si>
    <t>코니</t>
    <phoneticPr fontId="1" type="noConversion"/>
  </si>
  <si>
    <t>임미경</t>
    <phoneticPr fontId="1" type="noConversion"/>
  </si>
  <si>
    <t>검색</t>
    <phoneticPr fontId="1" type="noConversion"/>
  </si>
  <si>
    <t>백혜진</t>
    <phoneticPr fontId="1" type="noConversion"/>
  </si>
  <si>
    <t>옹심이</t>
    <phoneticPr fontId="1" type="noConversion"/>
  </si>
  <si>
    <t>블로그</t>
    <phoneticPr fontId="1" type="noConversion"/>
  </si>
  <si>
    <t>소율</t>
    <phoneticPr fontId="1" type="noConversion"/>
  </si>
  <si>
    <t>김미경</t>
    <phoneticPr fontId="1" type="noConversion"/>
  </si>
  <si>
    <t>검색</t>
    <phoneticPr fontId="1" type="noConversion"/>
  </si>
  <si>
    <t>감자</t>
    <phoneticPr fontId="1" type="noConversion"/>
  </si>
  <si>
    <t>한주형</t>
    <phoneticPr fontId="1" type="noConversion"/>
  </si>
  <si>
    <t>십억이</t>
    <phoneticPr fontId="1" type="noConversion"/>
  </si>
  <si>
    <t>최희정</t>
    <phoneticPr fontId="1" type="noConversion"/>
  </si>
  <si>
    <t>케지</t>
    <phoneticPr fontId="1" type="noConversion"/>
  </si>
  <si>
    <t>김수혜</t>
    <phoneticPr fontId="1" type="noConversion"/>
  </si>
  <si>
    <t>라온</t>
    <phoneticPr fontId="1" type="noConversion"/>
  </si>
  <si>
    <t>김준형</t>
    <phoneticPr fontId="1" type="noConversion"/>
  </si>
  <si>
    <t>용품점</t>
    <phoneticPr fontId="1" type="noConversion"/>
  </si>
  <si>
    <t>초코</t>
    <phoneticPr fontId="1" type="noConversion"/>
  </si>
  <si>
    <t>유경순</t>
    <phoneticPr fontId="1" type="noConversion"/>
  </si>
  <si>
    <t>지인추천</t>
    <phoneticPr fontId="1" type="noConversion"/>
  </si>
  <si>
    <t>모글리</t>
    <phoneticPr fontId="1" type="noConversion"/>
  </si>
  <si>
    <t>정겨운</t>
    <phoneticPr fontId="1" type="noConversion"/>
  </si>
  <si>
    <t>검색</t>
    <phoneticPr fontId="1" type="noConversion"/>
  </si>
  <si>
    <t>미요</t>
    <phoneticPr fontId="1" type="noConversion"/>
  </si>
  <si>
    <t>김형우</t>
    <phoneticPr fontId="1" type="noConversion"/>
  </si>
  <si>
    <t>조이</t>
    <phoneticPr fontId="1" type="noConversion"/>
  </si>
  <si>
    <t>박영미</t>
    <phoneticPr fontId="1" type="noConversion"/>
  </si>
  <si>
    <t>검색</t>
    <phoneticPr fontId="1" type="noConversion"/>
  </si>
  <si>
    <t>유키</t>
    <phoneticPr fontId="1" type="noConversion"/>
  </si>
  <si>
    <t>김민경</t>
    <phoneticPr fontId="1" type="noConversion"/>
  </si>
  <si>
    <t>네이버 후기</t>
    <phoneticPr fontId="1" type="noConversion"/>
  </si>
  <si>
    <t>지코</t>
    <phoneticPr fontId="1" type="noConversion"/>
  </si>
  <si>
    <t>신희진</t>
    <phoneticPr fontId="1" type="noConversion"/>
  </si>
  <si>
    <t>행복</t>
    <phoneticPr fontId="1" type="noConversion"/>
  </si>
  <si>
    <t>정순주</t>
    <phoneticPr fontId="1" type="noConversion"/>
  </si>
  <si>
    <t>용품점</t>
    <phoneticPr fontId="1" type="noConversion"/>
  </si>
  <si>
    <t>토리</t>
    <phoneticPr fontId="1" type="noConversion"/>
  </si>
  <si>
    <t>성영수</t>
    <phoneticPr fontId="1" type="noConversion"/>
  </si>
  <si>
    <t>코코,코난</t>
    <phoneticPr fontId="1" type="noConversion"/>
  </si>
  <si>
    <t>김미애</t>
    <phoneticPr fontId="1" type="noConversion"/>
  </si>
  <si>
    <t>토토</t>
    <phoneticPr fontId="1" type="noConversion"/>
  </si>
  <si>
    <t>키키</t>
    <phoneticPr fontId="1" type="noConversion"/>
  </si>
  <si>
    <t>박희영</t>
    <phoneticPr fontId="1" type="noConversion"/>
  </si>
  <si>
    <t>백구</t>
    <phoneticPr fontId="1" type="noConversion"/>
  </si>
  <si>
    <t>김보배</t>
    <phoneticPr fontId="1" type="noConversion"/>
  </si>
  <si>
    <t>귀둥</t>
    <phoneticPr fontId="1" type="noConversion"/>
  </si>
  <si>
    <t>남예지</t>
    <phoneticPr fontId="1" type="noConversion"/>
  </si>
  <si>
    <t>봄이</t>
    <phoneticPr fontId="1" type="noConversion"/>
  </si>
  <si>
    <t>유승희</t>
    <phoneticPr fontId="1" type="noConversion"/>
  </si>
  <si>
    <t>다루</t>
    <phoneticPr fontId="1" type="noConversion"/>
  </si>
  <si>
    <t>윤태영</t>
    <phoneticPr fontId="1" type="noConversion"/>
  </si>
  <si>
    <t>서구점</t>
    <phoneticPr fontId="1" type="noConversion"/>
  </si>
  <si>
    <t>길냥이</t>
    <phoneticPr fontId="1" type="noConversion"/>
  </si>
  <si>
    <t>이혜림</t>
    <phoneticPr fontId="1" type="noConversion"/>
  </si>
  <si>
    <t>다롱이</t>
    <phoneticPr fontId="1" type="noConversion"/>
  </si>
  <si>
    <t>임순희</t>
    <phoneticPr fontId="1" type="noConversion"/>
  </si>
  <si>
    <t>다릉</t>
    <phoneticPr fontId="1" type="noConversion"/>
  </si>
  <si>
    <t>박길숙</t>
    <phoneticPr fontId="1" type="noConversion"/>
  </si>
  <si>
    <t>가을</t>
    <phoneticPr fontId="1" type="noConversion"/>
  </si>
  <si>
    <t>박한나</t>
    <phoneticPr fontId="1" type="noConversion"/>
  </si>
  <si>
    <t>영덕</t>
    <phoneticPr fontId="1" type="noConversion"/>
  </si>
  <si>
    <t>전서원</t>
    <phoneticPr fontId="1" type="noConversion"/>
  </si>
  <si>
    <t>지인추천</t>
    <phoneticPr fontId="1" type="noConversion"/>
  </si>
  <si>
    <t>춘장이</t>
    <phoneticPr fontId="1" type="noConversion"/>
  </si>
  <si>
    <t>경윤서</t>
    <phoneticPr fontId="1" type="noConversion"/>
  </si>
  <si>
    <t>꽁치</t>
    <phoneticPr fontId="1" type="noConversion"/>
  </si>
  <si>
    <t>또리</t>
    <phoneticPr fontId="1" type="noConversion"/>
  </si>
  <si>
    <t>신보경</t>
    <phoneticPr fontId="1" type="noConversion"/>
  </si>
  <si>
    <t>포니</t>
    <phoneticPr fontId="1" type="noConversion"/>
  </si>
  <si>
    <t>김경옥</t>
    <phoneticPr fontId="1" type="noConversion"/>
  </si>
  <si>
    <t>김태주</t>
    <phoneticPr fontId="1" type="noConversion"/>
  </si>
  <si>
    <t>이상숙</t>
    <phoneticPr fontId="1" type="noConversion"/>
  </si>
  <si>
    <t>뽀이</t>
    <phoneticPr fontId="1" type="noConversion"/>
  </si>
  <si>
    <t>최애자</t>
    <phoneticPr fontId="1" type="noConversion"/>
  </si>
  <si>
    <t>시또</t>
    <phoneticPr fontId="1" type="noConversion"/>
  </si>
  <si>
    <t>지나가다 봄</t>
    <phoneticPr fontId="1" type="noConversion"/>
  </si>
  <si>
    <t>여름이</t>
    <phoneticPr fontId="1" type="noConversion"/>
  </si>
  <si>
    <t>오민지</t>
    <phoneticPr fontId="1" type="noConversion"/>
  </si>
  <si>
    <t>길고양이</t>
    <phoneticPr fontId="1" type="noConversion"/>
  </si>
  <si>
    <t>장인식</t>
    <phoneticPr fontId="1" type="noConversion"/>
  </si>
  <si>
    <t>검색</t>
    <phoneticPr fontId="1" type="noConversion"/>
  </si>
  <si>
    <t>박유경</t>
    <phoneticPr fontId="1" type="noConversion"/>
  </si>
  <si>
    <t>뮤</t>
    <phoneticPr fontId="1" type="noConversion"/>
  </si>
  <si>
    <t>하정현</t>
    <phoneticPr fontId="1" type="noConversion"/>
  </si>
  <si>
    <t>이개미</t>
    <phoneticPr fontId="1" type="noConversion"/>
  </si>
  <si>
    <t>이세환</t>
    <phoneticPr fontId="1" type="noConversion"/>
  </si>
  <si>
    <t>지인추천</t>
    <phoneticPr fontId="1" type="noConversion"/>
  </si>
  <si>
    <t>짱이</t>
    <phoneticPr fontId="1" type="noConversion"/>
  </si>
  <si>
    <t>김은주</t>
    <phoneticPr fontId="1" type="noConversion"/>
  </si>
  <si>
    <t>리카</t>
    <phoneticPr fontId="1" type="noConversion"/>
  </si>
  <si>
    <t>이도경</t>
    <phoneticPr fontId="1" type="noConversion"/>
  </si>
  <si>
    <t>처음이</t>
    <phoneticPr fontId="1" type="noConversion"/>
  </si>
  <si>
    <t>차경희</t>
    <phoneticPr fontId="1" type="noConversion"/>
  </si>
  <si>
    <t>동동</t>
    <phoneticPr fontId="1" type="noConversion"/>
  </si>
  <si>
    <t>권희훈</t>
    <phoneticPr fontId="1" type="noConversion"/>
  </si>
  <si>
    <t>최정임</t>
    <phoneticPr fontId="1" type="noConversion"/>
  </si>
  <si>
    <t>이태훈</t>
    <phoneticPr fontId="1" type="noConversion"/>
  </si>
  <si>
    <t>솜</t>
    <phoneticPr fontId="1" type="noConversion"/>
  </si>
  <si>
    <t>윤서애</t>
    <phoneticPr fontId="1" type="noConversion"/>
  </si>
  <si>
    <t>블로그</t>
    <phoneticPr fontId="1" type="noConversion"/>
  </si>
  <si>
    <t>온도</t>
    <phoneticPr fontId="1" type="noConversion"/>
  </si>
  <si>
    <t>김채린</t>
    <phoneticPr fontId="1" type="noConversion"/>
  </si>
  <si>
    <t>아롱이</t>
    <phoneticPr fontId="1" type="noConversion"/>
  </si>
  <si>
    <t>이유솔</t>
    <phoneticPr fontId="1" type="noConversion"/>
  </si>
  <si>
    <t>몽</t>
    <phoneticPr fontId="1" type="noConversion"/>
  </si>
  <si>
    <t>바민준</t>
    <phoneticPr fontId="1" type="noConversion"/>
  </si>
  <si>
    <t>검색</t>
    <phoneticPr fontId="1" type="noConversion"/>
  </si>
  <si>
    <t>정군이</t>
    <phoneticPr fontId="1" type="noConversion"/>
  </si>
  <si>
    <t>김진솔</t>
    <phoneticPr fontId="1" type="noConversion"/>
  </si>
  <si>
    <t>검색</t>
    <phoneticPr fontId="1" type="noConversion"/>
  </si>
  <si>
    <t>검정이</t>
    <phoneticPr fontId="1" type="noConversion"/>
  </si>
  <si>
    <t>지소연</t>
    <phoneticPr fontId="1" type="noConversion"/>
  </si>
  <si>
    <t>네이버 후기</t>
    <phoneticPr fontId="1" type="noConversion"/>
  </si>
  <si>
    <t>가을이</t>
    <phoneticPr fontId="1" type="noConversion"/>
  </si>
  <si>
    <t>천정자</t>
    <phoneticPr fontId="1" type="noConversion"/>
  </si>
  <si>
    <t>장군이</t>
    <phoneticPr fontId="1" type="noConversion"/>
  </si>
  <si>
    <t>장혜주</t>
    <phoneticPr fontId="1" type="noConversion"/>
  </si>
  <si>
    <t>복순이</t>
    <phoneticPr fontId="1" type="noConversion"/>
  </si>
  <si>
    <t>최성우</t>
    <phoneticPr fontId="1" type="noConversion"/>
  </si>
  <si>
    <t>갈치</t>
    <phoneticPr fontId="1" type="noConversion"/>
  </si>
  <si>
    <t>이명현</t>
    <phoneticPr fontId="1" type="noConversion"/>
  </si>
  <si>
    <t>초코,순이</t>
    <phoneticPr fontId="1" type="noConversion"/>
  </si>
  <si>
    <t>채희화</t>
    <phoneticPr fontId="1" type="noConversion"/>
  </si>
  <si>
    <t>용품점</t>
    <phoneticPr fontId="1" type="noConversion"/>
  </si>
  <si>
    <t>먼지</t>
    <phoneticPr fontId="1" type="noConversion"/>
  </si>
  <si>
    <t>이은정</t>
    <phoneticPr fontId="1" type="noConversion"/>
  </si>
  <si>
    <t>겨울</t>
    <phoneticPr fontId="1" type="noConversion"/>
  </si>
  <si>
    <t>최윤아</t>
    <phoneticPr fontId="1" type="noConversion"/>
  </si>
  <si>
    <t>지인추천</t>
    <phoneticPr fontId="1" type="noConversion"/>
  </si>
  <si>
    <t>울보</t>
    <phoneticPr fontId="1" type="noConversion"/>
  </si>
  <si>
    <t>이혁환</t>
    <phoneticPr fontId="1" type="noConversion"/>
  </si>
  <si>
    <t>여름이</t>
    <phoneticPr fontId="1" type="noConversion"/>
  </si>
  <si>
    <t>안현숙</t>
    <phoneticPr fontId="1" type="noConversion"/>
  </si>
  <si>
    <t>깜</t>
    <phoneticPr fontId="1" type="noConversion"/>
  </si>
  <si>
    <t>안미숙</t>
    <phoneticPr fontId="1" type="noConversion"/>
  </si>
  <si>
    <t>네이버후기</t>
    <phoneticPr fontId="1" type="noConversion"/>
  </si>
  <si>
    <t>사랑</t>
    <phoneticPr fontId="1" type="noConversion"/>
  </si>
  <si>
    <t>권문정</t>
    <phoneticPr fontId="1" type="noConversion"/>
  </si>
  <si>
    <t>이방울</t>
    <phoneticPr fontId="1" type="noConversion"/>
  </si>
  <si>
    <t>이지안</t>
    <phoneticPr fontId="1" type="noConversion"/>
  </si>
  <si>
    <t>산이</t>
    <phoneticPr fontId="1" type="noConversion"/>
  </si>
  <si>
    <t>정희원</t>
    <phoneticPr fontId="1" type="noConversion"/>
  </si>
  <si>
    <t>김방울</t>
    <phoneticPr fontId="1" type="noConversion"/>
  </si>
  <si>
    <t>김민정</t>
    <phoneticPr fontId="1" type="noConversion"/>
  </si>
  <si>
    <t>몽</t>
    <phoneticPr fontId="1" type="noConversion"/>
  </si>
  <si>
    <t>하상수</t>
    <phoneticPr fontId="1" type="noConversion"/>
  </si>
  <si>
    <t>블로그</t>
    <phoneticPr fontId="1" type="noConversion"/>
  </si>
  <si>
    <t>금동</t>
    <phoneticPr fontId="1" type="noConversion"/>
  </si>
  <si>
    <t>박초롱</t>
    <phoneticPr fontId="1" type="noConversion"/>
  </si>
  <si>
    <t>루지</t>
    <phoneticPr fontId="1" type="noConversion"/>
  </si>
  <si>
    <t>이순석</t>
    <phoneticPr fontId="1" type="noConversion"/>
  </si>
  <si>
    <t>한윤지</t>
    <phoneticPr fontId="1" type="noConversion"/>
  </si>
  <si>
    <t>이미소</t>
    <phoneticPr fontId="1" type="noConversion"/>
  </si>
  <si>
    <t>공콩</t>
    <phoneticPr fontId="1" type="noConversion"/>
  </si>
  <si>
    <t>공은채</t>
    <phoneticPr fontId="1" type="noConversion"/>
  </si>
  <si>
    <t>베베</t>
    <phoneticPr fontId="1" type="noConversion"/>
  </si>
  <si>
    <t>박현정</t>
    <phoneticPr fontId="1" type="noConversion"/>
  </si>
  <si>
    <t>오독</t>
    <phoneticPr fontId="1" type="noConversion"/>
  </si>
  <si>
    <t>정희광</t>
    <phoneticPr fontId="1" type="noConversion"/>
  </si>
  <si>
    <t>이호떡</t>
    <phoneticPr fontId="1" type="noConversion"/>
  </si>
  <si>
    <t>정진희</t>
    <phoneticPr fontId="1" type="noConversion"/>
  </si>
  <si>
    <t>제리</t>
    <phoneticPr fontId="1" type="noConversion"/>
  </si>
  <si>
    <t>황현아</t>
    <phoneticPr fontId="1" type="noConversion"/>
  </si>
  <si>
    <t>서함마</t>
    <phoneticPr fontId="1" type="noConversion"/>
  </si>
  <si>
    <t>박지현</t>
    <phoneticPr fontId="1" type="noConversion"/>
  </si>
  <si>
    <t>이향미</t>
    <phoneticPr fontId="1" type="noConversion"/>
  </si>
  <si>
    <t>이경희</t>
    <phoneticPr fontId="1" type="noConversion"/>
  </si>
  <si>
    <t>연두,코코</t>
    <phoneticPr fontId="1" type="noConversion"/>
  </si>
  <si>
    <t>이상범</t>
    <phoneticPr fontId="1" type="noConversion"/>
  </si>
  <si>
    <t>한다정</t>
    <phoneticPr fontId="1" type="noConversion"/>
  </si>
  <si>
    <t>검색,블로그</t>
    <phoneticPr fontId="1" type="noConversion"/>
  </si>
  <si>
    <t>조은빈</t>
    <phoneticPr fontId="1" type="noConversion"/>
  </si>
  <si>
    <t>최은총</t>
    <phoneticPr fontId="1" type="noConversion"/>
  </si>
  <si>
    <t>김주영</t>
    <phoneticPr fontId="1" type="noConversion"/>
  </si>
  <si>
    <t>한진우</t>
    <phoneticPr fontId="1" type="noConversion"/>
  </si>
  <si>
    <t>두두</t>
    <phoneticPr fontId="1" type="noConversion"/>
  </si>
  <si>
    <t>서예영</t>
    <phoneticPr fontId="1" type="noConversion"/>
  </si>
  <si>
    <t>뚜껑이</t>
    <phoneticPr fontId="1" type="noConversion"/>
  </si>
  <si>
    <t>권태민</t>
    <phoneticPr fontId="1" type="noConversion"/>
  </si>
  <si>
    <t>이현규</t>
    <phoneticPr fontId="1" type="noConversion"/>
  </si>
  <si>
    <t>연두,콩이</t>
    <phoneticPr fontId="1" type="noConversion"/>
  </si>
  <si>
    <t>윤남경</t>
    <phoneticPr fontId="1" type="noConversion"/>
  </si>
  <si>
    <t>정규진</t>
    <phoneticPr fontId="1" type="noConversion"/>
  </si>
  <si>
    <t>송지영</t>
    <phoneticPr fontId="1" type="noConversion"/>
  </si>
  <si>
    <t>손찬영</t>
    <phoneticPr fontId="1" type="noConversion"/>
  </si>
  <si>
    <t>까망이</t>
    <phoneticPr fontId="1" type="noConversion"/>
  </si>
  <si>
    <t>유성빈</t>
    <phoneticPr fontId="1" type="noConversion"/>
  </si>
  <si>
    <t>뚜비</t>
    <phoneticPr fontId="1" type="noConversion"/>
  </si>
  <si>
    <t>이민순</t>
    <phoneticPr fontId="1" type="noConversion"/>
  </si>
  <si>
    <t>이영민</t>
    <phoneticPr fontId="1" type="noConversion"/>
  </si>
  <si>
    <t>백설기</t>
    <phoneticPr fontId="1" type="noConversion"/>
  </si>
  <si>
    <t>백수진</t>
    <phoneticPr fontId="1" type="noConversion"/>
  </si>
  <si>
    <t>송희하</t>
    <phoneticPr fontId="1" type="noConversion"/>
  </si>
  <si>
    <t>디아</t>
    <phoneticPr fontId="1" type="noConversion"/>
  </si>
  <si>
    <t>김덕인</t>
    <phoneticPr fontId="1" type="noConversion"/>
  </si>
  <si>
    <t>손용선</t>
    <phoneticPr fontId="1" type="noConversion"/>
  </si>
  <si>
    <t>하은경</t>
    <phoneticPr fontId="1" type="noConversion"/>
  </si>
  <si>
    <t>아나</t>
    <phoneticPr fontId="1" type="noConversion"/>
  </si>
  <si>
    <t>윤미진</t>
    <phoneticPr fontId="1" type="noConversion"/>
  </si>
  <si>
    <t>브렌다</t>
    <phoneticPr fontId="1" type="noConversion"/>
  </si>
  <si>
    <t>장수진</t>
    <phoneticPr fontId="1" type="noConversion"/>
  </si>
  <si>
    <t>뿅뿅이</t>
    <phoneticPr fontId="1" type="noConversion"/>
  </si>
  <si>
    <t>손해지</t>
    <phoneticPr fontId="1" type="noConversion"/>
  </si>
  <si>
    <t>연두</t>
    <phoneticPr fontId="1" type="noConversion"/>
  </si>
  <si>
    <t>정선희</t>
    <phoneticPr fontId="1" type="noConversion"/>
  </si>
  <si>
    <t>김진철</t>
    <phoneticPr fontId="1" type="noConversion"/>
  </si>
  <si>
    <t>하랑</t>
    <phoneticPr fontId="1" type="noConversion"/>
  </si>
  <si>
    <t>강선욱</t>
    <phoneticPr fontId="1" type="noConversion"/>
  </si>
  <si>
    <t>검색</t>
    <phoneticPr fontId="1" type="noConversion"/>
  </si>
  <si>
    <t>마리</t>
    <phoneticPr fontId="1" type="noConversion"/>
  </si>
  <si>
    <t>이서연</t>
    <phoneticPr fontId="1" type="noConversion"/>
  </si>
  <si>
    <t>태지</t>
    <phoneticPr fontId="1" type="noConversion"/>
  </si>
  <si>
    <t>엄태영</t>
    <phoneticPr fontId="1" type="noConversion"/>
  </si>
  <si>
    <t>지인추천</t>
    <phoneticPr fontId="1" type="noConversion"/>
  </si>
  <si>
    <t>우주</t>
    <phoneticPr fontId="1" type="noConversion"/>
  </si>
  <si>
    <t>김해숙</t>
    <phoneticPr fontId="1" type="noConversion"/>
  </si>
  <si>
    <t>똘이</t>
    <phoneticPr fontId="1" type="noConversion"/>
  </si>
  <si>
    <t>이헤련</t>
    <phoneticPr fontId="1" type="noConversion"/>
  </si>
  <si>
    <t>초코</t>
    <phoneticPr fontId="1" type="noConversion"/>
  </si>
  <si>
    <t>권상수</t>
    <phoneticPr fontId="1" type="noConversion"/>
  </si>
  <si>
    <t>또또</t>
    <phoneticPr fontId="1" type="noConversion"/>
  </si>
  <si>
    <t>김다빈</t>
    <phoneticPr fontId="1" type="noConversion"/>
  </si>
  <si>
    <t>각이</t>
    <phoneticPr fontId="1" type="noConversion"/>
  </si>
  <si>
    <t>이채란</t>
    <phoneticPr fontId="1" type="noConversion"/>
  </si>
  <si>
    <t>샤넬</t>
    <phoneticPr fontId="1" type="noConversion"/>
  </si>
  <si>
    <t>장민선</t>
    <phoneticPr fontId="1" type="noConversion"/>
  </si>
  <si>
    <t>토토</t>
    <phoneticPr fontId="1" type="noConversion"/>
  </si>
  <si>
    <t>박영숙</t>
    <phoneticPr fontId="1" type="noConversion"/>
  </si>
  <si>
    <t>로이</t>
    <phoneticPr fontId="1" type="noConversion"/>
  </si>
  <si>
    <t>남순옥</t>
    <phoneticPr fontId="1" type="noConversion"/>
  </si>
  <si>
    <t>하나,빵이</t>
    <phoneticPr fontId="1" type="noConversion"/>
  </si>
  <si>
    <t>김성희</t>
    <phoneticPr fontId="1" type="noConversion"/>
  </si>
  <si>
    <t>밥풀이</t>
    <phoneticPr fontId="1" type="noConversion"/>
  </si>
  <si>
    <t>정준영</t>
    <phoneticPr fontId="1" type="noConversion"/>
  </si>
  <si>
    <t>용품점</t>
    <phoneticPr fontId="1" type="noConversion"/>
  </si>
  <si>
    <t>뽀또</t>
    <phoneticPr fontId="1" type="noConversion"/>
  </si>
  <si>
    <t>김종건</t>
    <phoneticPr fontId="1" type="noConversion"/>
  </si>
  <si>
    <t>솜</t>
    <phoneticPr fontId="1" type="noConversion"/>
  </si>
  <si>
    <t>전은실</t>
    <phoneticPr fontId="1" type="noConversion"/>
  </si>
  <si>
    <t>별이</t>
    <phoneticPr fontId="1" type="noConversion"/>
  </si>
  <si>
    <t>김태은</t>
    <phoneticPr fontId="1" type="noConversion"/>
  </si>
  <si>
    <t>용품점</t>
    <phoneticPr fontId="1" type="noConversion"/>
  </si>
  <si>
    <t>콩이</t>
    <phoneticPr fontId="1" type="noConversion"/>
  </si>
  <si>
    <t>김창호</t>
    <phoneticPr fontId="1" type="noConversion"/>
  </si>
  <si>
    <t>토미</t>
    <phoneticPr fontId="1" type="noConversion"/>
  </si>
  <si>
    <t>이성우</t>
    <phoneticPr fontId="1" type="noConversion"/>
  </si>
  <si>
    <t>뚱땡이</t>
    <phoneticPr fontId="1" type="noConversion"/>
  </si>
  <si>
    <t>최유정</t>
    <phoneticPr fontId="1" type="noConversion"/>
  </si>
  <si>
    <t>우동이</t>
    <phoneticPr fontId="1" type="noConversion"/>
  </si>
  <si>
    <t>이수빈</t>
    <phoneticPr fontId="1" type="noConversion"/>
  </si>
  <si>
    <t>냥이</t>
    <phoneticPr fontId="1" type="noConversion"/>
  </si>
  <si>
    <t>김민재</t>
    <phoneticPr fontId="1" type="noConversion"/>
  </si>
  <si>
    <t>도토리</t>
    <phoneticPr fontId="1" type="noConversion"/>
  </si>
  <si>
    <t>김명주</t>
    <phoneticPr fontId="1" type="noConversion"/>
  </si>
  <si>
    <t>리나</t>
    <phoneticPr fontId="1" type="noConversion"/>
  </si>
  <si>
    <t>나연수</t>
    <phoneticPr fontId="1" type="noConversion"/>
  </si>
  <si>
    <t>막내</t>
    <phoneticPr fontId="1" type="noConversion"/>
  </si>
  <si>
    <t>박성훈</t>
    <phoneticPr fontId="1" type="noConversion"/>
  </si>
  <si>
    <t>꼬꼬</t>
    <phoneticPr fontId="1" type="noConversion"/>
  </si>
  <si>
    <t>원은화</t>
    <phoneticPr fontId="1" type="noConversion"/>
  </si>
  <si>
    <t>윤보리</t>
    <phoneticPr fontId="1" type="noConversion"/>
  </si>
  <si>
    <t>조영숙</t>
    <phoneticPr fontId="1" type="noConversion"/>
  </si>
  <si>
    <t>몽이</t>
    <phoneticPr fontId="1" type="noConversion"/>
  </si>
  <si>
    <t>최현정</t>
    <phoneticPr fontId="1" type="noConversion"/>
  </si>
  <si>
    <t>깜이</t>
    <phoneticPr fontId="1" type="noConversion"/>
  </si>
  <si>
    <t>곽미숙</t>
    <phoneticPr fontId="1" type="noConversion"/>
  </si>
  <si>
    <t>박계화</t>
    <phoneticPr fontId="1" type="noConversion"/>
  </si>
  <si>
    <t>네이버후기</t>
    <phoneticPr fontId="1" type="noConversion"/>
  </si>
  <si>
    <t>가루</t>
    <phoneticPr fontId="1" type="noConversion"/>
  </si>
  <si>
    <t>임은미</t>
    <phoneticPr fontId="1" type="noConversion"/>
  </si>
  <si>
    <t>나나</t>
    <phoneticPr fontId="1" type="noConversion"/>
  </si>
  <si>
    <t>이희경</t>
    <phoneticPr fontId="1" type="noConversion"/>
  </si>
  <si>
    <t>예티</t>
    <phoneticPr fontId="1" type="noConversion"/>
  </si>
  <si>
    <t>위창준</t>
    <phoneticPr fontId="1" type="noConversion"/>
  </si>
  <si>
    <t>뽕자</t>
    <phoneticPr fontId="1" type="noConversion"/>
  </si>
  <si>
    <t>정연숙</t>
    <phoneticPr fontId="1" type="noConversion"/>
  </si>
  <si>
    <t>블로그</t>
    <phoneticPr fontId="1" type="noConversion"/>
  </si>
  <si>
    <t>깜장콩</t>
    <phoneticPr fontId="1" type="noConversion"/>
  </si>
  <si>
    <t>황선영</t>
    <phoneticPr fontId="1" type="noConversion"/>
  </si>
  <si>
    <t>까미</t>
    <phoneticPr fontId="1" type="noConversion"/>
  </si>
  <si>
    <t>이정희</t>
    <phoneticPr fontId="1" type="noConversion"/>
  </si>
  <si>
    <t>뭉치</t>
    <phoneticPr fontId="1" type="noConversion"/>
  </si>
  <si>
    <t>김대호</t>
    <phoneticPr fontId="1" type="noConversion"/>
  </si>
  <si>
    <t>최수진</t>
    <phoneticPr fontId="1" type="noConversion"/>
  </si>
  <si>
    <t>봉순이,오바마</t>
    <phoneticPr fontId="1" type="noConversion"/>
  </si>
  <si>
    <t>꼬미</t>
    <phoneticPr fontId="1" type="noConversion"/>
  </si>
  <si>
    <t>신원식</t>
    <phoneticPr fontId="1" type="noConversion"/>
  </si>
  <si>
    <t>가을이</t>
    <phoneticPr fontId="1" type="noConversion"/>
  </si>
  <si>
    <t>루비</t>
    <phoneticPr fontId="1" type="noConversion"/>
  </si>
  <si>
    <t>오나민</t>
    <phoneticPr fontId="1" type="noConversion"/>
  </si>
  <si>
    <t>이현욱</t>
    <phoneticPr fontId="1" type="noConversion"/>
  </si>
  <si>
    <t>국빈</t>
    <phoneticPr fontId="1" type="noConversion"/>
  </si>
  <si>
    <t>김은영</t>
    <phoneticPr fontId="1" type="noConversion"/>
  </si>
  <si>
    <t>콩</t>
    <phoneticPr fontId="1" type="noConversion"/>
  </si>
  <si>
    <t>이정숙</t>
    <phoneticPr fontId="1" type="noConversion"/>
  </si>
  <si>
    <t>권용철</t>
    <phoneticPr fontId="1" type="noConversion"/>
  </si>
  <si>
    <t>국수</t>
    <phoneticPr fontId="1" type="noConversion"/>
  </si>
  <si>
    <t>안위선</t>
    <phoneticPr fontId="1" type="noConversion"/>
  </si>
  <si>
    <t>아가</t>
    <phoneticPr fontId="1" type="noConversion"/>
  </si>
  <si>
    <t>표정선</t>
    <phoneticPr fontId="1" type="noConversion"/>
  </si>
  <si>
    <t>김수환</t>
    <phoneticPr fontId="1" type="noConversion"/>
  </si>
  <si>
    <t>태리</t>
    <phoneticPr fontId="1" type="noConversion"/>
  </si>
  <si>
    <t xml:space="preserve">박유아 </t>
    <phoneticPr fontId="1" type="noConversion"/>
  </si>
  <si>
    <t>변혜정</t>
    <phoneticPr fontId="1" type="noConversion"/>
  </si>
  <si>
    <t>정연탄</t>
    <phoneticPr fontId="1" type="noConversion"/>
  </si>
  <si>
    <t>정효숙</t>
    <phoneticPr fontId="1" type="noConversion"/>
  </si>
  <si>
    <t>이지</t>
    <phoneticPr fontId="1" type="noConversion"/>
  </si>
  <si>
    <t>배미연</t>
    <phoneticPr fontId="1" type="noConversion"/>
  </si>
  <si>
    <t>깡이</t>
    <phoneticPr fontId="1" type="noConversion"/>
  </si>
  <si>
    <t>이수민</t>
    <phoneticPr fontId="1" type="noConversion"/>
  </si>
  <si>
    <t>해로</t>
    <phoneticPr fontId="1" type="noConversion"/>
  </si>
  <si>
    <t>홍현정</t>
    <phoneticPr fontId="1" type="noConversion"/>
  </si>
  <si>
    <t>포도</t>
    <phoneticPr fontId="1" type="noConversion"/>
  </si>
  <si>
    <t>김포라</t>
    <phoneticPr fontId="1" type="noConversion"/>
  </si>
  <si>
    <t>김유진</t>
    <phoneticPr fontId="1" type="noConversion"/>
  </si>
  <si>
    <t>차효원</t>
    <phoneticPr fontId="1" type="noConversion"/>
  </si>
  <si>
    <t>카카,양순이</t>
    <phoneticPr fontId="1" type="noConversion"/>
  </si>
  <si>
    <t>박신영</t>
    <phoneticPr fontId="1" type="noConversion"/>
  </si>
  <si>
    <t>이은수</t>
    <phoneticPr fontId="1" type="noConversion"/>
  </si>
  <si>
    <t>도아</t>
    <phoneticPr fontId="1" type="noConversion"/>
  </si>
  <si>
    <t>유진옥</t>
    <phoneticPr fontId="1" type="noConversion"/>
  </si>
  <si>
    <t>이금순</t>
    <phoneticPr fontId="1" type="noConversion"/>
  </si>
  <si>
    <t>설지</t>
    <phoneticPr fontId="1" type="noConversion"/>
  </si>
  <si>
    <t>박규리</t>
    <phoneticPr fontId="1" type="noConversion"/>
  </si>
  <si>
    <t>이주경</t>
    <phoneticPr fontId="1" type="noConversion"/>
  </si>
  <si>
    <t>이산</t>
    <phoneticPr fontId="1" type="noConversion"/>
  </si>
  <si>
    <t>송재건</t>
    <phoneticPr fontId="1" type="noConversion"/>
  </si>
  <si>
    <t>윤봄</t>
    <phoneticPr fontId="1" type="noConversion"/>
  </si>
  <si>
    <t>윤선</t>
    <phoneticPr fontId="1" type="noConversion"/>
  </si>
  <si>
    <t>강민영</t>
    <phoneticPr fontId="1" type="noConversion"/>
  </si>
  <si>
    <t>똘똘이</t>
    <phoneticPr fontId="1" type="noConversion"/>
  </si>
  <si>
    <t>박민주</t>
    <phoneticPr fontId="1" type="noConversion"/>
  </si>
  <si>
    <t>봉은아</t>
    <phoneticPr fontId="1" type="noConversion"/>
  </si>
  <si>
    <t>미우</t>
    <phoneticPr fontId="1" type="noConversion"/>
  </si>
  <si>
    <t>유광후</t>
    <phoneticPr fontId="1" type="noConversion"/>
  </si>
  <si>
    <t>엔지</t>
    <phoneticPr fontId="1" type="noConversion"/>
  </si>
  <si>
    <t>김준</t>
    <phoneticPr fontId="1" type="noConversion"/>
  </si>
  <si>
    <t>김성연</t>
    <phoneticPr fontId="1" type="noConversion"/>
  </si>
  <si>
    <t>검색</t>
    <phoneticPr fontId="1" type="noConversion"/>
  </si>
  <si>
    <t>뽀키</t>
    <phoneticPr fontId="1" type="noConversion"/>
  </si>
  <si>
    <t>이채윤</t>
    <phoneticPr fontId="1" type="noConversion"/>
  </si>
  <si>
    <t>홍인표</t>
    <phoneticPr fontId="1" type="noConversion"/>
  </si>
  <si>
    <t>고희성</t>
    <phoneticPr fontId="1" type="noConversion"/>
  </si>
  <si>
    <t>쿠우</t>
    <phoneticPr fontId="1" type="noConversion"/>
  </si>
  <si>
    <t>김민지</t>
    <phoneticPr fontId="1" type="noConversion"/>
  </si>
  <si>
    <t>전정원</t>
    <phoneticPr fontId="1" type="noConversion"/>
  </si>
  <si>
    <t>착한이</t>
    <phoneticPr fontId="1" type="noConversion"/>
  </si>
  <si>
    <t>김문호</t>
    <phoneticPr fontId="1" type="noConversion"/>
  </si>
  <si>
    <t>탱크</t>
    <phoneticPr fontId="1" type="noConversion"/>
  </si>
  <si>
    <t>장경순</t>
    <phoneticPr fontId="1" type="noConversion"/>
  </si>
  <si>
    <t>이정윤</t>
    <phoneticPr fontId="1" type="noConversion"/>
  </si>
  <si>
    <t>김아롱</t>
    <phoneticPr fontId="1" type="noConversion"/>
  </si>
  <si>
    <t>이미선</t>
    <phoneticPr fontId="1" type="noConversion"/>
  </si>
  <si>
    <t>오늘이</t>
    <phoneticPr fontId="1" type="noConversion"/>
  </si>
  <si>
    <t>김성진</t>
    <phoneticPr fontId="1" type="noConversion"/>
  </si>
  <si>
    <t>올라</t>
    <phoneticPr fontId="1" type="noConversion"/>
  </si>
  <si>
    <t>오성진</t>
    <phoneticPr fontId="1" type="noConversion"/>
  </si>
  <si>
    <t>공주</t>
    <phoneticPr fontId="1" type="noConversion"/>
  </si>
  <si>
    <t>김현미</t>
    <phoneticPr fontId="1" type="noConversion"/>
  </si>
  <si>
    <t>쿠크</t>
    <phoneticPr fontId="1" type="noConversion"/>
  </si>
  <si>
    <t>후기</t>
    <phoneticPr fontId="1" type="noConversion"/>
  </si>
  <si>
    <t>권혜린</t>
    <phoneticPr fontId="1" type="noConversion"/>
  </si>
  <si>
    <t>까미</t>
    <phoneticPr fontId="1" type="noConversion"/>
  </si>
  <si>
    <t>만승기</t>
    <phoneticPr fontId="1" type="noConversion"/>
  </si>
  <si>
    <t>블로그</t>
    <phoneticPr fontId="1" type="noConversion"/>
  </si>
  <si>
    <t>김하돌</t>
    <phoneticPr fontId="1" type="noConversion"/>
  </si>
  <si>
    <t>김선영</t>
    <phoneticPr fontId="1" type="noConversion"/>
  </si>
  <si>
    <t>검색</t>
    <phoneticPr fontId="1" type="noConversion"/>
  </si>
  <si>
    <t>호두</t>
    <phoneticPr fontId="1" type="noConversion"/>
  </si>
  <si>
    <t>권도근</t>
    <phoneticPr fontId="1" type="noConversion"/>
  </si>
  <si>
    <t>봉구</t>
    <phoneticPr fontId="1" type="noConversion"/>
  </si>
  <si>
    <t>김보연</t>
    <phoneticPr fontId="1" type="noConversion"/>
  </si>
  <si>
    <t>지인추천</t>
    <phoneticPr fontId="1" type="noConversion"/>
  </si>
  <si>
    <t>쓰와</t>
    <phoneticPr fontId="1" type="noConversion"/>
  </si>
  <si>
    <t>이혜진</t>
    <phoneticPr fontId="1" type="noConversion"/>
  </si>
  <si>
    <t>밀크</t>
    <phoneticPr fontId="1" type="noConversion"/>
  </si>
  <si>
    <t>김춘호</t>
    <phoneticPr fontId="1" type="noConversion"/>
  </si>
  <si>
    <t>뭉치</t>
    <phoneticPr fontId="1" type="noConversion"/>
  </si>
  <si>
    <t>박혜현</t>
    <phoneticPr fontId="1" type="noConversion"/>
  </si>
  <si>
    <t>네이버후기</t>
    <phoneticPr fontId="1" type="noConversion"/>
  </si>
  <si>
    <t>딩동이</t>
    <phoneticPr fontId="1" type="noConversion"/>
  </si>
  <si>
    <t>이수정</t>
    <phoneticPr fontId="1" type="noConversion"/>
  </si>
  <si>
    <t>서우리</t>
    <phoneticPr fontId="1" type="noConversion"/>
  </si>
  <si>
    <t>문명희</t>
    <phoneticPr fontId="1" type="noConversion"/>
  </si>
  <si>
    <t>김철수</t>
    <phoneticPr fontId="1" type="noConversion"/>
  </si>
  <si>
    <t>김민수</t>
    <phoneticPr fontId="1" type="noConversion"/>
  </si>
  <si>
    <t>사랑이</t>
    <phoneticPr fontId="1" type="noConversion"/>
  </si>
  <si>
    <t>김명희</t>
    <phoneticPr fontId="1" type="noConversion"/>
  </si>
  <si>
    <t>맥스</t>
    <phoneticPr fontId="1" type="noConversion"/>
  </si>
  <si>
    <t>임현정</t>
    <phoneticPr fontId="1" type="noConversion"/>
  </si>
  <si>
    <t>말차</t>
    <phoneticPr fontId="1" type="noConversion"/>
  </si>
  <si>
    <t>최경식</t>
    <phoneticPr fontId="1" type="noConversion"/>
  </si>
  <si>
    <t>호담</t>
    <phoneticPr fontId="1" type="noConversion"/>
  </si>
  <si>
    <t>양혜린</t>
    <phoneticPr fontId="1" type="noConversion"/>
  </si>
  <si>
    <t>톡톡</t>
    <phoneticPr fontId="1" type="noConversion"/>
  </si>
  <si>
    <t xml:space="preserve">김면희 </t>
    <phoneticPr fontId="1" type="noConversion"/>
  </si>
  <si>
    <t>블로그</t>
    <phoneticPr fontId="1" type="noConversion"/>
  </si>
  <si>
    <t>깜비구름</t>
    <phoneticPr fontId="1" type="noConversion"/>
  </si>
  <si>
    <t>최경순</t>
    <phoneticPr fontId="1" type="noConversion"/>
  </si>
  <si>
    <t>해피</t>
    <phoneticPr fontId="1" type="noConversion"/>
  </si>
  <si>
    <t>김채영</t>
    <phoneticPr fontId="1" type="noConversion"/>
  </si>
  <si>
    <t>박현지</t>
    <phoneticPr fontId="1" type="noConversion"/>
  </si>
  <si>
    <t>로이</t>
    <phoneticPr fontId="1" type="noConversion"/>
  </si>
  <si>
    <t>무무</t>
    <phoneticPr fontId="1" type="noConversion"/>
  </si>
  <si>
    <t>박경선</t>
    <phoneticPr fontId="1" type="noConversion"/>
  </si>
  <si>
    <t>구름</t>
    <phoneticPr fontId="1" type="noConversion"/>
  </si>
  <si>
    <t>홍태라</t>
    <phoneticPr fontId="1" type="noConversion"/>
  </si>
  <si>
    <t>봄이</t>
    <phoneticPr fontId="1" type="noConversion"/>
  </si>
  <si>
    <t>박경숙</t>
    <phoneticPr fontId="1" type="noConversion"/>
  </si>
  <si>
    <t>홍</t>
    <phoneticPr fontId="1" type="noConversion"/>
  </si>
  <si>
    <t>최정현</t>
    <phoneticPr fontId="1" type="noConversion"/>
  </si>
  <si>
    <t>용품점</t>
    <phoneticPr fontId="1" type="noConversion"/>
  </si>
  <si>
    <t>튜브</t>
    <phoneticPr fontId="1" type="noConversion"/>
  </si>
  <si>
    <t>최용걸</t>
    <phoneticPr fontId="1" type="noConversion"/>
  </si>
  <si>
    <t>비트</t>
    <phoneticPr fontId="1" type="noConversion"/>
  </si>
  <si>
    <t>남유진</t>
    <phoneticPr fontId="1" type="noConversion"/>
  </si>
  <si>
    <t>처키</t>
    <phoneticPr fontId="1" type="noConversion"/>
  </si>
  <si>
    <t>미루</t>
    <phoneticPr fontId="1" type="noConversion"/>
  </si>
  <si>
    <t>정수민</t>
    <phoneticPr fontId="1" type="noConversion"/>
  </si>
  <si>
    <t>김미연</t>
    <phoneticPr fontId="1" type="noConversion"/>
  </si>
  <si>
    <t>달마</t>
    <phoneticPr fontId="1" type="noConversion"/>
  </si>
  <si>
    <t>이재일</t>
    <phoneticPr fontId="1" type="noConversion"/>
  </si>
  <si>
    <t>나루</t>
    <phoneticPr fontId="1" type="noConversion"/>
  </si>
  <si>
    <t>최유진</t>
    <phoneticPr fontId="1" type="noConversion"/>
  </si>
  <si>
    <t>임미애</t>
    <phoneticPr fontId="1" type="noConversion"/>
  </si>
  <si>
    <t>기타</t>
    <phoneticPr fontId="1" type="noConversion"/>
  </si>
  <si>
    <t>하니</t>
    <phoneticPr fontId="1" type="noConversion"/>
  </si>
  <si>
    <t>성지희</t>
    <phoneticPr fontId="1" type="noConversion"/>
  </si>
  <si>
    <t>방울이</t>
    <phoneticPr fontId="1" type="noConversion"/>
  </si>
  <si>
    <t>김태수</t>
    <phoneticPr fontId="1" type="noConversion"/>
  </si>
  <si>
    <t>토리</t>
    <phoneticPr fontId="1" type="noConversion"/>
  </si>
  <si>
    <t>최지수</t>
    <phoneticPr fontId="1" type="noConversion"/>
  </si>
  <si>
    <t>양미경</t>
    <phoneticPr fontId="1" type="noConversion"/>
  </si>
  <si>
    <t>연두</t>
    <phoneticPr fontId="1" type="noConversion"/>
  </si>
  <si>
    <t>곰순이</t>
    <phoneticPr fontId="1" type="noConversion"/>
  </si>
  <si>
    <t>양성일</t>
    <phoneticPr fontId="1" type="noConversion"/>
  </si>
  <si>
    <t>조코코</t>
    <phoneticPr fontId="1" type="noConversion"/>
  </si>
  <si>
    <t>조슬기</t>
    <phoneticPr fontId="1" type="noConversion"/>
  </si>
  <si>
    <t>두부</t>
    <phoneticPr fontId="1" type="noConversion"/>
  </si>
  <si>
    <t>김성진</t>
    <phoneticPr fontId="1" type="noConversion"/>
  </si>
  <si>
    <t>자두</t>
    <phoneticPr fontId="1" type="noConversion"/>
  </si>
  <si>
    <t>후기</t>
    <phoneticPr fontId="1" type="noConversion"/>
  </si>
  <si>
    <t>석락순</t>
    <phoneticPr fontId="1" type="noConversion"/>
  </si>
  <si>
    <t>바울</t>
    <phoneticPr fontId="1" type="noConversion"/>
  </si>
  <si>
    <t>김한울</t>
    <phoneticPr fontId="1" type="noConversion"/>
  </si>
  <si>
    <t>우디</t>
    <phoneticPr fontId="1" type="noConversion"/>
  </si>
  <si>
    <t>김승미</t>
    <phoneticPr fontId="1" type="noConversion"/>
  </si>
  <si>
    <t>우유</t>
    <phoneticPr fontId="1" type="noConversion"/>
  </si>
  <si>
    <t>크림</t>
    <phoneticPr fontId="1" type="noConversion"/>
  </si>
  <si>
    <t>박지민</t>
    <phoneticPr fontId="1" type="noConversion"/>
  </si>
  <si>
    <t>복진</t>
    <phoneticPr fontId="1" type="noConversion"/>
  </si>
  <si>
    <t>권삼숙</t>
    <phoneticPr fontId="1" type="noConversion"/>
  </si>
  <si>
    <t>쪼꼬</t>
    <phoneticPr fontId="1" type="noConversion"/>
  </si>
  <si>
    <t>산이</t>
    <phoneticPr fontId="1" type="noConversion"/>
  </si>
  <si>
    <t>임승민</t>
    <phoneticPr fontId="1" type="noConversion"/>
  </si>
  <si>
    <t>복돌이</t>
    <phoneticPr fontId="1" type="noConversion"/>
  </si>
  <si>
    <t>안영수</t>
    <phoneticPr fontId="1" type="noConversion"/>
  </si>
  <si>
    <t>제리</t>
    <phoneticPr fontId="1" type="noConversion"/>
  </si>
  <si>
    <t>홍정기</t>
    <phoneticPr fontId="1" type="noConversion"/>
  </si>
  <si>
    <t>김은경</t>
    <phoneticPr fontId="1" type="noConversion"/>
  </si>
  <si>
    <t>장수니</t>
    <phoneticPr fontId="1" type="noConversion"/>
  </si>
  <si>
    <t>김현빈</t>
    <phoneticPr fontId="1" type="noConversion"/>
  </si>
  <si>
    <t>짱아</t>
    <phoneticPr fontId="1" type="noConversion"/>
  </si>
  <si>
    <t>신혜선</t>
    <phoneticPr fontId="1" type="noConversion"/>
  </si>
  <si>
    <t>강유미</t>
    <phoneticPr fontId="1" type="noConversion"/>
  </si>
  <si>
    <t>껌</t>
    <phoneticPr fontId="1" type="noConversion"/>
  </si>
  <si>
    <t>유소연</t>
    <phoneticPr fontId="1" type="noConversion"/>
  </si>
  <si>
    <t>시아</t>
    <phoneticPr fontId="1" type="noConversion"/>
  </si>
  <si>
    <t>박지예</t>
    <phoneticPr fontId="1" type="noConversion"/>
  </si>
  <si>
    <t>예삐</t>
    <phoneticPr fontId="1" type="noConversion"/>
  </si>
  <si>
    <t>`</t>
    <phoneticPr fontId="1" type="noConversion"/>
  </si>
  <si>
    <t>김아영</t>
    <phoneticPr fontId="1" type="noConversion"/>
  </si>
  <si>
    <t>콩이</t>
    <phoneticPr fontId="1" type="noConversion"/>
  </si>
  <si>
    <t>구름이</t>
    <phoneticPr fontId="1" type="noConversion"/>
  </si>
  <si>
    <t>서경란</t>
    <phoneticPr fontId="1" type="noConversion"/>
  </si>
  <si>
    <t>쿠니</t>
    <phoneticPr fontId="1" type="noConversion"/>
  </si>
  <si>
    <t>정혜림</t>
    <phoneticPr fontId="1" type="noConversion"/>
  </si>
  <si>
    <t>카라멜</t>
    <phoneticPr fontId="1" type="noConversion"/>
  </si>
  <si>
    <t>이미순</t>
    <phoneticPr fontId="1" type="noConversion"/>
  </si>
  <si>
    <t>꼬물</t>
    <phoneticPr fontId="1" type="noConversion"/>
  </si>
  <si>
    <t>정루제</t>
    <phoneticPr fontId="1" type="noConversion"/>
  </si>
  <si>
    <t>초코</t>
    <phoneticPr fontId="1" type="noConversion"/>
  </si>
  <si>
    <t>최미선</t>
    <phoneticPr fontId="1" type="noConversion"/>
  </si>
  <si>
    <t>검색</t>
    <phoneticPr fontId="1" type="noConversion"/>
  </si>
  <si>
    <t>나인</t>
    <phoneticPr fontId="1" type="noConversion"/>
  </si>
  <si>
    <t>우민희</t>
    <phoneticPr fontId="1" type="noConversion"/>
  </si>
  <si>
    <t>도영희</t>
    <phoneticPr fontId="1" type="noConversion"/>
  </si>
  <si>
    <t>백지윤</t>
    <phoneticPr fontId="1" type="noConversion"/>
  </si>
  <si>
    <t>김도윤</t>
    <phoneticPr fontId="1" type="noConversion"/>
  </si>
  <si>
    <t>룩시</t>
    <phoneticPr fontId="1" type="noConversion"/>
  </si>
  <si>
    <t>문수현</t>
    <phoneticPr fontId="1" type="noConversion"/>
  </si>
  <si>
    <t>이슬</t>
    <phoneticPr fontId="1" type="noConversion"/>
  </si>
  <si>
    <t>김진명</t>
    <phoneticPr fontId="1" type="noConversion"/>
  </si>
  <si>
    <t>춘식이</t>
    <phoneticPr fontId="1" type="noConversion"/>
  </si>
  <si>
    <t>이지연</t>
    <phoneticPr fontId="1" type="noConversion"/>
  </si>
  <si>
    <t>똘이</t>
    <phoneticPr fontId="1" type="noConversion"/>
  </si>
  <si>
    <t>-</t>
    <phoneticPr fontId="1" type="noConversion"/>
  </si>
  <si>
    <t>김미정</t>
    <phoneticPr fontId="1" type="noConversion"/>
  </si>
  <si>
    <t>최심쿵</t>
    <phoneticPr fontId="1" type="noConversion"/>
  </si>
  <si>
    <t>최다희</t>
    <phoneticPr fontId="1" type="noConversion"/>
  </si>
  <si>
    <t>먼지</t>
    <phoneticPr fontId="1" type="noConversion"/>
  </si>
  <si>
    <t>최세영</t>
    <phoneticPr fontId="1" type="noConversion"/>
  </si>
  <si>
    <t>설봉</t>
    <phoneticPr fontId="1" type="noConversion"/>
  </si>
  <si>
    <t>김나현</t>
    <phoneticPr fontId="1" type="noConversion"/>
  </si>
  <si>
    <t>구미</t>
    <phoneticPr fontId="1" type="noConversion"/>
  </si>
  <si>
    <t>이도은</t>
    <phoneticPr fontId="1" type="noConversion"/>
  </si>
  <si>
    <t>두리</t>
    <phoneticPr fontId="1" type="noConversion"/>
  </si>
  <si>
    <t>조은영</t>
    <phoneticPr fontId="1" type="noConversion"/>
  </si>
  <si>
    <t>이유정</t>
    <phoneticPr fontId="1" type="noConversion"/>
  </si>
  <si>
    <t>아리</t>
    <phoneticPr fontId="1" type="noConversion"/>
  </si>
  <si>
    <t>박명순</t>
    <phoneticPr fontId="1" type="noConversion"/>
  </si>
  <si>
    <t>무등이</t>
    <phoneticPr fontId="1" type="noConversion"/>
  </si>
  <si>
    <t>박선미</t>
    <phoneticPr fontId="1" type="noConversion"/>
  </si>
  <si>
    <t>루키</t>
    <phoneticPr fontId="1" type="noConversion"/>
  </si>
  <si>
    <t>김지수</t>
    <phoneticPr fontId="1" type="noConversion"/>
  </si>
  <si>
    <t>보리</t>
    <phoneticPr fontId="1" type="noConversion"/>
  </si>
  <si>
    <t>김성정</t>
    <phoneticPr fontId="1" type="noConversion"/>
  </si>
  <si>
    <t>인옥순</t>
    <phoneticPr fontId="1" type="noConversion"/>
  </si>
  <si>
    <t>차차</t>
    <phoneticPr fontId="1" type="noConversion"/>
  </si>
  <si>
    <t>박상욱</t>
    <phoneticPr fontId="1" type="noConversion"/>
  </si>
  <si>
    <t>코코</t>
    <phoneticPr fontId="1" type="noConversion"/>
  </si>
  <si>
    <t>박현숙</t>
    <phoneticPr fontId="1" type="noConversion"/>
  </si>
  <si>
    <t>문규빈</t>
    <phoneticPr fontId="1" type="noConversion"/>
  </si>
  <si>
    <t>똘똘이</t>
    <phoneticPr fontId="1" type="noConversion"/>
  </si>
  <si>
    <t>박주영</t>
    <phoneticPr fontId="1" type="noConversion"/>
  </si>
  <si>
    <t>태양</t>
    <phoneticPr fontId="1" type="noConversion"/>
  </si>
  <si>
    <t>정지혜</t>
    <phoneticPr fontId="1" type="noConversion"/>
  </si>
  <si>
    <t>담시</t>
    <phoneticPr fontId="1" type="noConversion"/>
  </si>
  <si>
    <t>키티</t>
    <phoneticPr fontId="1" type="noConversion"/>
  </si>
  <si>
    <t>손해리</t>
    <phoneticPr fontId="1" type="noConversion"/>
  </si>
  <si>
    <t>아롱</t>
    <phoneticPr fontId="1" type="noConversion"/>
  </si>
  <si>
    <t>다롱</t>
    <phoneticPr fontId="1" type="noConversion"/>
  </si>
  <si>
    <t>안순덕</t>
    <phoneticPr fontId="1" type="noConversion"/>
  </si>
  <si>
    <t>보호자 성함</t>
    <phoneticPr fontId="1" type="noConversion"/>
  </si>
  <si>
    <t>내원날짜</t>
    <phoneticPr fontId="1" type="noConversion"/>
  </si>
  <si>
    <t>문은순</t>
    <phoneticPr fontId="1" type="noConversion"/>
  </si>
  <si>
    <t>장미</t>
    <phoneticPr fontId="1" type="noConversion"/>
  </si>
  <si>
    <t>주효진</t>
    <phoneticPr fontId="1" type="noConversion"/>
  </si>
  <si>
    <t>루복</t>
    <phoneticPr fontId="1" type="noConversion"/>
  </si>
  <si>
    <t>임성윤</t>
    <phoneticPr fontId="1" type="noConversion"/>
  </si>
  <si>
    <t>윤정</t>
    <phoneticPr fontId="1" type="noConversion"/>
  </si>
  <si>
    <t>비비</t>
    <phoneticPr fontId="1" type="noConversion"/>
  </si>
  <si>
    <t>노현주</t>
    <phoneticPr fontId="1" type="noConversion"/>
  </si>
  <si>
    <t>김승희</t>
    <phoneticPr fontId="1" type="noConversion"/>
  </si>
  <si>
    <t>지축</t>
    <phoneticPr fontId="1" type="noConversion"/>
  </si>
  <si>
    <t>이정순</t>
    <phoneticPr fontId="1" type="noConversion"/>
  </si>
  <si>
    <t>펩시</t>
    <phoneticPr fontId="1" type="noConversion"/>
  </si>
  <si>
    <t>다른 병원 소개</t>
    <phoneticPr fontId="1" type="noConversion"/>
  </si>
  <si>
    <t>동네 주민</t>
    <phoneticPr fontId="1" type="noConversion"/>
  </si>
  <si>
    <t>최진주</t>
    <phoneticPr fontId="1" type="noConversion"/>
  </si>
  <si>
    <t>꿀떡, 우리, 문지</t>
    <phoneticPr fontId="1" type="noConversion"/>
  </si>
  <si>
    <t>전지우</t>
    <phoneticPr fontId="1" type="noConversion"/>
  </si>
  <si>
    <t>이양순</t>
    <phoneticPr fontId="1" type="noConversion"/>
  </si>
  <si>
    <t>아망</t>
    <phoneticPr fontId="1" type="noConversion"/>
  </si>
  <si>
    <t>행복이</t>
    <phoneticPr fontId="1" type="noConversion"/>
  </si>
  <si>
    <t>최상지</t>
    <phoneticPr fontId="1" type="noConversion"/>
  </si>
  <si>
    <t>윤희송</t>
    <phoneticPr fontId="1" type="noConversion"/>
  </si>
  <si>
    <t>최경하</t>
    <phoneticPr fontId="1" type="noConversion"/>
  </si>
  <si>
    <t>김동환</t>
    <phoneticPr fontId="1" type="noConversion"/>
  </si>
  <si>
    <t>박은아</t>
    <phoneticPr fontId="1" type="noConversion"/>
  </si>
  <si>
    <t>박정실</t>
    <phoneticPr fontId="1" type="noConversion"/>
  </si>
  <si>
    <t>김단</t>
    <phoneticPr fontId="1" type="noConversion"/>
  </si>
  <si>
    <t>연아</t>
    <phoneticPr fontId="1" type="noConversion"/>
  </si>
  <si>
    <t>박중현</t>
    <phoneticPr fontId="1" type="noConversion"/>
  </si>
  <si>
    <t>박수연</t>
    <phoneticPr fontId="1" type="noConversion"/>
  </si>
  <si>
    <t>이미화</t>
    <phoneticPr fontId="1" type="noConversion"/>
  </si>
  <si>
    <t>김세정</t>
    <phoneticPr fontId="1" type="noConversion"/>
  </si>
  <si>
    <t>이재길</t>
    <phoneticPr fontId="1" type="noConversion"/>
  </si>
  <si>
    <t>꾸꾸</t>
    <phoneticPr fontId="1" type="noConversion"/>
  </si>
  <si>
    <t>이지성</t>
    <phoneticPr fontId="1" type="noConversion"/>
  </si>
  <si>
    <t>정혜진</t>
    <phoneticPr fontId="1" type="noConversion"/>
  </si>
  <si>
    <t>백나래</t>
    <phoneticPr fontId="1" type="noConversion"/>
  </si>
  <si>
    <t>최영진</t>
    <phoneticPr fontId="1" type="noConversion"/>
  </si>
  <si>
    <t>장구름</t>
    <phoneticPr fontId="1" type="noConversion"/>
  </si>
  <si>
    <t>남고은</t>
    <phoneticPr fontId="1" type="noConversion"/>
  </si>
  <si>
    <t>김정혜</t>
    <phoneticPr fontId="1" type="noConversion"/>
  </si>
  <si>
    <t>평화</t>
    <phoneticPr fontId="1" type="noConversion"/>
  </si>
  <si>
    <t>정임선</t>
    <phoneticPr fontId="1" type="noConversion"/>
  </si>
  <si>
    <t>동동이</t>
    <phoneticPr fontId="1" type="noConversion"/>
  </si>
  <si>
    <t>임은주</t>
    <phoneticPr fontId="1" type="noConversion"/>
  </si>
  <si>
    <t>밥풀</t>
    <phoneticPr fontId="1" type="noConversion"/>
  </si>
  <si>
    <t>순동이</t>
    <phoneticPr fontId="1" type="noConversion"/>
  </si>
  <si>
    <t>오희록</t>
    <phoneticPr fontId="1" type="noConversion"/>
  </si>
  <si>
    <t>다솜</t>
    <phoneticPr fontId="1" type="noConversion"/>
  </si>
  <si>
    <t>허재영</t>
    <phoneticPr fontId="1" type="noConversion"/>
  </si>
  <si>
    <t>루루</t>
    <phoneticPr fontId="1" type="noConversion"/>
  </si>
  <si>
    <t>반반이</t>
    <phoneticPr fontId="1" type="noConversion"/>
  </si>
  <si>
    <t/>
  </si>
  <si>
    <t>이은경</t>
    <phoneticPr fontId="1" type="noConversion"/>
  </si>
  <si>
    <t>손천의</t>
    <phoneticPr fontId="1" type="noConversion"/>
  </si>
  <si>
    <t>살구</t>
    <phoneticPr fontId="1" type="noConversion"/>
  </si>
  <si>
    <t>김종현</t>
    <phoneticPr fontId="1" type="noConversion"/>
  </si>
  <si>
    <t>말순이</t>
    <phoneticPr fontId="1" type="noConversion"/>
  </si>
  <si>
    <t>신은경</t>
    <phoneticPr fontId="1" type="noConversion"/>
  </si>
  <si>
    <t>까루</t>
    <phoneticPr fontId="1" type="noConversion"/>
  </si>
  <si>
    <t>최유미</t>
    <phoneticPr fontId="1" type="noConversion"/>
  </si>
  <si>
    <t>강선희</t>
    <phoneticPr fontId="1" type="noConversion"/>
  </si>
  <si>
    <t>이형운</t>
    <phoneticPr fontId="1" type="noConversion"/>
  </si>
  <si>
    <t>신중산</t>
    <phoneticPr fontId="1" type="noConversion"/>
  </si>
  <si>
    <t>이지아</t>
    <phoneticPr fontId="1" type="noConversion"/>
  </si>
  <si>
    <t>방실</t>
    <phoneticPr fontId="1" type="noConversion"/>
  </si>
  <si>
    <t>오영호</t>
    <phoneticPr fontId="1" type="noConversion"/>
  </si>
  <si>
    <t>박영주</t>
    <phoneticPr fontId="1" type="noConversion"/>
  </si>
  <si>
    <t>코리</t>
    <phoneticPr fontId="1" type="noConversion"/>
  </si>
  <si>
    <t>박진아</t>
    <phoneticPr fontId="1" type="noConversion"/>
  </si>
  <si>
    <t>뚜뚜</t>
    <phoneticPr fontId="1" type="noConversion"/>
  </si>
  <si>
    <t>김영숙</t>
    <phoneticPr fontId="1" type="noConversion"/>
  </si>
  <si>
    <t>포미</t>
    <phoneticPr fontId="1" type="noConversion"/>
  </si>
  <si>
    <t>김경진</t>
    <phoneticPr fontId="1" type="noConversion"/>
  </si>
  <si>
    <t>뭉크</t>
    <phoneticPr fontId="1" type="noConversion"/>
  </si>
  <si>
    <t>장병준</t>
    <phoneticPr fontId="1" type="noConversion"/>
  </si>
  <si>
    <t>이지윤</t>
    <phoneticPr fontId="1" type="noConversion"/>
  </si>
  <si>
    <t>호둥이</t>
    <phoneticPr fontId="1" type="noConversion"/>
  </si>
  <si>
    <t>허정수</t>
    <phoneticPr fontId="1" type="noConversion"/>
  </si>
  <si>
    <t>김유나</t>
    <phoneticPr fontId="1" type="noConversion"/>
  </si>
  <si>
    <t>바니</t>
    <phoneticPr fontId="1" type="noConversion"/>
  </si>
  <si>
    <t>장정록</t>
    <phoneticPr fontId="1" type="noConversion"/>
  </si>
  <si>
    <t>김소연</t>
    <phoneticPr fontId="1" type="noConversion"/>
  </si>
  <si>
    <t>베티</t>
    <phoneticPr fontId="1" type="noConversion"/>
  </si>
  <si>
    <t>이영란</t>
    <phoneticPr fontId="1" type="noConversion"/>
  </si>
  <si>
    <t>토이</t>
    <phoneticPr fontId="1" type="noConversion"/>
  </si>
  <si>
    <t>이사</t>
    <phoneticPr fontId="1" type="noConversion"/>
  </si>
  <si>
    <t>박은수</t>
    <phoneticPr fontId="1" type="noConversion"/>
  </si>
  <si>
    <t>봉이</t>
    <phoneticPr fontId="1" type="noConversion"/>
  </si>
  <si>
    <t>김원중</t>
    <phoneticPr fontId="1" type="noConversion"/>
  </si>
  <si>
    <t>로또</t>
    <phoneticPr fontId="1" type="noConversion"/>
  </si>
  <si>
    <t>김진양</t>
    <phoneticPr fontId="1" type="noConversion"/>
  </si>
  <si>
    <t>최덕환</t>
    <phoneticPr fontId="1" type="noConversion"/>
  </si>
  <si>
    <t>알새</t>
    <phoneticPr fontId="1" type="noConversion"/>
  </si>
  <si>
    <t>박현웅</t>
    <phoneticPr fontId="1" type="noConversion"/>
  </si>
  <si>
    <t>결이</t>
    <phoneticPr fontId="1" type="noConversion"/>
  </si>
  <si>
    <t>정해인</t>
    <phoneticPr fontId="1" type="noConversion"/>
  </si>
  <si>
    <t>해나</t>
    <phoneticPr fontId="1" type="noConversion"/>
  </si>
  <si>
    <t>김찬중</t>
    <phoneticPr fontId="1" type="noConversion"/>
  </si>
  <si>
    <t>김정호</t>
    <phoneticPr fontId="1" type="noConversion"/>
  </si>
  <si>
    <t>정소라</t>
    <phoneticPr fontId="1" type="noConversion"/>
  </si>
  <si>
    <t>하준혁</t>
    <phoneticPr fontId="1" type="noConversion"/>
  </si>
  <si>
    <t>유현주</t>
    <phoneticPr fontId="1" type="noConversion"/>
  </si>
  <si>
    <t>소망</t>
    <phoneticPr fontId="1" type="noConversion"/>
  </si>
  <si>
    <t>최보람</t>
    <phoneticPr fontId="1" type="noConversion"/>
  </si>
  <si>
    <t>송미경</t>
    <phoneticPr fontId="1" type="noConversion"/>
  </si>
  <si>
    <t>채병선</t>
    <phoneticPr fontId="1" type="noConversion"/>
  </si>
  <si>
    <t>임광일</t>
    <phoneticPr fontId="1" type="noConversion"/>
  </si>
  <si>
    <t>금순이</t>
    <phoneticPr fontId="1" type="noConversion"/>
  </si>
  <si>
    <t>전예은</t>
    <phoneticPr fontId="1" type="noConversion"/>
  </si>
  <si>
    <t>단,탄</t>
    <phoneticPr fontId="1" type="noConversion"/>
  </si>
  <si>
    <t>배현순</t>
    <phoneticPr fontId="1" type="noConversion"/>
  </si>
  <si>
    <t>쉐리</t>
    <phoneticPr fontId="1" type="noConversion"/>
  </si>
  <si>
    <t>조혜인</t>
    <phoneticPr fontId="1" type="noConversion"/>
  </si>
  <si>
    <t>박인혁</t>
    <phoneticPr fontId="1" type="noConversion"/>
  </si>
  <si>
    <t>서유진</t>
  </si>
  <si>
    <t>윤성민</t>
    <phoneticPr fontId="1" type="noConversion"/>
  </si>
  <si>
    <t>파랑</t>
    <phoneticPr fontId="1" type="noConversion"/>
  </si>
  <si>
    <t>미유</t>
    <phoneticPr fontId="1" type="noConversion"/>
  </si>
  <si>
    <t>양은정</t>
    <phoneticPr fontId="1" type="noConversion"/>
  </si>
  <si>
    <t>짱구</t>
    <phoneticPr fontId="1" type="noConversion"/>
  </si>
  <si>
    <t>한택구</t>
    <phoneticPr fontId="1" type="noConversion"/>
  </si>
  <si>
    <t>앙리</t>
    <phoneticPr fontId="1" type="noConversion"/>
  </si>
  <si>
    <t>윤희준</t>
    <phoneticPr fontId="1" type="noConversion"/>
  </si>
  <si>
    <t>첼시</t>
    <phoneticPr fontId="1" type="noConversion"/>
  </si>
  <si>
    <t>장혜정</t>
    <phoneticPr fontId="1" type="noConversion"/>
  </si>
  <si>
    <t>똑겁이</t>
    <phoneticPr fontId="1" type="noConversion"/>
  </si>
  <si>
    <t>하경선</t>
    <phoneticPr fontId="1" type="noConversion"/>
  </si>
  <si>
    <t>최기영</t>
    <phoneticPr fontId="1" type="noConversion"/>
  </si>
  <si>
    <t>타이거</t>
    <phoneticPr fontId="1" type="noConversion"/>
  </si>
  <si>
    <t>조은예</t>
    <phoneticPr fontId="1" type="noConversion"/>
  </si>
  <si>
    <t>최문주</t>
    <phoneticPr fontId="1" type="noConversion"/>
  </si>
  <si>
    <t>미르</t>
    <phoneticPr fontId="1" type="noConversion"/>
  </si>
  <si>
    <t>인터넷 검색</t>
    <phoneticPr fontId="1" type="noConversion"/>
  </si>
  <si>
    <t>이채원</t>
    <phoneticPr fontId="1" type="noConversion"/>
  </si>
  <si>
    <t>쿠링</t>
    <phoneticPr fontId="1" type="noConversion"/>
  </si>
  <si>
    <t>이현채</t>
    <phoneticPr fontId="1" type="noConversion"/>
  </si>
  <si>
    <t>순이</t>
    <phoneticPr fontId="1" type="noConversion"/>
  </si>
  <si>
    <t>장세은</t>
    <phoneticPr fontId="1" type="noConversion"/>
  </si>
  <si>
    <t>꼬미</t>
    <phoneticPr fontId="1" type="noConversion"/>
  </si>
  <si>
    <t>고형빈</t>
    <phoneticPr fontId="1" type="noConversion"/>
  </si>
  <si>
    <t>호두</t>
    <phoneticPr fontId="1" type="noConversion"/>
  </si>
  <si>
    <t>윤진이</t>
    <phoneticPr fontId="1" type="noConversion"/>
  </si>
  <si>
    <t>사랑</t>
    <phoneticPr fontId="1" type="noConversion"/>
  </si>
  <si>
    <t>최현웅</t>
    <phoneticPr fontId="1" type="noConversion"/>
  </si>
  <si>
    <t>밤</t>
    <phoneticPr fontId="1" type="noConversion"/>
  </si>
  <si>
    <t>박현영</t>
    <phoneticPr fontId="1" type="noConversion"/>
  </si>
  <si>
    <t>애옹이</t>
    <phoneticPr fontId="1" type="noConversion"/>
  </si>
  <si>
    <t>지인 소개</t>
    <phoneticPr fontId="1" type="noConversion"/>
  </si>
  <si>
    <t>정준우</t>
    <phoneticPr fontId="1" type="noConversion"/>
  </si>
  <si>
    <t>리코</t>
    <phoneticPr fontId="1" type="noConversion"/>
  </si>
  <si>
    <t>박향금</t>
    <phoneticPr fontId="1" type="noConversion"/>
  </si>
  <si>
    <t>냥</t>
    <phoneticPr fontId="1" type="noConversion"/>
  </si>
  <si>
    <t>김수빈</t>
    <phoneticPr fontId="1" type="noConversion"/>
  </si>
  <si>
    <t>꾸니</t>
    <phoneticPr fontId="1" type="noConversion"/>
  </si>
  <si>
    <t>오용주</t>
    <phoneticPr fontId="1" type="noConversion"/>
  </si>
  <si>
    <t>가을이</t>
    <phoneticPr fontId="1" type="noConversion"/>
  </si>
  <si>
    <t>정승희</t>
    <phoneticPr fontId="1" type="noConversion"/>
  </si>
  <si>
    <t>딱풀</t>
    <phoneticPr fontId="1" type="noConversion"/>
  </si>
  <si>
    <t>김은혜</t>
    <phoneticPr fontId="1" type="noConversion"/>
  </si>
  <si>
    <t>로나</t>
    <phoneticPr fontId="1" type="noConversion"/>
  </si>
  <si>
    <t>최숙순</t>
    <phoneticPr fontId="1" type="noConversion"/>
  </si>
  <si>
    <t>단비</t>
    <phoneticPr fontId="1" type="noConversion"/>
  </si>
  <si>
    <t>기타</t>
    <phoneticPr fontId="1" type="noConversion"/>
  </si>
  <si>
    <t>박은향</t>
    <phoneticPr fontId="1" type="noConversion"/>
  </si>
  <si>
    <t>녹두</t>
    <phoneticPr fontId="1" type="noConversion"/>
  </si>
  <si>
    <t>문지영</t>
    <phoneticPr fontId="1" type="noConversion"/>
  </si>
  <si>
    <t>초코</t>
    <phoneticPr fontId="1" type="noConversion"/>
  </si>
  <si>
    <t>최선자</t>
    <phoneticPr fontId="1" type="noConversion"/>
  </si>
  <si>
    <t>호박</t>
    <phoneticPr fontId="1" type="noConversion"/>
  </si>
  <si>
    <t>김유하</t>
    <phoneticPr fontId="1" type="noConversion"/>
  </si>
  <si>
    <t>라떼</t>
    <phoneticPr fontId="1" type="noConversion"/>
  </si>
  <si>
    <t>깜순이</t>
    <phoneticPr fontId="1" type="noConversion"/>
  </si>
  <si>
    <t>김숙영</t>
    <phoneticPr fontId="1" type="noConversion"/>
  </si>
  <si>
    <t>전창규</t>
    <phoneticPr fontId="1" type="noConversion"/>
  </si>
  <si>
    <t>우유</t>
    <phoneticPr fontId="1" type="noConversion"/>
  </si>
  <si>
    <t>조연희</t>
    <phoneticPr fontId="1" type="noConversion"/>
  </si>
  <si>
    <t>꿍이</t>
    <phoneticPr fontId="1" type="noConversion"/>
  </si>
  <si>
    <t>고상연</t>
    <phoneticPr fontId="1" type="noConversion"/>
  </si>
  <si>
    <t>설탕</t>
    <phoneticPr fontId="1" type="noConversion"/>
  </si>
  <si>
    <t>장경우</t>
    <phoneticPr fontId="1" type="noConversion"/>
  </si>
  <si>
    <t>우릉</t>
    <phoneticPr fontId="1" type="noConversion"/>
  </si>
  <si>
    <t>박종영</t>
    <phoneticPr fontId="1" type="noConversion"/>
  </si>
  <si>
    <t>뽀미</t>
    <phoneticPr fontId="1" type="noConversion"/>
  </si>
  <si>
    <t>한유선</t>
    <phoneticPr fontId="1" type="noConversion"/>
  </si>
  <si>
    <t>요미</t>
    <phoneticPr fontId="1" type="noConversion"/>
  </si>
  <si>
    <t>한민숙</t>
    <phoneticPr fontId="1" type="noConversion"/>
  </si>
  <si>
    <t>망꼬</t>
    <phoneticPr fontId="1" type="noConversion"/>
  </si>
  <si>
    <t>이소라</t>
    <phoneticPr fontId="1" type="noConversion"/>
  </si>
  <si>
    <t>만두</t>
    <phoneticPr fontId="1" type="noConversion"/>
  </si>
  <si>
    <t>김채원</t>
    <phoneticPr fontId="1" type="noConversion"/>
  </si>
  <si>
    <t>늘보</t>
    <phoneticPr fontId="1" type="noConversion"/>
  </si>
  <si>
    <t>황주연</t>
    <phoneticPr fontId="1" type="noConversion"/>
  </si>
  <si>
    <t>레오</t>
    <phoneticPr fontId="1" type="noConversion"/>
  </si>
  <si>
    <t>최유미</t>
    <phoneticPr fontId="1" type="noConversion"/>
  </si>
  <si>
    <t>미카</t>
    <phoneticPr fontId="1" type="noConversion"/>
  </si>
  <si>
    <t>정희숙</t>
    <phoneticPr fontId="1" type="noConversion"/>
  </si>
  <si>
    <t>모모</t>
    <phoneticPr fontId="1" type="noConversion"/>
  </si>
  <si>
    <t>이혜인</t>
    <phoneticPr fontId="1" type="noConversion"/>
  </si>
  <si>
    <t>쿠키</t>
    <phoneticPr fontId="1" type="noConversion"/>
  </si>
  <si>
    <t>김한별</t>
    <phoneticPr fontId="1" type="noConversion"/>
  </si>
  <si>
    <t>메이</t>
    <phoneticPr fontId="1" type="noConversion"/>
  </si>
  <si>
    <t>다른 병원 소개</t>
    <phoneticPr fontId="1" type="noConversion"/>
  </si>
  <si>
    <t>이혜경</t>
    <phoneticPr fontId="1" type="noConversion"/>
  </si>
  <si>
    <t>엄지</t>
    <phoneticPr fontId="1" type="noConversion"/>
  </si>
  <si>
    <t>김현명</t>
    <phoneticPr fontId="1" type="noConversion"/>
  </si>
  <si>
    <t>여울</t>
    <phoneticPr fontId="1" type="noConversion"/>
  </si>
  <si>
    <t>김근향</t>
    <phoneticPr fontId="1" type="noConversion"/>
  </si>
  <si>
    <t>망고댁</t>
    <phoneticPr fontId="1" type="noConversion"/>
  </si>
  <si>
    <t>김미선</t>
    <phoneticPr fontId="1" type="noConversion"/>
  </si>
  <si>
    <t>폴리</t>
    <phoneticPr fontId="1" type="noConversion"/>
  </si>
  <si>
    <t>심규리</t>
    <phoneticPr fontId="1" type="noConversion"/>
  </si>
  <si>
    <t>메리</t>
    <phoneticPr fontId="1" type="noConversion"/>
  </si>
  <si>
    <t>김연지</t>
    <phoneticPr fontId="1" type="noConversion"/>
  </si>
  <si>
    <t>김애옹</t>
    <phoneticPr fontId="1" type="noConversion"/>
  </si>
  <si>
    <t>김정윤</t>
    <phoneticPr fontId="1" type="noConversion"/>
  </si>
  <si>
    <t>냥이</t>
    <phoneticPr fontId="1" type="noConversion"/>
  </si>
  <si>
    <t>이보영</t>
    <phoneticPr fontId="1" type="noConversion"/>
  </si>
  <si>
    <t>박사</t>
    <phoneticPr fontId="1" type="noConversion"/>
  </si>
  <si>
    <t>장춘여</t>
    <phoneticPr fontId="1" type="noConversion"/>
  </si>
  <si>
    <t>보리</t>
    <phoneticPr fontId="1" type="noConversion"/>
  </si>
  <si>
    <t>송윤미</t>
    <phoneticPr fontId="1" type="noConversion"/>
  </si>
  <si>
    <t>송아지</t>
    <phoneticPr fontId="1" type="noConversion"/>
  </si>
  <si>
    <t>조하윤</t>
    <phoneticPr fontId="1" type="noConversion"/>
  </si>
  <si>
    <t>체리</t>
    <phoneticPr fontId="1" type="noConversion"/>
  </si>
  <si>
    <t>최송이</t>
    <phoneticPr fontId="1" type="noConversion"/>
  </si>
  <si>
    <t>또치</t>
    <phoneticPr fontId="1" type="noConversion"/>
  </si>
  <si>
    <t>김소선</t>
    <phoneticPr fontId="1" type="noConversion"/>
  </si>
  <si>
    <t>자두</t>
    <phoneticPr fontId="1" type="noConversion"/>
  </si>
  <si>
    <t>박미영</t>
    <phoneticPr fontId="1" type="noConversion"/>
  </si>
  <si>
    <t>희망</t>
    <phoneticPr fontId="1" type="noConversion"/>
  </si>
  <si>
    <t>강명화</t>
    <phoneticPr fontId="1" type="noConversion"/>
  </si>
  <si>
    <t>행복이</t>
    <phoneticPr fontId="1" type="noConversion"/>
  </si>
  <si>
    <t>윤혜경</t>
    <phoneticPr fontId="1" type="noConversion"/>
  </si>
  <si>
    <t>뭉치</t>
    <phoneticPr fontId="1" type="noConversion"/>
  </si>
  <si>
    <t>신창균</t>
    <phoneticPr fontId="1" type="noConversion"/>
  </si>
  <si>
    <t>지코</t>
    <phoneticPr fontId="1" type="noConversion"/>
  </si>
  <si>
    <t>최혜정</t>
    <phoneticPr fontId="1" type="noConversion"/>
  </si>
  <si>
    <t>정일호</t>
    <phoneticPr fontId="1" type="noConversion"/>
  </si>
  <si>
    <t>하루</t>
    <phoneticPr fontId="1" type="noConversion"/>
  </si>
  <si>
    <t>김다혜</t>
    <phoneticPr fontId="1" type="noConversion"/>
  </si>
  <si>
    <t>김겨울</t>
    <phoneticPr fontId="1" type="noConversion"/>
  </si>
  <si>
    <t>고성범</t>
    <phoneticPr fontId="1" type="noConversion"/>
  </si>
  <si>
    <t>와칸다</t>
    <phoneticPr fontId="1" type="noConversion"/>
  </si>
  <si>
    <t>오숙례</t>
    <phoneticPr fontId="1" type="noConversion"/>
  </si>
  <si>
    <t>크림</t>
    <phoneticPr fontId="1" type="noConversion"/>
  </si>
  <si>
    <t>유우선</t>
    <phoneticPr fontId="1" type="noConversion"/>
  </si>
  <si>
    <t>레옹</t>
    <phoneticPr fontId="1" type="noConversion"/>
  </si>
  <si>
    <t>양수빈</t>
    <phoneticPr fontId="1" type="noConversion"/>
  </si>
  <si>
    <t>관식이</t>
    <phoneticPr fontId="1" type="noConversion"/>
  </si>
  <si>
    <t>이승주</t>
    <phoneticPr fontId="1" type="noConversion"/>
  </si>
  <si>
    <t>주주</t>
    <phoneticPr fontId="1" type="noConversion"/>
  </si>
  <si>
    <t>김선영</t>
    <phoneticPr fontId="1" type="noConversion"/>
  </si>
  <si>
    <t>볼매</t>
    <phoneticPr fontId="1" type="noConversion"/>
  </si>
  <si>
    <t>고지희</t>
    <phoneticPr fontId="1" type="noConversion"/>
  </si>
  <si>
    <t>구월</t>
    <phoneticPr fontId="1" type="noConversion"/>
  </si>
  <si>
    <t>나승현</t>
    <phoneticPr fontId="1" type="noConversion"/>
  </si>
  <si>
    <t>나똘이</t>
    <phoneticPr fontId="1" type="noConversion"/>
  </si>
  <si>
    <t>윤외정</t>
    <phoneticPr fontId="1" type="noConversion"/>
  </si>
  <si>
    <t>아이</t>
    <phoneticPr fontId="1" type="noConversion"/>
  </si>
  <si>
    <t>노송이</t>
    <phoneticPr fontId="1" type="noConversion"/>
  </si>
  <si>
    <t>이사</t>
    <phoneticPr fontId="1" type="noConversion"/>
  </si>
  <si>
    <t>윤희진</t>
    <phoneticPr fontId="1" type="noConversion"/>
  </si>
  <si>
    <t>박조은</t>
    <phoneticPr fontId="1" type="noConversion"/>
  </si>
  <si>
    <t>신운용</t>
    <phoneticPr fontId="1" type="noConversion"/>
  </si>
  <si>
    <t>최광순</t>
    <phoneticPr fontId="1" type="noConversion"/>
  </si>
  <si>
    <t>강미영</t>
    <phoneticPr fontId="1" type="noConversion"/>
  </si>
  <si>
    <t>정회훈</t>
    <phoneticPr fontId="1" type="noConversion"/>
  </si>
  <si>
    <t>강다현</t>
    <phoneticPr fontId="1" type="noConversion"/>
  </si>
  <si>
    <t>이은옥</t>
    <phoneticPr fontId="1" type="noConversion"/>
  </si>
  <si>
    <t>또봉이</t>
    <phoneticPr fontId="1" type="noConversion"/>
  </si>
  <si>
    <t>전민겸</t>
    <phoneticPr fontId="1" type="noConversion"/>
  </si>
  <si>
    <t>이지은</t>
    <phoneticPr fontId="1" type="noConversion"/>
  </si>
  <si>
    <t>김태선</t>
    <phoneticPr fontId="1" type="noConversion"/>
  </si>
  <si>
    <t>김솜</t>
    <phoneticPr fontId="1" type="noConversion"/>
  </si>
  <si>
    <t>박건오</t>
    <phoneticPr fontId="1" type="noConversion"/>
  </si>
  <si>
    <t>김경희</t>
    <phoneticPr fontId="1" type="noConversion"/>
  </si>
  <si>
    <t>이분점</t>
    <phoneticPr fontId="1" type="noConversion"/>
  </si>
  <si>
    <t>안애란</t>
    <phoneticPr fontId="1" type="noConversion"/>
  </si>
  <si>
    <t>순덕이</t>
    <phoneticPr fontId="1" type="noConversion"/>
  </si>
  <si>
    <t>박소영</t>
    <phoneticPr fontId="1" type="noConversion"/>
  </si>
  <si>
    <t>김나연</t>
    <phoneticPr fontId="1" type="noConversion"/>
  </si>
  <si>
    <t>럭스</t>
    <phoneticPr fontId="1" type="noConversion"/>
  </si>
  <si>
    <t>김용우,정은주</t>
    <phoneticPr fontId="1" type="noConversion"/>
  </si>
  <si>
    <t>레몽</t>
    <phoneticPr fontId="1" type="noConversion"/>
  </si>
  <si>
    <t>김원지</t>
    <phoneticPr fontId="1" type="noConversion"/>
  </si>
  <si>
    <t>너구리</t>
    <phoneticPr fontId="1" type="noConversion"/>
  </si>
  <si>
    <t>고윤서</t>
    <phoneticPr fontId="1" type="noConversion"/>
  </si>
  <si>
    <t>식혜</t>
    <phoneticPr fontId="1" type="noConversion"/>
  </si>
  <si>
    <t>천종숙</t>
    <phoneticPr fontId="1" type="noConversion"/>
  </si>
  <si>
    <t>여우</t>
    <phoneticPr fontId="1" type="noConversion"/>
  </si>
  <si>
    <t>이진현</t>
    <phoneticPr fontId="1" type="noConversion"/>
  </si>
  <si>
    <t>호떡</t>
    <phoneticPr fontId="1" type="noConversion"/>
  </si>
  <si>
    <t>장원형</t>
    <phoneticPr fontId="1" type="noConversion"/>
  </si>
  <si>
    <t>코코</t>
    <phoneticPr fontId="1" type="noConversion"/>
  </si>
  <si>
    <t>유소영</t>
    <phoneticPr fontId="1" type="noConversion"/>
  </si>
  <si>
    <t>찌무</t>
    <phoneticPr fontId="1" type="noConversion"/>
  </si>
  <si>
    <t>박혜민</t>
    <phoneticPr fontId="1" type="noConversion"/>
  </si>
  <si>
    <t>아츄</t>
    <phoneticPr fontId="1" type="noConversion"/>
  </si>
  <si>
    <t>정새롬</t>
    <phoneticPr fontId="1" type="noConversion"/>
  </si>
  <si>
    <t>칸쵸</t>
    <phoneticPr fontId="1" type="noConversion"/>
  </si>
  <si>
    <t>전혜남</t>
    <phoneticPr fontId="1" type="noConversion"/>
  </si>
  <si>
    <t>로또</t>
    <phoneticPr fontId="1" type="noConversion"/>
  </si>
  <si>
    <t>기타</t>
    <phoneticPr fontId="1" type="noConversion"/>
  </si>
  <si>
    <t>전소희</t>
    <phoneticPr fontId="1" type="noConversion"/>
  </si>
  <si>
    <t>탄이</t>
    <phoneticPr fontId="1" type="noConversion"/>
  </si>
  <si>
    <t>박유미</t>
    <phoneticPr fontId="1" type="noConversion"/>
  </si>
  <si>
    <t>다투</t>
    <phoneticPr fontId="1" type="noConversion"/>
  </si>
  <si>
    <t>현수빈</t>
    <phoneticPr fontId="1" type="noConversion"/>
  </si>
  <si>
    <t>꾸꾸</t>
    <phoneticPr fontId="1" type="noConversion"/>
  </si>
  <si>
    <t>허영신</t>
    <phoneticPr fontId="1" type="noConversion"/>
  </si>
  <si>
    <t>보리</t>
    <phoneticPr fontId="1" type="noConversion"/>
  </si>
  <si>
    <t>보호소 소개</t>
    <phoneticPr fontId="1" type="noConversion"/>
  </si>
  <si>
    <t>김가윤</t>
    <phoneticPr fontId="1" type="noConversion"/>
  </si>
  <si>
    <t>키티</t>
    <phoneticPr fontId="1" type="noConversion"/>
  </si>
  <si>
    <t>장미란</t>
    <phoneticPr fontId="1" type="noConversion"/>
  </si>
  <si>
    <t>초롱이</t>
    <phoneticPr fontId="1" type="noConversion"/>
  </si>
  <si>
    <t>이종완</t>
    <phoneticPr fontId="1" type="noConversion"/>
  </si>
  <si>
    <t>뽐이</t>
    <phoneticPr fontId="1" type="noConversion"/>
  </si>
  <si>
    <t>이동민</t>
    <phoneticPr fontId="1" type="noConversion"/>
  </si>
  <si>
    <t>김감자</t>
    <phoneticPr fontId="1" type="noConversion"/>
  </si>
  <si>
    <t>김채현</t>
    <phoneticPr fontId="1" type="noConversion"/>
  </si>
  <si>
    <t>두리</t>
    <phoneticPr fontId="1" type="noConversion"/>
  </si>
  <si>
    <t>카이</t>
    <phoneticPr fontId="1" type="noConversion"/>
  </si>
  <si>
    <t>김다영</t>
    <phoneticPr fontId="1" type="noConversion"/>
  </si>
  <si>
    <t>양유순</t>
    <phoneticPr fontId="1" type="noConversion"/>
  </si>
  <si>
    <t>소미</t>
    <phoneticPr fontId="1" type="noConversion"/>
  </si>
  <si>
    <t>기타</t>
    <phoneticPr fontId="1" type="noConversion"/>
  </si>
  <si>
    <t>전효정</t>
    <phoneticPr fontId="1" type="noConversion"/>
  </si>
  <si>
    <t>꼬뭉</t>
    <phoneticPr fontId="1" type="noConversion"/>
  </si>
  <si>
    <t>김종남</t>
    <phoneticPr fontId="1" type="noConversion"/>
  </si>
  <si>
    <t>수정</t>
    <phoneticPr fontId="1" type="noConversion"/>
  </si>
  <si>
    <t>김종일</t>
    <phoneticPr fontId="1" type="noConversion"/>
  </si>
  <si>
    <t>타로</t>
    <phoneticPr fontId="1" type="noConversion"/>
  </si>
  <si>
    <t>나혜진</t>
    <phoneticPr fontId="1" type="noConversion"/>
  </si>
  <si>
    <t>땅콩</t>
    <phoneticPr fontId="1" type="noConversion"/>
  </si>
  <si>
    <t>송예진</t>
    <phoneticPr fontId="1" type="noConversion"/>
  </si>
  <si>
    <t>밤이</t>
    <phoneticPr fontId="1" type="noConversion"/>
  </si>
  <si>
    <t>로키</t>
    <phoneticPr fontId="1" type="noConversion"/>
  </si>
  <si>
    <t>허윤회</t>
    <phoneticPr fontId="1" type="noConversion"/>
  </si>
  <si>
    <t>강윤주</t>
    <phoneticPr fontId="1" type="noConversion"/>
  </si>
  <si>
    <t>크롱이</t>
    <phoneticPr fontId="1" type="noConversion"/>
  </si>
  <si>
    <t>전민경</t>
    <phoneticPr fontId="1" type="noConversion"/>
  </si>
  <si>
    <t>쿠키</t>
    <phoneticPr fontId="1" type="noConversion"/>
  </si>
  <si>
    <t>최정현</t>
    <phoneticPr fontId="1" type="noConversion"/>
  </si>
  <si>
    <t>리키</t>
    <phoneticPr fontId="1" type="noConversion"/>
  </si>
  <si>
    <t>임수연</t>
    <phoneticPr fontId="1" type="noConversion"/>
  </si>
  <si>
    <t>곽영미</t>
    <phoneticPr fontId="1" type="noConversion"/>
  </si>
  <si>
    <t>미키</t>
    <phoneticPr fontId="1" type="noConversion"/>
  </si>
  <si>
    <t>박창선</t>
    <phoneticPr fontId="1" type="noConversion"/>
  </si>
  <si>
    <t>망고</t>
    <phoneticPr fontId="1" type="noConversion"/>
  </si>
  <si>
    <t>오미란</t>
    <phoneticPr fontId="1" type="noConversion"/>
  </si>
  <si>
    <t>버터</t>
    <phoneticPr fontId="1" type="noConversion"/>
  </si>
  <si>
    <t>꽃돌이</t>
    <phoneticPr fontId="1" type="noConversion"/>
  </si>
  <si>
    <t>주정은</t>
    <phoneticPr fontId="1" type="noConversion"/>
  </si>
  <si>
    <t>정미</t>
    <phoneticPr fontId="1" type="noConversion"/>
  </si>
  <si>
    <t>채리</t>
    <phoneticPr fontId="1" type="noConversion"/>
  </si>
  <si>
    <t>홍재원</t>
    <phoneticPr fontId="1" type="noConversion"/>
  </si>
  <si>
    <t>설</t>
    <phoneticPr fontId="1" type="noConversion"/>
  </si>
  <si>
    <t>권다영</t>
    <phoneticPr fontId="1" type="noConversion"/>
  </si>
  <si>
    <t xml:space="preserve">콩 </t>
    <phoneticPr fontId="1" type="noConversion"/>
  </si>
  <si>
    <t>조수연</t>
    <phoneticPr fontId="1" type="noConversion"/>
  </si>
  <si>
    <t>칠복이</t>
    <phoneticPr fontId="1" type="noConversion"/>
  </si>
  <si>
    <t>김혜림</t>
    <phoneticPr fontId="1" type="noConversion"/>
  </si>
  <si>
    <t>몽이</t>
    <phoneticPr fontId="1" type="noConversion"/>
  </si>
  <si>
    <t>오가유리</t>
    <phoneticPr fontId="1" type="noConversion"/>
  </si>
  <si>
    <t>구름이</t>
    <phoneticPr fontId="1" type="noConversion"/>
  </si>
  <si>
    <t>문예지</t>
    <phoneticPr fontId="1" type="noConversion"/>
  </si>
  <si>
    <t>완두</t>
    <phoneticPr fontId="1" type="noConversion"/>
  </si>
  <si>
    <t>신호준</t>
    <phoneticPr fontId="1" type="noConversion"/>
  </si>
  <si>
    <t>신난다</t>
    <phoneticPr fontId="1" type="noConversion"/>
  </si>
  <si>
    <t>정은숙</t>
    <phoneticPr fontId="1" type="noConversion"/>
  </si>
  <si>
    <t>카레</t>
    <phoneticPr fontId="1" type="noConversion"/>
  </si>
  <si>
    <t>조영미</t>
    <phoneticPr fontId="1" type="noConversion"/>
  </si>
  <si>
    <t>풀리</t>
    <phoneticPr fontId="1" type="noConversion"/>
  </si>
  <si>
    <t>김준영</t>
    <phoneticPr fontId="1" type="noConversion"/>
  </si>
  <si>
    <t>마루</t>
    <phoneticPr fontId="1" type="noConversion"/>
  </si>
  <si>
    <t>김경미</t>
    <phoneticPr fontId="1" type="noConversion"/>
  </si>
  <si>
    <t>또아</t>
    <phoneticPr fontId="1" type="noConversion"/>
  </si>
  <si>
    <t>최연희</t>
    <phoneticPr fontId="1" type="noConversion"/>
  </si>
  <si>
    <t>떠꾸</t>
    <phoneticPr fontId="1" type="noConversion"/>
  </si>
  <si>
    <t>서현정</t>
    <phoneticPr fontId="1" type="noConversion"/>
  </si>
  <si>
    <t>오정환</t>
    <phoneticPr fontId="1" type="noConversion"/>
  </si>
  <si>
    <t>김희원</t>
    <phoneticPr fontId="1" type="noConversion"/>
  </si>
  <si>
    <t>카누</t>
    <phoneticPr fontId="1" type="noConversion"/>
  </si>
  <si>
    <t>유주현</t>
    <phoneticPr fontId="1" type="noConversion"/>
  </si>
  <si>
    <t>랑이</t>
    <phoneticPr fontId="1" type="noConversion"/>
  </si>
  <si>
    <t>송수권</t>
    <phoneticPr fontId="1" type="noConversion"/>
  </si>
  <si>
    <t>권아람</t>
    <phoneticPr fontId="1" type="noConversion"/>
  </si>
  <si>
    <t>신희경</t>
    <phoneticPr fontId="1" type="noConversion"/>
  </si>
  <si>
    <t>테리</t>
    <phoneticPr fontId="1" type="noConversion"/>
  </si>
  <si>
    <t>진료내용</t>
    <phoneticPr fontId="1" type="noConversion"/>
  </si>
  <si>
    <t>수납금액</t>
    <phoneticPr fontId="1" type="noConversion"/>
  </si>
  <si>
    <t>박규리</t>
    <phoneticPr fontId="1" type="noConversion"/>
  </si>
  <si>
    <t>이순금</t>
    <phoneticPr fontId="1" type="noConversion"/>
  </si>
  <si>
    <t>피부과</t>
    <phoneticPr fontId="1" type="noConversion"/>
  </si>
  <si>
    <t>김정미</t>
    <phoneticPr fontId="1" type="noConversion"/>
  </si>
  <si>
    <t>봉이</t>
    <phoneticPr fontId="1" type="noConversion"/>
  </si>
  <si>
    <t>내과</t>
    <phoneticPr fontId="1" type="noConversion"/>
  </si>
  <si>
    <t>송은지</t>
    <phoneticPr fontId="1" type="noConversion"/>
  </si>
  <si>
    <t>프림</t>
    <phoneticPr fontId="1" type="noConversion"/>
  </si>
  <si>
    <t>안성혁</t>
    <phoneticPr fontId="1" type="noConversion"/>
  </si>
  <si>
    <t>오둥이</t>
    <phoneticPr fontId="1" type="noConversion"/>
  </si>
  <si>
    <t>조성기</t>
    <phoneticPr fontId="1" type="noConversion"/>
  </si>
  <si>
    <t>외과</t>
    <phoneticPr fontId="1" type="noConversion"/>
  </si>
  <si>
    <t>-</t>
    <phoneticPr fontId="1" type="noConversion"/>
  </si>
  <si>
    <t>신지연</t>
    <phoneticPr fontId="1" type="noConversion"/>
  </si>
  <si>
    <t>달래</t>
    <phoneticPr fontId="1" type="noConversion"/>
  </si>
  <si>
    <t>기본검진</t>
    <phoneticPr fontId="1" type="noConversion"/>
  </si>
  <si>
    <t>기본관리</t>
    <phoneticPr fontId="1" type="noConversion"/>
  </si>
  <si>
    <t>안과</t>
    <phoneticPr fontId="1" type="noConversion"/>
  </si>
  <si>
    <t>건강검진</t>
    <phoneticPr fontId="1" type="noConversion"/>
  </si>
  <si>
    <t>진료과목</t>
    <phoneticPr fontId="1" type="noConversion"/>
  </si>
  <si>
    <t>미작성</t>
    <phoneticPr fontId="1" type="noConversion"/>
  </si>
  <si>
    <t>과목별 수납금액</t>
    <phoneticPr fontId="1" type="noConversion"/>
  </si>
  <si>
    <t>수납금액 총계</t>
    <phoneticPr fontId="1" type="noConversion"/>
  </si>
  <si>
    <t>김윤걸</t>
    <phoneticPr fontId="1" type="noConversion"/>
  </si>
  <si>
    <t>비비</t>
    <phoneticPr fontId="1" type="noConversion"/>
  </si>
  <si>
    <t>거주구역</t>
    <phoneticPr fontId="1" type="noConversion"/>
  </si>
  <si>
    <t>논현동</t>
    <phoneticPr fontId="1" type="noConversion"/>
  </si>
  <si>
    <t>서창동</t>
    <phoneticPr fontId="1" type="noConversion"/>
  </si>
  <si>
    <t>정보X</t>
    <phoneticPr fontId="1" type="noConversion"/>
  </si>
  <si>
    <t>고객별 거주 구역</t>
    <phoneticPr fontId="1" type="noConversion"/>
  </si>
  <si>
    <t>구월동</t>
    <phoneticPr fontId="1" type="noConversion"/>
  </si>
  <si>
    <t>간석동</t>
    <phoneticPr fontId="1" type="noConversion"/>
  </si>
  <si>
    <t>만수동</t>
    <phoneticPr fontId="1" type="noConversion"/>
  </si>
  <si>
    <t>장수동</t>
    <phoneticPr fontId="1" type="noConversion"/>
  </si>
  <si>
    <t>고잔동</t>
    <phoneticPr fontId="1" type="noConversion"/>
  </si>
  <si>
    <t>남촌동</t>
    <phoneticPr fontId="1" type="noConversion"/>
  </si>
  <si>
    <t>도림동</t>
    <phoneticPr fontId="1" type="noConversion"/>
  </si>
  <si>
    <t>그 외</t>
    <phoneticPr fontId="1" type="noConversion"/>
  </si>
  <si>
    <t>염선영</t>
    <phoneticPr fontId="1" type="noConversion"/>
  </si>
  <si>
    <t>만두</t>
    <phoneticPr fontId="1" type="noConversion"/>
  </si>
  <si>
    <t>예방의학과</t>
    <phoneticPr fontId="1" type="noConversion"/>
  </si>
  <si>
    <t>치과</t>
    <phoneticPr fontId="1" type="noConversion"/>
  </si>
  <si>
    <t>재활</t>
    <phoneticPr fontId="1" type="noConversion"/>
  </si>
  <si>
    <t>김수현</t>
    <phoneticPr fontId="1" type="noConversion"/>
  </si>
  <si>
    <t>준</t>
    <phoneticPr fontId="1" type="noConversion"/>
  </si>
  <si>
    <t>정상래</t>
    <phoneticPr fontId="1" type="noConversion"/>
  </si>
  <si>
    <t>초롱</t>
    <phoneticPr fontId="1" type="noConversion"/>
  </si>
  <si>
    <t>육지희</t>
    <phoneticPr fontId="1" type="noConversion"/>
  </si>
  <si>
    <t>짜장</t>
    <phoneticPr fontId="1" type="noConversion"/>
  </si>
  <si>
    <t>탁기상</t>
    <phoneticPr fontId="1" type="noConversion"/>
  </si>
  <si>
    <t>이쁜이</t>
    <phoneticPr fontId="1" type="noConversion"/>
  </si>
  <si>
    <t>김서윤</t>
    <phoneticPr fontId="1" type="noConversion"/>
  </si>
  <si>
    <t>이오</t>
    <phoneticPr fontId="1" type="noConversion"/>
  </si>
  <si>
    <t>김성환</t>
    <phoneticPr fontId="1" type="noConversion"/>
  </si>
  <si>
    <t>코코</t>
    <phoneticPr fontId="1" type="noConversion"/>
  </si>
  <si>
    <t>유훈경</t>
    <phoneticPr fontId="1" type="noConversion"/>
  </si>
  <si>
    <t>에나</t>
    <phoneticPr fontId="1" type="noConversion"/>
  </si>
  <si>
    <t>김지나</t>
    <phoneticPr fontId="1" type="noConversion"/>
  </si>
  <si>
    <t>포키</t>
    <phoneticPr fontId="1" type="noConversion"/>
  </si>
  <si>
    <t>양군</t>
    <phoneticPr fontId="1" type="noConversion"/>
  </si>
  <si>
    <t>양가영</t>
    <phoneticPr fontId="1" type="noConversion"/>
  </si>
  <si>
    <t>전상미</t>
    <phoneticPr fontId="1" type="noConversion"/>
  </si>
  <si>
    <t>조은진</t>
    <phoneticPr fontId="1" type="noConversion"/>
  </si>
  <si>
    <t>최하은</t>
    <phoneticPr fontId="1" type="noConversion"/>
  </si>
  <si>
    <t>전선영</t>
    <phoneticPr fontId="1" type="noConversion"/>
  </si>
  <si>
    <t>엥두</t>
    <phoneticPr fontId="1" type="noConversion"/>
  </si>
  <si>
    <t>윤아영</t>
    <phoneticPr fontId="1" type="noConversion"/>
  </si>
  <si>
    <t>신슬기</t>
    <phoneticPr fontId="1" type="noConversion"/>
  </si>
  <si>
    <t>방울</t>
    <phoneticPr fontId="1" type="noConversion"/>
  </si>
  <si>
    <t>장한나</t>
    <phoneticPr fontId="1" type="noConversion"/>
  </si>
  <si>
    <t>콩순</t>
    <phoneticPr fontId="1" type="noConversion"/>
  </si>
  <si>
    <t>김서희</t>
    <phoneticPr fontId="1" type="noConversion"/>
  </si>
  <si>
    <t>콩나물</t>
    <phoneticPr fontId="1" type="noConversion"/>
  </si>
  <si>
    <t>양종현</t>
    <phoneticPr fontId="1" type="noConversion"/>
  </si>
  <si>
    <t>레오</t>
    <phoneticPr fontId="1" type="noConversion"/>
  </si>
  <si>
    <t>이유신</t>
    <phoneticPr fontId="1" type="noConversion"/>
  </si>
  <si>
    <t>하루</t>
    <phoneticPr fontId="1" type="noConversion"/>
  </si>
  <si>
    <t>엄혜정</t>
    <phoneticPr fontId="1" type="noConversion"/>
  </si>
  <si>
    <t>호빵</t>
    <phoneticPr fontId="1" type="noConversion"/>
  </si>
  <si>
    <t>한혜영</t>
    <phoneticPr fontId="1" type="noConversion"/>
  </si>
  <si>
    <t>구름</t>
    <phoneticPr fontId="1" type="noConversion"/>
  </si>
  <si>
    <t>전영주</t>
    <phoneticPr fontId="1" type="noConversion"/>
  </si>
  <si>
    <t>감자</t>
    <phoneticPr fontId="1" type="noConversion"/>
  </si>
  <si>
    <t>전이서</t>
    <phoneticPr fontId="1" type="noConversion"/>
  </si>
  <si>
    <t>탄이</t>
    <phoneticPr fontId="1" type="noConversion"/>
  </si>
  <si>
    <t>소다</t>
    <phoneticPr fontId="1" type="noConversion"/>
  </si>
  <si>
    <t>전소연</t>
    <phoneticPr fontId="1" type="noConversion"/>
  </si>
  <si>
    <t>콩</t>
    <phoneticPr fontId="1" type="noConversion"/>
  </si>
  <si>
    <t>김종환</t>
    <phoneticPr fontId="1" type="noConversion"/>
  </si>
  <si>
    <t>최현이</t>
    <phoneticPr fontId="1" type="noConversion"/>
  </si>
  <si>
    <t>공탄이</t>
    <phoneticPr fontId="1" type="noConversion"/>
  </si>
  <si>
    <t>이영석</t>
    <phoneticPr fontId="1" type="noConversion"/>
  </si>
  <si>
    <t>이민정</t>
    <phoneticPr fontId="1" type="noConversion"/>
  </si>
  <si>
    <t>모찌</t>
    <phoneticPr fontId="1" type="noConversion"/>
  </si>
  <si>
    <t>김나현</t>
    <phoneticPr fontId="1" type="noConversion"/>
  </si>
  <si>
    <t>윤미애</t>
    <phoneticPr fontId="1" type="noConversion"/>
  </si>
  <si>
    <t>이꼬</t>
    <phoneticPr fontId="1" type="noConversion"/>
  </si>
  <si>
    <t>윤서하</t>
    <phoneticPr fontId="1" type="noConversion"/>
  </si>
  <si>
    <t>가을</t>
    <phoneticPr fontId="1" type="noConversion"/>
  </si>
  <si>
    <t>금액</t>
    <phoneticPr fontId="1" type="noConversion"/>
  </si>
  <si>
    <t>담당자</t>
    <phoneticPr fontId="1" type="noConversion"/>
  </si>
  <si>
    <t>재진여부</t>
    <phoneticPr fontId="1" type="noConversion"/>
  </si>
  <si>
    <t>강아지</t>
  </si>
  <si>
    <t>1마리</t>
  </si>
  <si>
    <t>지인</t>
  </si>
  <si>
    <t>인터넷</t>
  </si>
  <si>
    <t>미작성</t>
  </si>
  <si>
    <t>기타</t>
  </si>
  <si>
    <t>미발송</t>
  </si>
  <si>
    <t>재진O</t>
  </si>
  <si>
    <t>정혜</t>
  </si>
  <si>
    <t xml:space="preserve"> 환축 분류</t>
    <phoneticPr fontId="1" type="noConversion"/>
  </si>
  <si>
    <t>가구 분류</t>
    <phoneticPr fontId="1" type="noConversion"/>
  </si>
  <si>
    <t>네이버예약</t>
    <phoneticPr fontId="1" type="noConversion"/>
  </si>
  <si>
    <t>네이버예약O</t>
  </si>
  <si>
    <t>1. 예약은 "보호자 순번 우선" + "희망예약 일정"으로 1순위 2순위 2개의 예약시간 보호자에게 안내 - ※ 스케줄 안내 시 신청자들 겹치지 않도록 주의
   ▶안내채널 : 문자 + 카카오톡 채널 → 카카오톡 채널에서 고객확인이 안 될 경우 "문자로 카카오톡 채널" 링크 함께 보낼 것 ]
2. 발송내용 : 예약일정 + 검진 전 주의사항 
3. 2차 안내 : 각 고객별 내원 1일전, 내원 당일 오전 [총 2회 안내] 진행
4. 하기 고객명단은 별도로 관리되며, 해당 검진 결과에 따라 추가검진 개별 안내등 LTV를 진행. (지속적인 관리 및 혜택 제공 必)</t>
    <phoneticPr fontId="1" type="noConversion"/>
  </si>
  <si>
    <t>당일</t>
  </si>
  <si>
    <t>발송여부</t>
    <phoneticPr fontId="1" type="noConversion"/>
  </si>
  <si>
    <t>재진메시지
(재진1일전)</t>
    <phoneticPr fontId="1" type="noConversion"/>
  </si>
  <si>
    <t>재진1일전</t>
  </si>
  <si>
    <t>연락처</t>
    <phoneticPr fontId="1" type="noConversion"/>
  </si>
  <si>
    <t>검진 종류</t>
    <phoneticPr fontId="1" type="noConversion"/>
  </si>
  <si>
    <t>검진 비용</t>
    <phoneticPr fontId="1" type="noConversion"/>
  </si>
  <si>
    <t>최종
결제 금액</t>
    <phoneticPr fontId="1" type="noConversion"/>
  </si>
  <si>
    <t>검진 외
추가 금액</t>
    <phoneticPr fontId="1" type="noConversion"/>
  </si>
  <si>
    <t>적립금</t>
    <phoneticPr fontId="1" type="noConversion"/>
  </si>
  <si>
    <t>희망예약 일정
(1순위)</t>
    <phoneticPr fontId="1" type="noConversion"/>
  </si>
  <si>
    <t>희망예약 일정
(2순위)</t>
    <phoneticPr fontId="1" type="noConversion"/>
  </si>
  <si>
    <t>희망시간</t>
    <phoneticPr fontId="1" type="noConversion"/>
  </si>
  <si>
    <t>걱정되는 증상</t>
    <phoneticPr fontId="1" type="noConversion"/>
  </si>
  <si>
    <t>비고
(완료일정,리뷰,적립금)</t>
    <phoneticPr fontId="1" type="noConversion"/>
  </si>
  <si>
    <t>반려동물 정보
(18/여/5.5/초롱)</t>
    <phoneticPr fontId="1" type="noConversion"/>
  </si>
  <si>
    <t>특이 사항</t>
    <phoneticPr fontId="1" type="noConversion"/>
  </si>
  <si>
    <t>강아지</t>
    <phoneticPr fontId="1" type="noConversion"/>
  </si>
  <si>
    <t>발송완료</t>
  </si>
  <si>
    <t>외과</t>
    <phoneticPr fontId="1" type="noConversion"/>
  </si>
  <si>
    <t>기본검진</t>
    <phoneticPr fontId="1" type="noConversion"/>
  </si>
  <si>
    <t>내과</t>
    <phoneticPr fontId="1" type="noConversion"/>
  </si>
  <si>
    <t>기본관리</t>
    <phoneticPr fontId="1" type="noConversion"/>
  </si>
  <si>
    <t>안과</t>
    <phoneticPr fontId="1" type="noConversion"/>
  </si>
  <si>
    <t>건강검진</t>
    <phoneticPr fontId="1" type="noConversion"/>
  </si>
  <si>
    <t>피부과</t>
    <phoneticPr fontId="1" type="noConversion"/>
  </si>
  <si>
    <t>예방의학과</t>
    <phoneticPr fontId="1" type="noConversion"/>
  </si>
  <si>
    <t>기타</t>
    <phoneticPr fontId="1" type="noConversion"/>
  </si>
  <si>
    <t>치과</t>
    <phoneticPr fontId="1" type="noConversion"/>
  </si>
  <si>
    <t>논현동</t>
    <phoneticPr fontId="1" type="noConversion"/>
  </si>
  <si>
    <t>서창동</t>
    <phoneticPr fontId="1" type="noConversion"/>
  </si>
  <si>
    <t>정보없음</t>
  </si>
  <si>
    <t>정보없음</t>
    <phoneticPr fontId="1" type="noConversion"/>
  </si>
  <si>
    <t>도림동</t>
    <phoneticPr fontId="1" type="noConversion"/>
  </si>
  <si>
    <t>만수동</t>
    <phoneticPr fontId="1" type="noConversion"/>
  </si>
  <si>
    <t>그외</t>
    <phoneticPr fontId="1" type="noConversion"/>
  </si>
  <si>
    <t>남촌동</t>
    <phoneticPr fontId="1" type="noConversion"/>
  </si>
  <si>
    <t>인터넷</t>
    <phoneticPr fontId="1" type="noConversion"/>
  </si>
  <si>
    <t>병원추천</t>
    <phoneticPr fontId="1" type="noConversion"/>
  </si>
  <si>
    <t>지인</t>
    <phoneticPr fontId="1" type="noConversion"/>
  </si>
  <si>
    <t>고양이</t>
  </si>
  <si>
    <t>고양이</t>
    <phoneticPr fontId="1" type="noConversion"/>
  </si>
  <si>
    <t>1마리</t>
    <phoneticPr fontId="1" type="noConversion"/>
  </si>
  <si>
    <t>강아지</t>
    <phoneticPr fontId="1" type="noConversion"/>
  </si>
  <si>
    <t>다묘</t>
  </si>
  <si>
    <t>-</t>
    <phoneticPr fontId="1" type="noConversion"/>
  </si>
  <si>
    <t>010-7658-4419</t>
    <phoneticPr fontId="1" type="noConversion"/>
  </si>
  <si>
    <t>2018/여/10kg/초롱</t>
    <phoneticPr fontId="1" type="noConversion"/>
  </si>
  <si>
    <t>나혼자 검진</t>
    <phoneticPr fontId="1" type="noConversion"/>
  </si>
  <si>
    <t>김한나</t>
    <phoneticPr fontId="1" type="noConversion"/>
  </si>
  <si>
    <t>010-5619-0420</t>
    <phoneticPr fontId="1" type="noConversion"/>
  </si>
  <si>
    <t>2022/남/2.5kg/에디</t>
    <phoneticPr fontId="1" type="noConversion"/>
  </si>
  <si>
    <t>010-3102-0789</t>
    <phoneticPr fontId="1" type="noConversion"/>
  </si>
  <si>
    <t>2023/남/4.2kg/단콩</t>
    <phoneticPr fontId="1" type="noConversion"/>
  </si>
  <si>
    <t>010-4812-3747</t>
    <phoneticPr fontId="1" type="noConversion"/>
  </si>
  <si>
    <t>2021/여/18kg/하리</t>
    <phoneticPr fontId="1" type="noConversion"/>
  </si>
  <si>
    <t>두마리 검진</t>
    <phoneticPr fontId="1" type="noConversion"/>
  </si>
  <si>
    <t>2020/남/5kg/다솜이</t>
    <phoneticPr fontId="1" type="noConversion"/>
  </si>
  <si>
    <t>함형인</t>
    <phoneticPr fontId="1" type="noConversion"/>
  </si>
  <si>
    <t>010-6235-6343</t>
    <phoneticPr fontId="1" type="noConversion"/>
  </si>
  <si>
    <t>2011/여/3.5kg/밀키</t>
    <phoneticPr fontId="1" type="noConversion"/>
  </si>
  <si>
    <t>2013/여/2.7kg/쿠키</t>
    <phoneticPr fontId="1" type="noConversion"/>
  </si>
  <si>
    <t>손영대</t>
    <phoneticPr fontId="1" type="noConversion"/>
  </si>
  <si>
    <t>010-5592-7975</t>
    <phoneticPr fontId="1" type="noConversion"/>
  </si>
  <si>
    <t>(누락)/여/4.7kg/동자</t>
    <phoneticPr fontId="1" type="noConversion"/>
  </si>
  <si>
    <t>010-7745-1032</t>
    <phoneticPr fontId="1" type="noConversion"/>
  </si>
  <si>
    <t>2014/남/7kg/용이</t>
    <phoneticPr fontId="1" type="noConversion"/>
  </si>
  <si>
    <t>정예지</t>
    <phoneticPr fontId="1" type="noConversion"/>
  </si>
  <si>
    <t>010-86705296</t>
    <phoneticPr fontId="1" type="noConversion"/>
  </si>
  <si>
    <t>2018/남/7.4kg/스파크</t>
    <phoneticPr fontId="1" type="noConversion"/>
  </si>
  <si>
    <t>김순옥</t>
    <phoneticPr fontId="1" type="noConversion"/>
  </si>
  <si>
    <t>010-5277-6560</t>
    <phoneticPr fontId="1" type="noConversion"/>
  </si>
  <si>
    <t>2017/남/3.8kg/달이</t>
    <phoneticPr fontId="1" type="noConversion"/>
  </si>
  <si>
    <t>최서윤</t>
    <phoneticPr fontId="1" type="noConversion"/>
  </si>
  <si>
    <t>010-3109-6798</t>
    <phoneticPr fontId="1" type="noConversion"/>
  </si>
  <si>
    <t>2011/여/17kg/순이</t>
    <phoneticPr fontId="1" type="noConversion"/>
  </si>
  <si>
    <t>010-3932-6614</t>
    <phoneticPr fontId="1" type="noConversion"/>
  </si>
  <si>
    <t>2010/여/2.5kg/랑</t>
    <phoneticPr fontId="1" type="noConversion"/>
  </si>
  <si>
    <t>박재영</t>
    <phoneticPr fontId="1" type="noConversion"/>
  </si>
  <si>
    <t>010-8923-9646</t>
    <phoneticPr fontId="1" type="noConversion"/>
  </si>
  <si>
    <t>2014/여/4.5kg/꼬미</t>
    <phoneticPr fontId="1" type="noConversion"/>
  </si>
  <si>
    <t>고미서</t>
    <phoneticPr fontId="1" type="noConversion"/>
  </si>
  <si>
    <t>010-5049-1546</t>
    <phoneticPr fontId="1" type="noConversion"/>
  </si>
  <si>
    <t>2022/남/18.1kg/설이</t>
    <phoneticPr fontId="1" type="noConversion"/>
  </si>
  <si>
    <t>내복약,사상충</t>
    <phoneticPr fontId="1" type="noConversion"/>
  </si>
  <si>
    <t>선택검사진행</t>
    <phoneticPr fontId="1" type="noConversion"/>
  </si>
  <si>
    <t>스케일링예정</t>
    <phoneticPr fontId="1" type="noConversion"/>
  </si>
  <si>
    <t>내복약,심장,T4</t>
    <phoneticPr fontId="1" type="noConversion"/>
  </si>
  <si>
    <t>술전 검진</t>
    <phoneticPr fontId="1" type="noConversion"/>
  </si>
  <si>
    <t>이주아</t>
    <phoneticPr fontId="1" type="noConversion"/>
  </si>
  <si>
    <t>쪼꼬</t>
    <phoneticPr fontId="1" type="noConversion"/>
  </si>
  <si>
    <t>강아지</t>
    <phoneticPr fontId="1" type="noConversion"/>
  </si>
  <si>
    <t>인터넷</t>
    <phoneticPr fontId="1" type="noConversion"/>
  </si>
  <si>
    <t>피부과</t>
    <phoneticPr fontId="1" type="noConversion"/>
  </si>
  <si>
    <t>김채민</t>
    <phoneticPr fontId="1" type="noConversion"/>
  </si>
  <si>
    <t>누룽지</t>
    <phoneticPr fontId="1" type="noConversion"/>
  </si>
  <si>
    <t>송용주</t>
    <phoneticPr fontId="1" type="noConversion"/>
  </si>
  <si>
    <t>아리</t>
    <phoneticPr fontId="1" type="noConversion"/>
  </si>
  <si>
    <t>내과</t>
    <phoneticPr fontId="1" type="noConversion"/>
  </si>
  <si>
    <t>기타</t>
    <phoneticPr fontId="1" type="noConversion"/>
  </si>
  <si>
    <t>안소현</t>
    <phoneticPr fontId="1" type="noConversion"/>
  </si>
  <si>
    <t>레이</t>
    <phoneticPr fontId="1" type="noConversion"/>
  </si>
  <si>
    <t>고양이</t>
    <phoneticPr fontId="1" type="noConversion"/>
  </si>
  <si>
    <t>1마리</t>
    <phoneticPr fontId="1" type="noConversion"/>
  </si>
  <si>
    <t>병원추천</t>
  </si>
  <si>
    <t>논현동</t>
    <phoneticPr fontId="1" type="noConversion"/>
  </si>
  <si>
    <t>복기남</t>
    <phoneticPr fontId="1" type="noConversion"/>
  </si>
  <si>
    <t>선님이</t>
    <phoneticPr fontId="1" type="noConversion"/>
  </si>
  <si>
    <t>지인</t>
    <phoneticPr fontId="1" type="noConversion"/>
  </si>
  <si>
    <t>진료(퇴원)후메시지
(당일)</t>
    <phoneticPr fontId="1" type="noConversion"/>
  </si>
  <si>
    <t>박희은</t>
    <phoneticPr fontId="1" type="noConversion"/>
  </si>
  <si>
    <t>김주연</t>
    <phoneticPr fontId="1" type="noConversion"/>
  </si>
  <si>
    <t>이혜섭</t>
    <phoneticPr fontId="1" type="noConversion"/>
  </si>
  <si>
    <t>윤미애</t>
    <phoneticPr fontId="1" type="noConversion"/>
  </si>
  <si>
    <t>010-9280-1942</t>
    <phoneticPr fontId="1" type="noConversion"/>
  </si>
  <si>
    <t>010-5719-9249</t>
    <phoneticPr fontId="1" type="noConversion"/>
  </si>
  <si>
    <t>010-5850-0331         ( 010-4919-3976)</t>
    <phoneticPr fontId="1" type="noConversion"/>
  </si>
  <si>
    <t>010-4176-3906</t>
    <phoneticPr fontId="1" type="noConversion"/>
  </si>
  <si>
    <t>2023/남/레몬/6kg</t>
    <phoneticPr fontId="1" type="noConversion"/>
  </si>
  <si>
    <t>2015/여/냥냥/5kg</t>
    <phoneticPr fontId="1" type="noConversion"/>
  </si>
  <si>
    <t>2015/남/스티/5.7kg</t>
    <phoneticPr fontId="1" type="noConversion"/>
  </si>
  <si>
    <t>2020/남/묘미/5.7kg</t>
    <phoneticPr fontId="1" type="noConversion"/>
  </si>
  <si>
    <t>2023/남/까망/4.7kg</t>
    <phoneticPr fontId="1" type="noConversion"/>
  </si>
  <si>
    <t>나혼자 검진</t>
    <phoneticPr fontId="1" type="noConversion"/>
  </si>
  <si>
    <t>셋이서 검진</t>
    <phoneticPr fontId="1" type="noConversion"/>
  </si>
  <si>
    <t>둘이서 검진</t>
    <phoneticPr fontId="1" type="noConversion"/>
  </si>
  <si>
    <t>장주은</t>
    <phoneticPr fontId="1" type="noConversion"/>
  </si>
  <si>
    <t>피넛</t>
    <phoneticPr fontId="1" type="noConversion"/>
  </si>
  <si>
    <t>김민정</t>
    <phoneticPr fontId="1" type="noConversion"/>
  </si>
  <si>
    <t>커피</t>
    <phoneticPr fontId="1" type="noConversion"/>
  </si>
  <si>
    <t>안과</t>
    <phoneticPr fontId="1" type="noConversion"/>
  </si>
  <si>
    <t>고광진</t>
    <phoneticPr fontId="1" type="noConversion"/>
  </si>
  <si>
    <t>창식이</t>
    <phoneticPr fontId="1" type="noConversion"/>
  </si>
  <si>
    <t>재진X</t>
  </si>
  <si>
    <t>01월 27일</t>
    <phoneticPr fontId="1" type="noConversion"/>
  </si>
  <si>
    <t>고양이</t>
    <phoneticPr fontId="1" type="noConversion"/>
  </si>
  <si>
    <t>외과</t>
  </si>
  <si>
    <t>팀장</t>
  </si>
  <si>
    <t>논현동</t>
  </si>
  <si>
    <t>사망</t>
    <phoneticPr fontId="1" type="noConversion"/>
  </si>
  <si>
    <t>세마리 모두 심장초음파 희망
(내원 시 재확인 필수)</t>
    <phoneticPr fontId="1" type="noConversion"/>
  </si>
  <si>
    <t>네이버 예약 완료</t>
    <phoneticPr fontId="1" type="noConversion"/>
  </si>
  <si>
    <t>2월 8일 ~ 14일</t>
    <phoneticPr fontId="1" type="noConversion"/>
  </si>
  <si>
    <t>2월 2일 ~ 7일</t>
    <phoneticPr fontId="1" type="noConversion"/>
  </si>
  <si>
    <t>2월 15일 ~ 21일                          (16일 오전 안내해 주세요!)</t>
    <phoneticPr fontId="1" type="noConversion"/>
  </si>
  <si>
    <t>오후</t>
    <phoneticPr fontId="1" type="noConversion"/>
  </si>
  <si>
    <t>오전</t>
    <phoneticPr fontId="1" type="noConversion"/>
  </si>
  <si>
    <t>없음</t>
    <phoneticPr fontId="1" type="noConversion"/>
  </si>
  <si>
    <t>이빨</t>
    <phoneticPr fontId="1" type="noConversion"/>
  </si>
  <si>
    <t>구토,설사,기타</t>
    <phoneticPr fontId="1" type="noConversion"/>
  </si>
  <si>
    <t>추가금액</t>
    <phoneticPr fontId="1" type="noConversion"/>
  </si>
  <si>
    <t>구토,기침, 이빨, 절뚝거림, 피부, 눈</t>
    <phoneticPr fontId="1" type="noConversion"/>
  </si>
  <si>
    <t>식욕부진, 설사, 기침</t>
    <phoneticPr fontId="1" type="noConversion"/>
  </si>
  <si>
    <t>특이사항 없음</t>
    <phoneticPr fontId="1" type="noConversion"/>
  </si>
  <si>
    <t xml:space="preserve">식욕부진, 이빨, 눈 </t>
    <phoneticPr fontId="1" type="noConversion"/>
  </si>
  <si>
    <t>없음</t>
    <phoneticPr fontId="1" type="noConversion"/>
  </si>
  <si>
    <t>피부, 눈</t>
    <phoneticPr fontId="1" type="noConversion"/>
  </si>
  <si>
    <t>없음, 기타</t>
    <phoneticPr fontId="1" type="noConversion"/>
  </si>
  <si>
    <t>켁켁거림</t>
    <phoneticPr fontId="1" type="noConversion"/>
  </si>
  <si>
    <t>이빨, 눈</t>
    <phoneticPr fontId="1" type="noConversion"/>
  </si>
  <si>
    <t>수술</t>
    <phoneticPr fontId="1" type="noConversion"/>
  </si>
  <si>
    <t>수심장</t>
    <phoneticPr fontId="1" type="noConversion"/>
  </si>
  <si>
    <t>1/10완료/ 리뷰완료/포인트저장 완료</t>
    <phoneticPr fontId="1" type="noConversion"/>
  </si>
  <si>
    <t>01/17완료/리뷰완료/포인트저장</t>
    <phoneticPr fontId="1" type="noConversion"/>
  </si>
  <si>
    <t>1/15완료/ 리뷰완료/포인트저장 완료/네이버예약 안돼서 영수증 리뷰로 작성</t>
    <phoneticPr fontId="1" type="noConversion"/>
  </si>
  <si>
    <t>보호자 검진취소/ 팔로업 받는아이</t>
    <phoneticPr fontId="1" type="noConversion"/>
  </si>
  <si>
    <t>1/8완료/ 리뷰완료/포인트저장 완료</t>
    <phoneticPr fontId="1" type="noConversion"/>
  </si>
  <si>
    <t>1/11완료/ 리뷰완료/포인트저장 완료</t>
    <phoneticPr fontId="1" type="noConversion"/>
  </si>
  <si>
    <t>1/16완료/ 리뷰완료/포인트저장 완료</t>
    <phoneticPr fontId="1" type="noConversion"/>
  </si>
  <si>
    <t>1/16완료/ 영수증 리뷰완료/포인트저장 완료</t>
    <phoneticPr fontId="1" type="noConversion"/>
  </si>
  <si>
    <t>1/20완료/ 영수증 리뷰완료/포인트저장 완료</t>
    <phoneticPr fontId="1" type="noConversion"/>
  </si>
  <si>
    <t>1/18완료/리뷰완료/포인트 저장 완료</t>
    <phoneticPr fontId="1" type="noConversion"/>
  </si>
  <si>
    <t>강아지</t>
    <phoneticPr fontId="1" type="noConversion"/>
  </si>
  <si>
    <t>2016/남/마니</t>
    <phoneticPr fontId="1" type="noConversion"/>
  </si>
  <si>
    <t>예약완료</t>
    <phoneticPr fontId="1" type="noConversion"/>
  </si>
  <si>
    <t>2009/여/이꼬/5.5kg</t>
    <phoneticPr fontId="1" type="noConversion"/>
  </si>
  <si>
    <t>총 결제금액</t>
    <phoneticPr fontId="1" type="noConversion"/>
  </si>
  <si>
    <t>김은혜</t>
    <phoneticPr fontId="1" type="noConversion"/>
  </si>
  <si>
    <t>010-7722-7470</t>
    <phoneticPr fontId="1" type="noConversion"/>
  </si>
  <si>
    <t>2020/여/4.67kg/로나</t>
    <phoneticPr fontId="1" type="noConversion"/>
  </si>
  <si>
    <t>스케일링 예정</t>
    <phoneticPr fontId="1" type="noConversion"/>
  </si>
  <si>
    <t>네이버예약O</t>
    <phoneticPr fontId="1" type="noConversion"/>
  </si>
  <si>
    <t>네이버예약X</t>
  </si>
  <si>
    <t>010-2223-3418</t>
    <phoneticPr fontId="1" type="noConversion"/>
  </si>
  <si>
    <t>루비/여/5kg</t>
    <phoneticPr fontId="1" type="noConversion"/>
  </si>
  <si>
    <t>치즈/남/9kg</t>
    <phoneticPr fontId="1" type="noConversion"/>
  </si>
  <si>
    <t>2월 08일 ~ 14일</t>
    <phoneticPr fontId="1" type="noConversion"/>
  </si>
  <si>
    <t>오전</t>
    <phoneticPr fontId="1" type="noConversion"/>
  </si>
  <si>
    <t>기타</t>
    <phoneticPr fontId="1" type="noConversion"/>
  </si>
  <si>
    <t>예약완료</t>
    <phoneticPr fontId="1" type="noConversion"/>
  </si>
  <si>
    <t>내과</t>
  </si>
  <si>
    <t>정혜</t>
    <phoneticPr fontId="1" type="noConversion"/>
  </si>
  <si>
    <t>이주연</t>
    <phoneticPr fontId="1" type="noConversion"/>
  </si>
  <si>
    <t>01월30일</t>
    <phoneticPr fontId="1" type="noConversion"/>
  </si>
  <si>
    <t>01월29일</t>
    <phoneticPr fontId="1" type="noConversion"/>
  </si>
  <si>
    <t>공명희</t>
    <phoneticPr fontId="1" type="noConversion"/>
  </si>
  <si>
    <t>01월 28일</t>
    <phoneticPr fontId="1" type="noConversion"/>
  </si>
  <si>
    <t>나지수</t>
    <phoneticPr fontId="1" type="noConversion"/>
  </si>
  <si>
    <t>010-5159-5798</t>
    <phoneticPr fontId="1" type="noConversion"/>
  </si>
  <si>
    <t>2021/남/누리/4kg</t>
    <phoneticPr fontId="1" type="noConversion"/>
  </si>
  <si>
    <t>나혼자검진</t>
    <phoneticPr fontId="1" type="noConversion"/>
  </si>
  <si>
    <t>2월 08일 ~ 14일</t>
  </si>
  <si>
    <t>오후</t>
    <phoneticPr fontId="1" type="noConversion"/>
  </si>
  <si>
    <t>보호자 검신 노쇼</t>
    <phoneticPr fontId="1" type="noConversion"/>
  </si>
  <si>
    <t>01/31완료/리뷰완료/포인트저장</t>
  </si>
  <si>
    <t>01/31완료/리뷰완료/포인트저장</t>
    <phoneticPr fontId="1" type="noConversion"/>
  </si>
  <si>
    <t>2026년 01월 건강검진 특별프로모션 적립포인트 17,250원</t>
    <phoneticPr fontId="1" type="noConversion"/>
  </si>
  <si>
    <t>석유라</t>
    <phoneticPr fontId="1" type="noConversion"/>
  </si>
  <si>
    <t>재진X</t>
    <phoneticPr fontId="1" type="noConversion"/>
  </si>
  <si>
    <t>진호걸</t>
    <phoneticPr fontId="1" type="noConversion"/>
  </si>
  <si>
    <t>김호걸</t>
    <phoneticPr fontId="1" type="noConversion"/>
  </si>
  <si>
    <t>다묘</t>
    <phoneticPr fontId="1" type="noConversion"/>
  </si>
  <si>
    <t>김별이</t>
    <phoneticPr fontId="1" type="noConversion"/>
  </si>
  <si>
    <t>로라</t>
    <phoneticPr fontId="1" type="noConversion"/>
  </si>
  <si>
    <t>장유리</t>
    <phoneticPr fontId="1" type="noConversion"/>
  </si>
  <si>
    <t>히릿</t>
    <phoneticPr fontId="1" type="noConversion"/>
  </si>
  <si>
    <t>네이버 예약 완료</t>
  </si>
  <si>
    <t>비고
(완료일정,리뷰,적립금)</t>
  </si>
  <si>
    <t>부재</t>
    <phoneticPr fontId="1" type="noConversion"/>
  </si>
  <si>
    <t>당월 네이버리뷰 건수</t>
    <phoneticPr fontId="1" type="noConversion"/>
  </si>
  <si>
    <t>15건</t>
    <phoneticPr fontId="1" type="noConversion"/>
  </si>
  <si>
    <t>총계</t>
    <phoneticPr fontId="1" type="noConversion"/>
  </si>
  <si>
    <t>신선호</t>
    <phoneticPr fontId="1" type="noConversion"/>
  </si>
  <si>
    <t>뽀야</t>
    <phoneticPr fontId="1" type="noConversion"/>
  </si>
  <si>
    <t>강아지</t>
    <phoneticPr fontId="1" type="noConversion"/>
  </si>
  <si>
    <t>1마리</t>
    <phoneticPr fontId="1" type="noConversion"/>
  </si>
  <si>
    <t>인터넷</t>
    <phoneticPr fontId="1" type="noConversion"/>
  </si>
  <si>
    <t>내과</t>
    <phoneticPr fontId="1" type="noConversion"/>
  </si>
  <si>
    <t>논현동</t>
    <phoneticPr fontId="1" type="noConversion"/>
  </si>
  <si>
    <t>정혜</t>
    <phoneticPr fontId="1" type="noConversion"/>
  </si>
  <si>
    <t>최윤정</t>
    <phoneticPr fontId="1" type="noConversion"/>
  </si>
  <si>
    <t>오찌</t>
    <phoneticPr fontId="1" type="noConversion"/>
  </si>
  <si>
    <t>외과</t>
    <phoneticPr fontId="1" type="noConversion"/>
  </si>
  <si>
    <t>강중구</t>
    <phoneticPr fontId="1" type="noConversion"/>
  </si>
  <si>
    <t>겨울이</t>
    <phoneticPr fontId="1" type="noConversion"/>
  </si>
  <si>
    <t>고양이</t>
    <phoneticPr fontId="1" type="noConversion"/>
  </si>
  <si>
    <t>1마리</t>
    <phoneticPr fontId="1" type="noConversion"/>
  </si>
  <si>
    <t>외과</t>
    <phoneticPr fontId="1" type="noConversion"/>
  </si>
  <si>
    <t>논현동</t>
    <phoneticPr fontId="1" type="noConversion"/>
  </si>
  <si>
    <t>네이버예약X</t>
    <phoneticPr fontId="1" type="noConversion"/>
  </si>
  <si>
    <t>정혜</t>
    <phoneticPr fontId="1" type="noConversion"/>
  </si>
  <si>
    <t>인터넷</t>
    <phoneticPr fontId="1" type="noConversion"/>
  </si>
  <si>
    <t>010-2746-9146</t>
    <phoneticPr fontId="1" type="noConversion"/>
  </si>
  <si>
    <t>2022/여/미미/6kg</t>
    <phoneticPr fontId="1" type="noConversion"/>
  </si>
  <si>
    <t>식욕</t>
    <phoneticPr fontId="1" type="noConversion"/>
  </si>
  <si>
    <t>예약완료</t>
    <phoneticPr fontId="1" type="noConversion"/>
  </si>
  <si>
    <t>손 랑</t>
    <phoneticPr fontId="1" type="noConversion"/>
  </si>
  <si>
    <t>손콩콩</t>
    <phoneticPr fontId="1" type="noConversion"/>
  </si>
  <si>
    <t>김현주</t>
    <phoneticPr fontId="1" type="noConversion"/>
  </si>
  <si>
    <t>숙주</t>
    <phoneticPr fontId="1" type="noConversion"/>
  </si>
  <si>
    <t>강아지</t>
    <phoneticPr fontId="1" type="noConversion"/>
  </si>
  <si>
    <t>기타</t>
    <phoneticPr fontId="1" type="noConversion"/>
  </si>
  <si>
    <t>01/31완료/리뷰완료/포인트저장</t>
    <phoneticPr fontId="1" type="noConversion"/>
  </si>
  <si>
    <t>누락</t>
    <phoneticPr fontId="1" type="noConversion"/>
  </si>
  <si>
    <t>천둥</t>
    <phoneticPr fontId="1" type="noConversion"/>
  </si>
  <si>
    <t>이은혜</t>
    <phoneticPr fontId="1" type="noConversion"/>
  </si>
  <si>
    <t>강아지</t>
    <phoneticPr fontId="1" type="noConversion"/>
  </si>
  <si>
    <t>1마리</t>
    <phoneticPr fontId="1" type="noConversion"/>
  </si>
  <si>
    <t>기타</t>
    <phoneticPr fontId="1" type="noConversion"/>
  </si>
  <si>
    <t>예방의학과</t>
    <phoneticPr fontId="1" type="noConversion"/>
  </si>
  <si>
    <t>논현동</t>
    <phoneticPr fontId="1" type="noConversion"/>
  </si>
  <si>
    <t>이강민</t>
    <phoneticPr fontId="1" type="noConversion"/>
  </si>
  <si>
    <t>두부</t>
    <phoneticPr fontId="1" type="noConversion"/>
  </si>
  <si>
    <t>02월 04일</t>
    <phoneticPr fontId="1" type="noConversion"/>
  </si>
  <si>
    <t>박정진</t>
    <phoneticPr fontId="1" type="noConversion"/>
  </si>
  <si>
    <t>가을이</t>
    <phoneticPr fontId="1" type="noConversion"/>
  </si>
  <si>
    <t>치과</t>
  </si>
  <si>
    <t>전영관</t>
    <phoneticPr fontId="1" type="noConversion"/>
  </si>
  <si>
    <t>탄</t>
    <phoneticPr fontId="1" type="noConversion"/>
  </si>
  <si>
    <t>접종</t>
    <phoneticPr fontId="1" type="noConversion"/>
  </si>
  <si>
    <t>예방의학과</t>
  </si>
  <si>
    <t>윤주안</t>
    <phoneticPr fontId="1" type="noConversion"/>
  </si>
  <si>
    <t>써니</t>
    <phoneticPr fontId="1" type="noConversion"/>
  </si>
  <si>
    <t>호스피스로 패치처방</t>
    <phoneticPr fontId="1" type="noConversion"/>
  </si>
  <si>
    <t>누락</t>
  </si>
  <si>
    <t>불가</t>
  </si>
  <si>
    <t>타병원 녹는실 확인만</t>
    <phoneticPr fontId="1" type="noConversion"/>
  </si>
  <si>
    <t>전성미</t>
    <phoneticPr fontId="1" type="noConversion"/>
  </si>
  <si>
    <t>호야</t>
    <phoneticPr fontId="1" type="noConversion"/>
  </si>
  <si>
    <t>고양이</t>
    <phoneticPr fontId="1" type="noConversion"/>
  </si>
  <si>
    <t>내과</t>
    <phoneticPr fontId="1" type="noConversion"/>
  </si>
  <si>
    <t>논현동</t>
    <phoneticPr fontId="1" type="noConversion"/>
  </si>
  <si>
    <t>입원치료 거절</t>
    <phoneticPr fontId="1" type="noConversion"/>
  </si>
  <si>
    <t>전풀잎</t>
    <phoneticPr fontId="1" type="noConversion"/>
  </si>
  <si>
    <t>달</t>
    <phoneticPr fontId="1" type="noConversion"/>
  </si>
  <si>
    <t>강아지</t>
    <phoneticPr fontId="1" type="noConversion"/>
  </si>
  <si>
    <t>1마리</t>
    <phoneticPr fontId="1" type="noConversion"/>
  </si>
  <si>
    <t>외과</t>
    <phoneticPr fontId="1" type="noConversion"/>
  </si>
  <si>
    <t>재진O</t>
    <phoneticPr fontId="1" type="noConversion"/>
  </si>
  <si>
    <t>이효린</t>
    <phoneticPr fontId="1" type="noConversion"/>
  </si>
  <si>
    <t>꽁치</t>
    <phoneticPr fontId="1" type="noConversion"/>
  </si>
  <si>
    <t>인터넷</t>
    <phoneticPr fontId="1" type="noConversion"/>
  </si>
  <si>
    <t>하지은</t>
    <phoneticPr fontId="1" type="noConversion"/>
  </si>
  <si>
    <t>불또</t>
    <phoneticPr fontId="1" type="noConversion"/>
  </si>
  <si>
    <t>강아지</t>
    <phoneticPr fontId="1" type="noConversion"/>
  </si>
  <si>
    <t>1마리</t>
    <phoneticPr fontId="1" type="noConversion"/>
  </si>
  <si>
    <t>인터넷</t>
    <phoneticPr fontId="1" type="noConversion"/>
  </si>
  <si>
    <t>내과</t>
    <phoneticPr fontId="1" type="noConversion"/>
  </si>
  <si>
    <t>논현동</t>
    <phoneticPr fontId="1" type="noConversion"/>
  </si>
  <si>
    <t>입원중</t>
    <phoneticPr fontId="1" type="noConversion"/>
  </si>
  <si>
    <t>김상아</t>
    <phoneticPr fontId="1" type="noConversion"/>
  </si>
  <si>
    <t>누니</t>
    <phoneticPr fontId="1" type="noConversion"/>
  </si>
  <si>
    <t>안과</t>
    <phoneticPr fontId="1" type="noConversion"/>
  </si>
  <si>
    <t>그외</t>
    <phoneticPr fontId="1" type="noConversion"/>
  </si>
  <si>
    <t>강지태</t>
    <phoneticPr fontId="1" type="noConversion"/>
  </si>
  <si>
    <t>춘식이</t>
    <phoneticPr fontId="1" type="noConversion"/>
  </si>
  <si>
    <t>고양이</t>
    <phoneticPr fontId="1" type="noConversion"/>
  </si>
  <si>
    <t>외과</t>
    <phoneticPr fontId="1" type="noConversion"/>
  </si>
  <si>
    <t>사망</t>
    <phoneticPr fontId="1" type="noConversion"/>
  </si>
  <si>
    <t>권민우</t>
    <phoneticPr fontId="1" type="noConversion"/>
  </si>
  <si>
    <t>찐빵</t>
    <phoneticPr fontId="1" type="noConversion"/>
  </si>
  <si>
    <t>기타</t>
    <phoneticPr fontId="1" type="noConversion"/>
  </si>
  <si>
    <t>기타:지나가는길</t>
    <phoneticPr fontId="1" type="noConversion"/>
  </si>
  <si>
    <t>마루</t>
    <phoneticPr fontId="1" type="noConversion"/>
  </si>
  <si>
    <t>이승원</t>
    <phoneticPr fontId="1" type="noConversion"/>
  </si>
  <si>
    <t>재진X</t>
    <phoneticPr fontId="1" type="noConversion"/>
  </si>
  <si>
    <t>건강검진예약하심</t>
    <phoneticPr fontId="1" type="noConversion"/>
  </si>
  <si>
    <t>30만원</t>
    <phoneticPr fontId="1" type="noConversion"/>
  </si>
  <si>
    <t>2026-02-14 진료예정</t>
    <phoneticPr fontId="1" type="noConversion"/>
  </si>
  <si>
    <t>진료 3개월 후</t>
    <phoneticPr fontId="1" type="noConversion"/>
  </si>
  <si>
    <t>발송여부</t>
    <phoneticPr fontId="1" type="noConversion"/>
  </si>
  <si>
    <t>진료 6개월 후</t>
    <phoneticPr fontId="1" type="noConversion"/>
  </si>
  <si>
    <t>미발송 사유</t>
    <phoneticPr fontId="1" type="noConversion"/>
  </si>
  <si>
    <t>재진여부</t>
    <phoneticPr fontId="1" type="noConversion"/>
  </si>
  <si>
    <t>재진일</t>
    <phoneticPr fontId="1" type="noConversion"/>
  </si>
  <si>
    <t>특이사항</t>
    <phoneticPr fontId="1" type="noConversion"/>
  </si>
  <si>
    <t>당일 메시지              못보내는 사유</t>
    <phoneticPr fontId="1" type="noConversion"/>
  </si>
  <si>
    <t>보호자 검진 노쇼</t>
    <phoneticPr fontId="1" type="noConversion"/>
  </si>
  <si>
    <t>불가</t>
    <phoneticPr fontId="1" type="noConversion"/>
  </si>
  <si>
    <t>누룽이</t>
    <phoneticPr fontId="1" type="noConversion"/>
  </si>
  <si>
    <t>박종혁</t>
    <phoneticPr fontId="1" type="noConversion"/>
  </si>
  <si>
    <t>이승현</t>
    <phoneticPr fontId="1" type="noConversion"/>
  </si>
  <si>
    <t>모찌</t>
    <phoneticPr fontId="1" type="noConversion"/>
  </si>
  <si>
    <t>햄스터사망</t>
    <phoneticPr fontId="1" type="noConversion"/>
  </si>
  <si>
    <t>이아현</t>
    <phoneticPr fontId="1" type="noConversion"/>
  </si>
  <si>
    <t>단추</t>
    <phoneticPr fontId="1" type="noConversion"/>
  </si>
  <si>
    <t>박준형</t>
    <phoneticPr fontId="1" type="noConversion"/>
  </si>
  <si>
    <t>정아</t>
    <phoneticPr fontId="1" type="noConversion"/>
  </si>
  <si>
    <t>정혜</t>
    <phoneticPr fontId="1" type="noConversion"/>
  </si>
  <si>
    <t>미발송</t>
    <phoneticPr fontId="1" type="noConversion"/>
  </si>
  <si>
    <t>누락</t>
    <phoneticPr fontId="1" type="noConversion"/>
  </si>
  <si>
    <t>야간내원</t>
    <phoneticPr fontId="1" type="noConversion"/>
  </si>
  <si>
    <t>정혜진</t>
    <phoneticPr fontId="1" type="noConversion"/>
  </si>
  <si>
    <t>까미</t>
    <phoneticPr fontId="1" type="noConversion"/>
  </si>
  <si>
    <t>당일</t>
    <phoneticPr fontId="1" type="noConversion"/>
  </si>
  <si>
    <t>발송완료</t>
    <phoneticPr fontId="1" type="noConversion"/>
  </si>
  <si>
    <t>송종혁</t>
    <phoneticPr fontId="1" type="noConversion"/>
  </si>
  <si>
    <t>이슬</t>
    <phoneticPr fontId="1" type="noConversion"/>
  </si>
  <si>
    <t>배미현</t>
    <phoneticPr fontId="1" type="noConversion"/>
  </si>
  <si>
    <t>표고</t>
    <phoneticPr fontId="1" type="noConversion"/>
  </si>
  <si>
    <t>지인</t>
    <phoneticPr fontId="1" type="noConversion"/>
  </si>
  <si>
    <t>땅콩</t>
    <phoneticPr fontId="1" type="noConversion"/>
  </si>
  <si>
    <t>안과</t>
    <phoneticPr fontId="1" type="noConversion"/>
  </si>
  <si>
    <t>논현동</t>
    <phoneticPr fontId="1" type="noConversion"/>
  </si>
  <si>
    <t>윤효서</t>
    <phoneticPr fontId="1" type="noConversion"/>
  </si>
  <si>
    <t>정혜</t>
    <phoneticPr fontId="1" type="noConversion"/>
  </si>
  <si>
    <t>김보규</t>
    <phoneticPr fontId="1" type="noConversion"/>
  </si>
  <si>
    <t>비비</t>
    <phoneticPr fontId="1" type="noConversion"/>
  </si>
  <si>
    <t>강아지</t>
    <phoneticPr fontId="1" type="noConversion"/>
  </si>
  <si>
    <t>1마리</t>
    <phoneticPr fontId="1" type="noConversion"/>
  </si>
  <si>
    <t>인터넷</t>
    <phoneticPr fontId="1" type="noConversion"/>
  </si>
  <si>
    <t>내과</t>
    <phoneticPr fontId="1" type="noConversion"/>
  </si>
  <si>
    <t>입원중</t>
    <phoneticPr fontId="1" type="noConversion"/>
  </si>
  <si>
    <t>02/12완료/리뷰완료/포인트저장</t>
    <phoneticPr fontId="1" type="noConversion"/>
  </si>
  <si>
    <t>02/13완료/리뷰완료/포인트저장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</si>
</sst>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mm&quot;월&quot;\ dd&quot;일&quot;"/>
  </numFmts>
  <fonts count="3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4"/>
      <name val="맑은 고딕"/>
      <family val="2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8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65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16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4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4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37" xfId="0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3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37" xfId="0" applyBorder="1">
      <alignment vertical="center"/>
    </xf>
    <xf numFmtId="0" fontId="0" fillId="0" borderId="4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9" xfId="0" applyBorder="1">
      <alignment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42" fontId="0" fillId="0" borderId="6" xfId="0" applyNumberFormat="1" applyBorder="1">
      <alignment vertical="center"/>
    </xf>
    <xf numFmtId="0" fontId="0" fillId="8" borderId="0" xfId="0" applyFill="1" applyAlignment="1">
      <alignment horizontal="center" vertical="center"/>
    </xf>
    <xf numFmtId="176" fontId="0" fillId="0" borderId="0" xfId="0" applyNumberFormat="1">
      <alignment vertical="center"/>
    </xf>
    <xf numFmtId="0" fontId="8" fillId="0" borderId="0" xfId="0" applyFont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9" fillId="0" borderId="0" xfId="0" applyFont="1">
      <alignment vertical="center"/>
    </xf>
    <xf numFmtId="0" fontId="10" fillId="3" borderId="1" xfId="0" applyFont="1" applyFill="1" applyBorder="1" applyAlignment="1">
      <alignment horizontal="left" vertical="center"/>
    </xf>
    <xf numFmtId="0" fontId="11" fillId="9" borderId="46" xfId="0" applyFont="1" applyFill="1" applyBorder="1" applyAlignment="1">
      <alignment horizontal="center" vertical="center"/>
    </xf>
    <xf numFmtId="0" fontId="11" fillId="9" borderId="21" xfId="0" applyFont="1" applyFill="1" applyBorder="1" applyAlignment="1">
      <alignment horizontal="center" vertical="center"/>
    </xf>
    <xf numFmtId="0" fontId="13" fillId="0" borderId="50" xfId="0" applyFont="1" applyBorder="1">
      <alignment vertical="center"/>
    </xf>
    <xf numFmtId="0" fontId="13" fillId="0" borderId="55" xfId="0" applyFont="1" applyBorder="1">
      <alignment vertical="center"/>
    </xf>
    <xf numFmtId="0" fontId="13" fillId="9" borderId="57" xfId="0" applyFont="1" applyFill="1" applyBorder="1" applyAlignment="1">
      <alignment horizontal="center" vertical="center"/>
    </xf>
    <xf numFmtId="0" fontId="13" fillId="9" borderId="55" xfId="0" applyFont="1" applyFill="1" applyBorder="1">
      <alignment vertical="center"/>
    </xf>
    <xf numFmtId="0" fontId="14" fillId="0" borderId="11" xfId="0" applyFont="1" applyBorder="1" applyAlignment="1">
      <alignment horizontal="center" vertical="center"/>
    </xf>
    <xf numFmtId="41" fontId="14" fillId="0" borderId="11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41" fontId="14" fillId="0" borderId="6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41" fontId="14" fillId="0" borderId="9" xfId="0" applyNumberFormat="1" applyFont="1" applyBorder="1" applyAlignment="1">
      <alignment horizontal="center" vertical="center"/>
    </xf>
    <xf numFmtId="41" fontId="14" fillId="7" borderId="6" xfId="0" applyNumberFormat="1" applyFont="1" applyFill="1" applyBorder="1" applyAlignment="1">
      <alignment horizontal="center" vertical="center"/>
    </xf>
    <xf numFmtId="41" fontId="14" fillId="7" borderId="9" xfId="0" applyNumberFormat="1" applyFont="1" applyFill="1" applyBorder="1" applyAlignment="1">
      <alignment horizontal="center" vertical="center"/>
    </xf>
    <xf numFmtId="0" fontId="11" fillId="9" borderId="22" xfId="0" applyFont="1" applyFill="1" applyBorder="1" applyAlignment="1">
      <alignment horizontal="center" vertical="center"/>
    </xf>
    <xf numFmtId="176" fontId="14" fillId="0" borderId="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41" fontId="14" fillId="0" borderId="59" xfId="0" applyNumberFormat="1" applyFont="1" applyBorder="1" applyAlignment="1">
      <alignment horizontal="center" vertical="center"/>
    </xf>
    <xf numFmtId="176" fontId="14" fillId="0" borderId="3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41" fontId="14" fillId="0" borderId="4" xfId="0" applyNumberFormat="1" applyFont="1" applyBorder="1" applyAlignment="1">
      <alignment horizontal="center" vertical="center"/>
    </xf>
    <xf numFmtId="41" fontId="14" fillId="7" borderId="4" xfId="0" applyNumberFormat="1" applyFont="1" applyFill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42" fontId="14" fillId="0" borderId="6" xfId="0" applyNumberFormat="1" applyFont="1" applyBorder="1" applyAlignment="1">
      <alignment horizontal="center" vertical="center"/>
    </xf>
    <xf numFmtId="42" fontId="14" fillId="0" borderId="51" xfId="0" applyNumberFormat="1" applyFont="1" applyBorder="1" applyAlignment="1">
      <alignment horizontal="center" vertical="center"/>
    </xf>
    <xf numFmtId="0" fontId="11" fillId="9" borderId="46" xfId="0" applyFont="1" applyFill="1" applyBorder="1" applyAlignment="1">
      <alignment horizontal="center" vertical="center" wrapText="1"/>
    </xf>
    <xf numFmtId="0" fontId="18" fillId="3" borderId="50" xfId="0" applyFont="1" applyFill="1" applyBorder="1" applyAlignment="1">
      <alignment horizontal="center" vertical="center"/>
    </xf>
    <xf numFmtId="0" fontId="16" fillId="14" borderId="5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42" fontId="15" fillId="0" borderId="23" xfId="0" applyNumberFormat="1" applyFont="1" applyBorder="1" applyAlignment="1">
      <alignment horizontal="center" vertical="center"/>
    </xf>
    <xf numFmtId="42" fontId="15" fillId="0" borderId="16" xfId="0" applyNumberFormat="1" applyFont="1" applyBorder="1" applyAlignment="1">
      <alignment horizontal="center" vertical="center"/>
    </xf>
    <xf numFmtId="42" fontId="14" fillId="0" borderId="16" xfId="0" applyNumberFormat="1" applyFont="1" applyBorder="1" applyAlignment="1">
      <alignment horizontal="center" vertical="center"/>
    </xf>
    <xf numFmtId="42" fontId="14" fillId="0" borderId="17" xfId="0" applyNumberFormat="1" applyFont="1" applyBorder="1" applyAlignment="1">
      <alignment horizontal="center" vertical="center"/>
    </xf>
    <xf numFmtId="42" fontId="14" fillId="0" borderId="55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14" fillId="0" borderId="65" xfId="0" applyFont="1" applyBorder="1" applyAlignment="1">
      <alignment horizontal="center" vertical="center"/>
    </xf>
    <xf numFmtId="176" fontId="14" fillId="0" borderId="11" xfId="0" applyNumberFormat="1" applyFont="1" applyBorder="1" applyAlignment="1">
      <alignment horizontal="center" vertical="center"/>
    </xf>
    <xf numFmtId="0" fontId="14" fillId="15" borderId="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1" fontId="19" fillId="0" borderId="6" xfId="0" applyNumberFormat="1" applyFont="1" applyBorder="1" applyAlignment="1">
      <alignment horizontal="center" vertical="center"/>
    </xf>
    <xf numFmtId="41" fontId="10" fillId="0" borderId="6" xfId="0" applyNumberFormat="1" applyFont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42" fontId="14" fillId="0" borderId="10" xfId="0" applyNumberFormat="1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34" xfId="0" applyFont="1" applyBorder="1">
      <alignment vertical="center"/>
    </xf>
    <xf numFmtId="0" fontId="14" fillId="0" borderId="24" xfId="0" applyFont="1" applyBorder="1" applyAlignment="1">
      <alignment horizontal="center" vertical="center"/>
    </xf>
    <xf numFmtId="0" fontId="9" fillId="11" borderId="55" xfId="0" applyFont="1" applyFill="1" applyBorder="1" applyAlignment="1">
      <alignment horizontal="center" vertical="center"/>
    </xf>
    <xf numFmtId="0" fontId="0" fillId="11" borderId="66" xfId="0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11" borderId="67" xfId="0" applyFill="1" applyBorder="1" applyAlignment="1">
      <alignment horizontal="center" vertical="center"/>
    </xf>
    <xf numFmtId="0" fontId="9" fillId="11" borderId="50" xfId="0" applyFont="1" applyFill="1" applyBorder="1" applyAlignment="1">
      <alignment horizontal="center" vertical="center"/>
    </xf>
    <xf numFmtId="0" fontId="0" fillId="11" borderId="47" xfId="0" applyFill="1" applyBorder="1" applyAlignment="1">
      <alignment horizontal="center" vertical="center"/>
    </xf>
    <xf numFmtId="0" fontId="0" fillId="11" borderId="46" xfId="0" applyFill="1" applyBorder="1" applyAlignment="1">
      <alignment horizontal="center" vertical="center"/>
    </xf>
    <xf numFmtId="0" fontId="0" fillId="11" borderId="68" xfId="0" applyFill="1" applyBorder="1" applyAlignment="1">
      <alignment horizontal="center" vertical="center"/>
    </xf>
    <xf numFmtId="0" fontId="9" fillId="11" borderId="77" xfId="0" applyFont="1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9" fillId="11" borderId="53" xfId="0" applyFont="1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9" fillId="11" borderId="65" xfId="0" applyFont="1" applyFill="1" applyBorder="1" applyAlignment="1">
      <alignment horizontal="center" vertical="center"/>
    </xf>
    <xf numFmtId="0" fontId="0" fillId="11" borderId="69" xfId="0" applyFill="1" applyBorder="1" applyAlignment="1">
      <alignment horizontal="center" vertical="center"/>
    </xf>
    <xf numFmtId="0" fontId="0" fillId="11" borderId="59" xfId="0" applyFill="1" applyBorder="1" applyAlignment="1">
      <alignment horizontal="center" vertical="center"/>
    </xf>
    <xf numFmtId="0" fontId="0" fillId="11" borderId="70" xfId="0" applyFill="1" applyBorder="1" applyAlignment="1">
      <alignment horizontal="center" vertical="center"/>
    </xf>
    <xf numFmtId="0" fontId="9" fillId="15" borderId="55" xfId="0" applyFont="1" applyFill="1" applyBorder="1" applyAlignment="1">
      <alignment horizontal="center" vertical="center"/>
    </xf>
    <xf numFmtId="0" fontId="0" fillId="15" borderId="66" xfId="0" applyFill="1" applyBorder="1" applyAlignment="1">
      <alignment horizontal="center" vertical="center"/>
    </xf>
    <xf numFmtId="0" fontId="0" fillId="15" borderId="24" xfId="0" applyFill="1" applyBorder="1" applyAlignment="1">
      <alignment horizontal="center" vertical="center"/>
    </xf>
    <xf numFmtId="0" fontId="0" fillId="15" borderId="67" xfId="0" applyFill="1" applyBorder="1" applyAlignment="1">
      <alignment horizontal="center" vertical="center"/>
    </xf>
    <xf numFmtId="0" fontId="9" fillId="11" borderId="22" xfId="0" applyFont="1" applyFill="1" applyBorder="1" applyAlignment="1">
      <alignment horizontal="center" vertical="center"/>
    </xf>
    <xf numFmtId="0" fontId="9" fillId="11" borderId="60" xfId="0" applyFont="1" applyFill="1" applyBorder="1" applyAlignment="1">
      <alignment horizontal="center" vertical="center"/>
    </xf>
    <xf numFmtId="0" fontId="0" fillId="11" borderId="40" xfId="0" applyFill="1" applyBorder="1" applyAlignment="1">
      <alignment horizontal="center" vertical="center"/>
    </xf>
    <xf numFmtId="0" fontId="9" fillId="11" borderId="27" xfId="0" applyFont="1" applyFill="1" applyBorder="1" applyAlignment="1">
      <alignment horizontal="center" vertical="center"/>
    </xf>
    <xf numFmtId="0" fontId="22" fillId="10" borderId="46" xfId="0" applyFont="1" applyFill="1" applyBorder="1" applyAlignment="1">
      <alignment horizontal="center" vertical="center"/>
    </xf>
    <xf numFmtId="0" fontId="11" fillId="10" borderId="22" xfId="0" applyFont="1" applyFill="1" applyBorder="1" applyAlignment="1">
      <alignment horizontal="center" vertical="center"/>
    </xf>
    <xf numFmtId="0" fontId="11" fillId="10" borderId="46" xfId="0" applyFont="1" applyFill="1" applyBorder="1" applyAlignment="1">
      <alignment horizontal="center" vertical="center" wrapText="1"/>
    </xf>
    <xf numFmtId="0" fontId="11" fillId="10" borderId="21" xfId="0" applyFont="1" applyFill="1" applyBorder="1" applyAlignment="1">
      <alignment horizontal="center" vertical="center" wrapText="1"/>
    </xf>
    <xf numFmtId="42" fontId="0" fillId="11" borderId="23" xfId="0" applyNumberFormat="1" applyFill="1" applyBorder="1" applyAlignment="1">
      <alignment horizontal="center" vertical="center"/>
    </xf>
    <xf numFmtId="42" fontId="0" fillId="11" borderId="24" xfId="0" applyNumberFormat="1" applyFill="1" applyBorder="1" applyAlignment="1">
      <alignment horizontal="center" vertical="center"/>
    </xf>
    <xf numFmtId="41" fontId="0" fillId="11" borderId="24" xfId="0" applyNumberFormat="1" applyFill="1" applyBorder="1" applyAlignment="1">
      <alignment horizontal="center" vertical="center"/>
    </xf>
    <xf numFmtId="42" fontId="0" fillId="11" borderId="22" xfId="0" applyNumberFormat="1" applyFill="1" applyBorder="1" applyAlignment="1">
      <alignment horizontal="center" vertical="center"/>
    </xf>
    <xf numFmtId="42" fontId="0" fillId="11" borderId="46" xfId="0" applyNumberFormat="1" applyFill="1" applyBorder="1" applyAlignment="1">
      <alignment horizontal="center" vertical="center"/>
    </xf>
    <xf numFmtId="41" fontId="0" fillId="11" borderId="46" xfId="0" applyNumberFormat="1" applyFill="1" applyBorder="1" applyAlignment="1">
      <alignment horizontal="center" vertical="center"/>
    </xf>
    <xf numFmtId="42" fontId="0" fillId="11" borderId="3" xfId="0" applyNumberFormat="1" applyFill="1" applyBorder="1" applyAlignment="1">
      <alignment horizontal="center" vertical="center"/>
    </xf>
    <xf numFmtId="42" fontId="0" fillId="11" borderId="4" xfId="0" applyNumberFormat="1" applyFill="1" applyBorder="1" applyAlignment="1">
      <alignment horizontal="center" vertical="center"/>
    </xf>
    <xf numFmtId="41" fontId="0" fillId="11" borderId="4" xfId="0" applyNumberFormat="1" applyFill="1" applyBorder="1" applyAlignment="1">
      <alignment horizontal="center" vertical="center"/>
    </xf>
    <xf numFmtId="42" fontId="0" fillId="11" borderId="8" xfId="0" applyNumberFormat="1" applyFill="1" applyBorder="1" applyAlignment="1">
      <alignment horizontal="center" vertical="center"/>
    </xf>
    <xf numFmtId="42" fontId="0" fillId="11" borderId="9" xfId="0" applyNumberFormat="1" applyFill="1" applyBorder="1" applyAlignment="1">
      <alignment horizontal="center" vertical="center"/>
    </xf>
    <xf numFmtId="41" fontId="0" fillId="11" borderId="9" xfId="0" applyNumberFormat="1" applyFill="1" applyBorder="1" applyAlignment="1">
      <alignment horizontal="center" vertical="center"/>
    </xf>
    <xf numFmtId="42" fontId="21" fillId="7" borderId="22" xfId="0" applyNumberFormat="1" applyFont="1" applyFill="1" applyBorder="1" applyAlignment="1">
      <alignment horizontal="center" vertical="center"/>
    </xf>
    <xf numFmtId="42" fontId="21" fillId="7" borderId="46" xfId="0" applyNumberFormat="1" applyFont="1" applyFill="1" applyBorder="1" applyAlignment="1">
      <alignment horizontal="center" vertical="center"/>
    </xf>
    <xf numFmtId="42" fontId="21" fillId="3" borderId="46" xfId="0" applyNumberFormat="1" applyFont="1" applyFill="1" applyBorder="1" applyAlignment="1">
      <alignment horizontal="center" vertical="center"/>
    </xf>
    <xf numFmtId="41" fontId="21" fillId="0" borderId="46" xfId="0" applyNumberFormat="1" applyFont="1" applyBorder="1" applyAlignment="1">
      <alignment horizontal="center" vertical="center"/>
    </xf>
    <xf numFmtId="42" fontId="0" fillId="11" borderId="79" xfId="0" applyNumberFormat="1" applyFill="1" applyBorder="1" applyAlignment="1">
      <alignment horizontal="center" vertical="center"/>
    </xf>
    <xf numFmtId="42" fontId="0" fillId="11" borderId="59" xfId="0" applyNumberFormat="1" applyFill="1" applyBorder="1" applyAlignment="1">
      <alignment horizontal="center" vertical="center"/>
    </xf>
    <xf numFmtId="41" fontId="0" fillId="11" borderId="59" xfId="0" applyNumberFormat="1" applyFill="1" applyBorder="1" applyAlignment="1">
      <alignment horizontal="center" vertical="center"/>
    </xf>
    <xf numFmtId="42" fontId="0" fillId="15" borderId="23" xfId="0" applyNumberFormat="1" applyFill="1" applyBorder="1" applyAlignment="1">
      <alignment horizontal="center" vertical="center"/>
    </xf>
    <xf numFmtId="42" fontId="0" fillId="15" borderId="24" xfId="0" applyNumberFormat="1" applyFill="1" applyBorder="1" applyAlignment="1">
      <alignment horizontal="center" vertical="center"/>
    </xf>
    <xf numFmtId="41" fontId="0" fillId="15" borderId="24" xfId="0" applyNumberFormat="1" applyFill="1" applyBorder="1" applyAlignment="1">
      <alignment horizontal="center" vertical="center"/>
    </xf>
    <xf numFmtId="42" fontId="0" fillId="11" borderId="60" xfId="0" applyNumberFormat="1" applyFill="1" applyBorder="1" applyAlignment="1">
      <alignment horizontal="center" vertical="center"/>
    </xf>
    <xf numFmtId="42" fontId="0" fillId="11" borderId="40" xfId="0" applyNumberFormat="1" applyFill="1" applyBorder="1" applyAlignment="1">
      <alignment horizontal="center" vertical="center"/>
    </xf>
    <xf numFmtId="41" fontId="0" fillId="11" borderId="40" xfId="0" applyNumberFormat="1" applyFill="1" applyBorder="1" applyAlignment="1">
      <alignment horizontal="center" vertical="center"/>
    </xf>
    <xf numFmtId="42" fontId="23" fillId="11" borderId="65" xfId="0" applyNumberFormat="1" applyFont="1" applyFill="1" applyBorder="1" applyAlignment="1">
      <alignment horizontal="center" vertical="center"/>
    </xf>
    <xf numFmtId="0" fontId="0" fillId="0" borderId="76" xfId="0" applyBorder="1">
      <alignment vertical="center"/>
    </xf>
    <xf numFmtId="0" fontId="13" fillId="0" borderId="27" xfId="0" applyFont="1" applyBorder="1">
      <alignment vertical="center"/>
    </xf>
    <xf numFmtId="0" fontId="0" fillId="0" borderId="42" xfId="0" applyBorder="1">
      <alignment vertical="center"/>
    </xf>
    <xf numFmtId="0" fontId="0" fillId="0" borderId="74" xfId="0" applyBorder="1">
      <alignment vertical="center"/>
    </xf>
    <xf numFmtId="42" fontId="14" fillId="3" borderId="7" xfId="0" applyNumberFormat="1" applyFont="1" applyFill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42" fontId="14" fillId="0" borderId="23" xfId="0" applyNumberFormat="1" applyFont="1" applyBorder="1" applyAlignment="1">
      <alignment horizontal="center" vertical="center"/>
    </xf>
    <xf numFmtId="42" fontId="14" fillId="0" borderId="3" xfId="0" applyNumberFormat="1" applyFont="1" applyBorder="1" applyAlignment="1">
      <alignment horizontal="center" vertical="center"/>
    </xf>
    <xf numFmtId="42" fontId="14" fillId="0" borderId="4" xfId="0" applyNumberFormat="1" applyFont="1" applyBorder="1" applyAlignment="1">
      <alignment horizontal="center" vertical="center"/>
    </xf>
    <xf numFmtId="42" fontId="14" fillId="3" borderId="26" xfId="0" applyNumberFormat="1" applyFont="1" applyFill="1" applyBorder="1" applyAlignment="1">
      <alignment horizontal="center" vertical="center"/>
    </xf>
    <xf numFmtId="42" fontId="14" fillId="0" borderId="77" xfId="0" applyNumberFormat="1" applyFont="1" applyBorder="1" applyAlignment="1">
      <alignment horizontal="center" vertical="center"/>
    </xf>
    <xf numFmtId="42" fontId="14" fillId="0" borderId="79" xfId="0" applyNumberFormat="1" applyFont="1" applyBorder="1" applyAlignment="1">
      <alignment horizontal="center" vertical="center"/>
    </xf>
    <xf numFmtId="42" fontId="14" fillId="0" borderId="9" xfId="0" applyNumberFormat="1" applyFont="1" applyBorder="1" applyAlignment="1">
      <alignment horizontal="center" vertical="center"/>
    </xf>
    <xf numFmtId="42" fontId="14" fillId="3" borderId="37" xfId="0" applyNumberFormat="1" applyFont="1" applyFill="1" applyBorder="1" applyAlignment="1">
      <alignment horizontal="center" vertical="center"/>
    </xf>
    <xf numFmtId="42" fontId="14" fillId="0" borderId="65" xfId="0" applyNumberFormat="1" applyFont="1" applyBorder="1" applyAlignment="1">
      <alignment horizontal="center" vertical="center"/>
    </xf>
    <xf numFmtId="42" fontId="14" fillId="0" borderId="24" xfId="0" applyNumberFormat="1" applyFont="1" applyBorder="1" applyAlignment="1">
      <alignment horizontal="center" vertical="center"/>
    </xf>
    <xf numFmtId="42" fontId="14" fillId="3" borderId="45" xfId="0" applyNumberFormat="1" applyFont="1" applyFill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42" fontId="14" fillId="0" borderId="22" xfId="0" applyNumberFormat="1" applyFont="1" applyBorder="1" applyAlignment="1">
      <alignment horizontal="center" vertical="center"/>
    </xf>
    <xf numFmtId="42" fontId="14" fillId="0" borderId="46" xfId="0" applyNumberFormat="1" applyFont="1" applyBorder="1" applyAlignment="1">
      <alignment horizontal="center" vertical="center"/>
    </xf>
    <xf numFmtId="42" fontId="14" fillId="3" borderId="21" xfId="0" applyNumberFormat="1" applyFont="1" applyFill="1" applyBorder="1" applyAlignment="1">
      <alignment horizontal="center" vertical="center"/>
    </xf>
    <xf numFmtId="42" fontId="14" fillId="0" borderId="50" xfId="0" applyNumberFormat="1" applyFont="1" applyBorder="1" applyAlignment="1">
      <alignment horizontal="center" vertical="center"/>
    </xf>
    <xf numFmtId="0" fontId="0" fillId="0" borderId="27" xfId="0" applyBorder="1">
      <alignment vertical="center"/>
    </xf>
    <xf numFmtId="42" fontId="14" fillId="0" borderId="12" xfId="0" applyNumberFormat="1" applyFont="1" applyBorder="1">
      <alignment vertical="center"/>
    </xf>
    <xf numFmtId="0" fontId="21" fillId="0" borderId="0" xfId="0" applyFont="1">
      <alignment vertical="center"/>
    </xf>
    <xf numFmtId="0" fontId="0" fillId="8" borderId="0" xfId="0" applyFill="1">
      <alignment vertical="center"/>
    </xf>
    <xf numFmtId="0" fontId="14" fillId="11" borderId="6" xfId="0" applyFont="1" applyFill="1" applyBorder="1" applyAlignment="1">
      <alignment horizontal="center" vertical="center"/>
    </xf>
    <xf numFmtId="0" fontId="11" fillId="0" borderId="40" xfId="0" applyFont="1" applyBorder="1">
      <alignment vertical="center"/>
    </xf>
    <xf numFmtId="0" fontId="11" fillId="0" borderId="24" xfId="0" applyFont="1" applyBorder="1">
      <alignment vertical="center"/>
    </xf>
    <xf numFmtId="0" fontId="11" fillId="0" borderId="59" xfId="0" applyFont="1" applyBorder="1">
      <alignment vertical="center"/>
    </xf>
    <xf numFmtId="0" fontId="24" fillId="0" borderId="6" xfId="0" applyFont="1" applyBorder="1" applyAlignment="1">
      <alignment horizontal="center" vertical="center"/>
    </xf>
    <xf numFmtId="42" fontId="8" fillId="11" borderId="46" xfId="0" applyNumberFormat="1" applyFont="1" applyFill="1" applyBorder="1" applyAlignment="1">
      <alignment horizontal="center" vertical="center"/>
    </xf>
    <xf numFmtId="0" fontId="17" fillId="11" borderId="57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42" fontId="0" fillId="11" borderId="10" xfId="0" applyNumberFormat="1" applyFill="1" applyBorder="1" applyAlignment="1">
      <alignment horizontal="center" vertical="center"/>
    </xf>
    <xf numFmtId="42" fontId="15" fillId="11" borderId="6" xfId="0" applyNumberFormat="1" applyFont="1" applyFill="1" applyBorder="1" applyAlignment="1">
      <alignment horizontal="center" vertical="center"/>
    </xf>
    <xf numFmtId="42" fontId="14" fillId="11" borderId="6" xfId="0" applyNumberFormat="1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14" fillId="8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9" fillId="8" borderId="23" xfId="0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horizontal="center" vertical="center"/>
    </xf>
    <xf numFmtId="0" fontId="19" fillId="8" borderId="45" xfId="0" applyFont="1" applyFill="1" applyBorder="1" applyAlignment="1">
      <alignment horizontal="center" vertical="center"/>
    </xf>
    <xf numFmtId="42" fontId="19" fillId="8" borderId="23" xfId="0" applyNumberFormat="1" applyFont="1" applyFill="1" applyBorder="1" applyAlignment="1">
      <alignment horizontal="center" vertical="center"/>
    </xf>
    <xf numFmtId="42" fontId="19" fillId="8" borderId="24" xfId="0" applyNumberFormat="1" applyFont="1" applyFill="1" applyBorder="1" applyAlignment="1">
      <alignment horizontal="center" vertical="center"/>
    </xf>
    <xf numFmtId="42" fontId="19" fillId="8" borderId="45" xfId="0" applyNumberFormat="1" applyFont="1" applyFill="1" applyBorder="1" applyAlignment="1">
      <alignment horizontal="center" vertical="center"/>
    </xf>
    <xf numFmtId="42" fontId="19" fillId="8" borderId="55" xfId="0" applyNumberFormat="1" applyFont="1" applyFill="1" applyBorder="1" applyAlignment="1">
      <alignment horizontal="center" vertical="center"/>
    </xf>
    <xf numFmtId="42" fontId="0" fillId="0" borderId="24" xfId="0" applyNumberFormat="1" applyBorder="1">
      <alignment vertical="center"/>
    </xf>
    <xf numFmtId="0" fontId="0" fillId="18" borderId="6" xfId="0" applyFill="1" applyBorder="1">
      <alignment vertical="center"/>
    </xf>
    <xf numFmtId="42" fontId="14" fillId="0" borderId="7" xfId="0" applyNumberFormat="1" applyFont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32" fillId="8" borderId="6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42" fontId="15" fillId="8" borderId="10" xfId="0" applyNumberFormat="1" applyFont="1" applyFill="1" applyBorder="1" applyAlignment="1">
      <alignment horizontal="center" vertical="center"/>
    </xf>
    <xf numFmtId="42" fontId="15" fillId="8" borderId="7" xfId="0" applyNumberFormat="1" applyFont="1" applyFill="1" applyBorder="1" applyAlignment="1">
      <alignment horizontal="center" vertical="center"/>
    </xf>
    <xf numFmtId="42" fontId="15" fillId="8" borderId="51" xfId="0" applyNumberFormat="1" applyFont="1" applyFill="1" applyBorder="1" applyAlignment="1">
      <alignment horizontal="center" vertical="center"/>
    </xf>
    <xf numFmtId="176" fontId="14" fillId="8" borderId="5" xfId="0" applyNumberFormat="1" applyFont="1" applyFill="1" applyBorder="1" applyAlignment="1">
      <alignment horizontal="center" vertical="center"/>
    </xf>
    <xf numFmtId="176" fontId="14" fillId="19" borderId="5" xfId="0" applyNumberFormat="1" applyFont="1" applyFill="1" applyBorder="1" applyAlignment="1">
      <alignment horizontal="center" vertical="center"/>
    </xf>
    <xf numFmtId="0" fontId="15" fillId="19" borderId="6" xfId="0" applyFont="1" applyFill="1" applyBorder="1" applyAlignment="1">
      <alignment horizontal="center" vertical="center"/>
    </xf>
    <xf numFmtId="0" fontId="14" fillId="19" borderId="6" xfId="0" applyFont="1" applyFill="1" applyBorder="1" applyAlignment="1">
      <alignment horizontal="center" vertical="center"/>
    </xf>
    <xf numFmtId="0" fontId="15" fillId="19" borderId="16" xfId="0" applyFont="1" applyFill="1" applyBorder="1" applyAlignment="1">
      <alignment horizontal="center" vertical="center"/>
    </xf>
    <xf numFmtId="0" fontId="14" fillId="19" borderId="11" xfId="0" applyFont="1" applyFill="1" applyBorder="1" applyAlignment="1">
      <alignment horizontal="center" vertical="center"/>
    </xf>
    <xf numFmtId="41" fontId="14" fillId="19" borderId="6" xfId="0" applyNumberFormat="1" applyFont="1" applyFill="1" applyBorder="1" applyAlignment="1">
      <alignment horizontal="center" vertical="center"/>
    </xf>
    <xf numFmtId="0" fontId="14" fillId="19" borderId="12" xfId="0" applyFont="1" applyFill="1" applyBorder="1" applyAlignment="1">
      <alignment horizontal="center" vertical="center"/>
    </xf>
    <xf numFmtId="0" fontId="15" fillId="19" borderId="12" xfId="0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9" fillId="0" borderId="68" xfId="0" applyFont="1" applyBorder="1" applyAlignment="1">
      <alignment horizontal="center" vertical="center"/>
    </xf>
    <xf numFmtId="0" fontId="16" fillId="14" borderId="62" xfId="0" applyFont="1" applyFill="1" applyBorder="1" applyAlignment="1">
      <alignment horizontal="center" vertical="center" wrapText="1"/>
    </xf>
    <xf numFmtId="0" fontId="19" fillId="11" borderId="68" xfId="0" applyFont="1" applyFill="1" applyBorder="1" applyAlignment="1">
      <alignment horizontal="center" vertical="center"/>
    </xf>
    <xf numFmtId="0" fontId="19" fillId="15" borderId="68" xfId="0" applyFont="1" applyFill="1" applyBorder="1" applyAlignment="1">
      <alignment horizontal="center" vertical="center"/>
    </xf>
    <xf numFmtId="0" fontId="16" fillId="14" borderId="62" xfId="0" applyFont="1" applyFill="1" applyBorder="1" applyAlignment="1">
      <alignment horizontal="center" vertical="center"/>
    </xf>
    <xf numFmtId="0" fontId="14" fillId="11" borderId="12" xfId="0" applyFont="1" applyFill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9" fillId="11" borderId="28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0" fontId="16" fillId="17" borderId="40" xfId="0" applyFont="1" applyFill="1" applyBorder="1" applyAlignment="1">
      <alignment horizontal="center" vertical="center"/>
    </xf>
    <xf numFmtId="42" fontId="0" fillId="0" borderId="0" xfId="0" applyNumberFormat="1">
      <alignment vertical="center"/>
    </xf>
    <xf numFmtId="0" fontId="14" fillId="0" borderId="67" xfId="0" applyFont="1" applyBorder="1" applyAlignment="1">
      <alignment horizontal="center" vertical="center"/>
    </xf>
    <xf numFmtId="0" fontId="16" fillId="14" borderId="63" xfId="0" applyFont="1" applyFill="1" applyBorder="1" applyAlignment="1">
      <alignment horizontal="center" vertical="center"/>
    </xf>
    <xf numFmtId="176" fontId="19" fillId="0" borderId="5" xfId="0" applyNumberFormat="1" applyFont="1" applyBorder="1" applyAlignment="1">
      <alignment horizontal="center" vertical="center"/>
    </xf>
    <xf numFmtId="0" fontId="10" fillId="0" borderId="24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41" fontId="14" fillId="0" borderId="0" xfId="0" applyNumberFormat="1" applyFont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3" fillId="0" borderId="0" xfId="0" applyFont="1">
      <alignment vertical="center"/>
    </xf>
    <xf numFmtId="0" fontId="14" fillId="4" borderId="2" xfId="0" applyFont="1" applyFill="1" applyBorder="1" applyAlignment="1">
      <alignment horizontal="center" vertical="center"/>
    </xf>
    <xf numFmtId="41" fontId="14" fillId="8" borderId="0" xfId="0" applyNumberFormat="1" applyFont="1" applyFill="1" applyAlignment="1">
      <alignment horizontal="center" vertical="center"/>
    </xf>
    <xf numFmtId="0" fontId="11" fillId="8" borderId="0" xfId="0" applyFont="1" applyFill="1">
      <alignment vertical="center"/>
    </xf>
    <xf numFmtId="0" fontId="0" fillId="8" borderId="6" xfId="0" applyFill="1" applyBorder="1">
      <alignment vertical="center"/>
    </xf>
    <xf numFmtId="42" fontId="0" fillId="8" borderId="6" xfId="0" applyNumberFormat="1" applyFill="1" applyBorder="1">
      <alignment vertical="center"/>
    </xf>
    <xf numFmtId="0" fontId="0" fillId="8" borderId="6" xfId="0" applyFill="1" applyBorder="1" applyAlignment="1">
      <alignment horizontal="center" vertical="center"/>
    </xf>
    <xf numFmtId="42" fontId="0" fillId="8" borderId="0" xfId="0" applyNumberFormat="1" applyFill="1">
      <alignment vertical="center"/>
    </xf>
    <xf numFmtId="41" fontId="14" fillId="0" borderId="62" xfId="0" applyNumberFormat="1" applyFont="1" applyBorder="1" applyAlignment="1">
      <alignment horizontal="center" vertical="center"/>
    </xf>
    <xf numFmtId="41" fontId="10" fillId="0" borderId="11" xfId="0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41" fontId="14" fillId="0" borderId="12" xfId="0" applyNumberFormat="1" applyFont="1" applyBorder="1" applyAlignment="1">
      <alignment horizontal="center" vertical="center"/>
    </xf>
    <xf numFmtId="41" fontId="14" fillId="0" borderId="28" xfId="0" applyNumberFormat="1" applyFont="1" applyBorder="1" applyAlignment="1">
      <alignment horizontal="center" vertical="center"/>
    </xf>
    <xf numFmtId="0" fontId="9" fillId="0" borderId="6" xfId="0" applyFont="1" applyBorder="1">
      <alignment vertical="center"/>
    </xf>
    <xf numFmtId="0" fontId="0" fillId="0" borderId="12" xfId="0" applyBorder="1">
      <alignment vertical="center"/>
    </xf>
    <xf numFmtId="0" fontId="9" fillId="0" borderId="12" xfId="0" applyFont="1" applyBorder="1">
      <alignment vertical="center"/>
    </xf>
    <xf numFmtId="176" fontId="0" fillId="0" borderId="6" xfId="0" applyNumberFormat="1" applyBorder="1">
      <alignment vertical="center"/>
    </xf>
    <xf numFmtId="0" fontId="21" fillId="0" borderId="6" xfId="0" applyFont="1" applyBorder="1">
      <alignment vertical="center"/>
    </xf>
    <xf numFmtId="0" fontId="26" fillId="0" borderId="6" xfId="0" applyFont="1" applyBorder="1">
      <alignment vertical="center"/>
    </xf>
    <xf numFmtId="41" fontId="14" fillId="8" borderId="11" xfId="0" applyNumberFormat="1" applyFont="1" applyFill="1" applyBorder="1" applyAlignment="1">
      <alignment horizontal="center" vertical="center"/>
    </xf>
    <xf numFmtId="41" fontId="14" fillId="8" borderId="6" xfId="0" applyNumberFormat="1" applyFont="1" applyFill="1" applyBorder="1" applyAlignment="1">
      <alignment horizontal="center" vertical="center"/>
    </xf>
    <xf numFmtId="41" fontId="14" fillId="8" borderId="12" xfId="0" applyNumberFormat="1" applyFont="1" applyFill="1" applyBorder="1" applyAlignment="1">
      <alignment horizontal="center" vertical="center"/>
    </xf>
    <xf numFmtId="41" fontId="19" fillId="8" borderId="11" xfId="0" applyNumberFormat="1" applyFont="1" applyFill="1" applyBorder="1" applyAlignment="1">
      <alignment horizontal="center" vertical="center"/>
    </xf>
    <xf numFmtId="41" fontId="19" fillId="8" borderId="6" xfId="0" applyNumberFormat="1" applyFont="1" applyFill="1" applyBorder="1" applyAlignment="1">
      <alignment horizontal="center" vertical="center"/>
    </xf>
    <xf numFmtId="0" fontId="33" fillId="7" borderId="50" xfId="0" applyFont="1" applyFill="1" applyBorder="1" applyAlignment="1">
      <alignment horizontal="center" vertical="center" wrapText="1"/>
    </xf>
    <xf numFmtId="0" fontId="11" fillId="0" borderId="41" xfId="0" applyFont="1" applyBorder="1">
      <alignment vertical="center"/>
    </xf>
    <xf numFmtId="0" fontId="16" fillId="17" borderId="1" xfId="0" applyFont="1" applyFill="1" applyBorder="1" applyAlignment="1">
      <alignment horizontal="center" vertical="center"/>
    </xf>
    <xf numFmtId="0" fontId="18" fillId="7" borderId="50" xfId="0" applyFont="1" applyFill="1" applyBorder="1" applyAlignment="1">
      <alignment horizontal="center" vertical="center"/>
    </xf>
    <xf numFmtId="0" fontId="17" fillId="17" borderId="50" xfId="0" applyFont="1" applyFill="1" applyBorder="1" applyAlignment="1">
      <alignment horizontal="center" vertical="center" wrapText="1"/>
    </xf>
    <xf numFmtId="0" fontId="16" fillId="17" borderId="50" xfId="0" applyFont="1" applyFill="1" applyBorder="1" applyAlignment="1">
      <alignment horizontal="center" vertical="center"/>
    </xf>
    <xf numFmtId="41" fontId="14" fillId="8" borderId="34" xfId="0" applyNumberFormat="1" applyFont="1" applyFill="1" applyBorder="1" applyAlignment="1">
      <alignment horizontal="center" vertical="center"/>
    </xf>
    <xf numFmtId="0" fontId="0" fillId="0" borderId="34" xfId="0" applyBorder="1">
      <alignment vertical="center"/>
    </xf>
    <xf numFmtId="0" fontId="14" fillId="4" borderId="56" xfId="0" applyFont="1" applyFill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4" fillId="4" borderId="57" xfId="0" applyFont="1" applyFill="1" applyBorder="1" applyAlignment="1">
      <alignment horizontal="center" vertical="center"/>
    </xf>
    <xf numFmtId="0" fontId="19" fillId="4" borderId="57" xfId="0" applyFont="1" applyFill="1" applyBorder="1" applyAlignment="1">
      <alignment horizontal="center" vertical="center"/>
    </xf>
    <xf numFmtId="0" fontId="14" fillId="4" borderId="58" xfId="0" applyFont="1" applyFill="1" applyBorder="1" applyAlignment="1">
      <alignment horizontal="center" vertical="center"/>
    </xf>
    <xf numFmtId="0" fontId="0" fillId="0" borderId="28" xfId="0" applyBorder="1">
      <alignment vertical="center"/>
    </xf>
    <xf numFmtId="0" fontId="9" fillId="0" borderId="9" xfId="0" applyFont="1" applyBorder="1">
      <alignment vertical="center"/>
    </xf>
    <xf numFmtId="41" fontId="14" fillId="20" borderId="62" xfId="0" applyNumberFormat="1" applyFont="1" applyFill="1" applyBorder="1" applyAlignment="1">
      <alignment horizontal="center" vertical="center"/>
    </xf>
    <xf numFmtId="0" fontId="15" fillId="7" borderId="50" xfId="0" applyFont="1" applyFill="1" applyBorder="1">
      <alignment vertical="center"/>
    </xf>
    <xf numFmtId="0" fontId="15" fillId="7" borderId="50" xfId="0" applyFont="1" applyFill="1" applyBorder="1" applyAlignment="1">
      <alignment horizontal="center" vertical="center"/>
    </xf>
    <xf numFmtId="0" fontId="15" fillId="17" borderId="50" xfId="0" applyFont="1" applyFill="1" applyBorder="1">
      <alignment vertical="center"/>
    </xf>
    <xf numFmtId="0" fontId="15" fillId="17" borderId="50" xfId="0" applyFont="1" applyFill="1" applyBorder="1" applyAlignment="1">
      <alignment horizontal="center" vertical="center"/>
    </xf>
    <xf numFmtId="0" fontId="11" fillId="17" borderId="60" xfId="0" applyFont="1" applyFill="1" applyBorder="1" applyAlignment="1">
      <alignment horizontal="center" vertical="center"/>
    </xf>
    <xf numFmtId="0" fontId="11" fillId="17" borderId="40" xfId="0" applyFont="1" applyFill="1" applyBorder="1" applyAlignment="1">
      <alignment horizontal="center" vertical="center"/>
    </xf>
    <xf numFmtId="0" fontId="16" fillId="17" borderId="60" xfId="0" applyFont="1" applyFill="1" applyBorder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0" fontId="11" fillId="17" borderId="41" xfId="0" applyFont="1" applyFill="1" applyBorder="1" applyAlignment="1">
      <alignment horizontal="center" vertical="center"/>
    </xf>
    <xf numFmtId="0" fontId="11" fillId="17" borderId="39" xfId="0" applyFont="1" applyFill="1" applyBorder="1" applyAlignment="1">
      <alignment horizontal="center" vertical="center"/>
    </xf>
    <xf numFmtId="0" fontId="11" fillId="17" borderId="50" xfId="0" applyFont="1" applyFill="1" applyBorder="1" applyAlignment="1">
      <alignment horizontal="center" vertical="center"/>
    </xf>
    <xf numFmtId="0" fontId="11" fillId="17" borderId="42" xfId="0" applyFont="1" applyFill="1" applyBorder="1" applyAlignment="1">
      <alignment horizontal="center" vertical="center"/>
    </xf>
    <xf numFmtId="0" fontId="12" fillId="17" borderId="50" xfId="0" applyFont="1" applyFill="1" applyBorder="1">
      <alignment vertical="center"/>
    </xf>
    <xf numFmtId="0" fontId="0" fillId="8" borderId="12" xfId="0" applyFill="1" applyBorder="1">
      <alignment vertical="center"/>
    </xf>
    <xf numFmtId="0" fontId="0" fillId="8" borderId="12" xfId="0" applyFill="1" applyBorder="1" applyAlignment="1">
      <alignment horizontal="center" vertical="center"/>
    </xf>
    <xf numFmtId="0" fontId="11" fillId="0" borderId="67" xfId="0" applyFont="1" applyBorder="1">
      <alignment vertical="center"/>
    </xf>
    <xf numFmtId="0" fontId="12" fillId="7" borderId="50" xfId="0" applyFont="1" applyFill="1" applyBorder="1" applyAlignment="1">
      <alignment horizontal="center" vertical="center"/>
    </xf>
    <xf numFmtId="41" fontId="14" fillId="8" borderId="59" xfId="0" applyNumberFormat="1" applyFont="1" applyFill="1" applyBorder="1" applyAlignment="1">
      <alignment horizontal="center" vertical="center"/>
    </xf>
    <xf numFmtId="41" fontId="14" fillId="8" borderId="9" xfId="0" applyNumberFormat="1" applyFont="1" applyFill="1" applyBorder="1" applyAlignment="1">
      <alignment horizontal="center" vertical="center"/>
    </xf>
    <xf numFmtId="176" fontId="0" fillId="8" borderId="6" xfId="0" applyNumberFormat="1" applyFill="1" applyBorder="1">
      <alignment vertical="center"/>
    </xf>
    <xf numFmtId="0" fontId="28" fillId="8" borderId="6" xfId="0" applyFont="1" applyFill="1" applyBorder="1">
      <alignment vertical="center"/>
    </xf>
    <xf numFmtId="0" fontId="27" fillId="8" borderId="6" xfId="0" applyFont="1" applyFill="1" applyBorder="1">
      <alignment vertical="center"/>
    </xf>
    <xf numFmtId="41" fontId="31" fillId="8" borderId="6" xfId="0" applyNumberFormat="1" applyFont="1" applyFill="1" applyBorder="1">
      <alignment vertical="center"/>
    </xf>
    <xf numFmtId="0" fontId="29" fillId="8" borderId="6" xfId="0" applyFont="1" applyFill="1" applyBorder="1">
      <alignment vertical="center"/>
    </xf>
    <xf numFmtId="0" fontId="30" fillId="8" borderId="6" xfId="0" applyFont="1" applyFill="1" applyBorder="1">
      <alignment vertical="center"/>
    </xf>
    <xf numFmtId="41" fontId="14" fillId="0" borderId="34" xfId="0" applyNumberFormat="1" applyFont="1" applyBorder="1" applyAlignment="1">
      <alignment horizontal="center" vertical="center"/>
    </xf>
    <xf numFmtId="0" fontId="18" fillId="17" borderId="50" xfId="0" applyFont="1" applyFill="1" applyBorder="1" applyAlignment="1">
      <alignment horizontal="center" vertical="center" wrapText="1"/>
    </xf>
    <xf numFmtId="0" fontId="33" fillId="7" borderId="2" xfId="0" applyFont="1" applyFill="1" applyBorder="1" applyAlignment="1">
      <alignment horizontal="center" vertical="center" wrapText="1"/>
    </xf>
    <xf numFmtId="0" fontId="18" fillId="14" borderId="50" xfId="0" applyFont="1" applyFill="1" applyBorder="1" applyAlignment="1">
      <alignment horizontal="center" vertical="center"/>
    </xf>
    <xf numFmtId="0" fontId="0" fillId="8" borderId="11" xfId="0" applyFill="1" applyBorder="1">
      <alignment vertical="center"/>
    </xf>
    <xf numFmtId="41" fontId="14" fillId="8" borderId="34" xfId="0" applyNumberFormat="1" applyFont="1" applyFill="1" applyBorder="1">
      <alignment vertical="center"/>
    </xf>
    <xf numFmtId="0" fontId="18" fillId="17" borderId="50" xfId="0" applyFont="1" applyFill="1" applyBorder="1" applyAlignment="1">
      <alignment horizontal="center" vertical="center"/>
    </xf>
    <xf numFmtId="0" fontId="16" fillId="7" borderId="50" xfId="0" applyFont="1" applyFill="1" applyBorder="1">
      <alignment vertical="center"/>
    </xf>
    <xf numFmtId="0" fontId="16" fillId="7" borderId="50" xfId="0" applyFont="1" applyFill="1" applyBorder="1" applyAlignment="1">
      <alignment horizontal="center" vertical="center"/>
    </xf>
    <xf numFmtId="0" fontId="16" fillId="17" borderId="50" xfId="0" applyFont="1" applyFill="1" applyBorder="1">
      <alignment vertical="center"/>
    </xf>
    <xf numFmtId="0" fontId="16" fillId="17" borderId="36" xfId="0" applyFont="1" applyFill="1" applyBorder="1" applyAlignment="1">
      <alignment horizontal="center" vertical="center"/>
    </xf>
    <xf numFmtId="0" fontId="11" fillId="7" borderId="50" xfId="0" applyFont="1" applyFill="1" applyBorder="1" applyAlignment="1">
      <alignment horizontal="center" vertical="center"/>
    </xf>
    <xf numFmtId="0" fontId="11" fillId="17" borderId="50" xfId="0" applyFont="1" applyFill="1" applyBorder="1">
      <alignment vertical="center"/>
    </xf>
    <xf numFmtId="42" fontId="0" fillId="0" borderId="16" xfId="0" applyNumberFormat="1" applyBorder="1">
      <alignment vertical="center"/>
    </xf>
    <xf numFmtId="0" fontId="17" fillId="17" borderId="51" xfId="0" applyFont="1" applyFill="1" applyBorder="1" applyAlignment="1">
      <alignment horizontal="center" vertical="center"/>
    </xf>
    <xf numFmtId="0" fontId="17" fillId="17" borderId="52" xfId="0" applyFont="1" applyFill="1" applyBorder="1" applyAlignment="1">
      <alignment horizontal="center" vertical="center"/>
    </xf>
    <xf numFmtId="0" fontId="17" fillId="17" borderId="80" xfId="0" applyFont="1" applyFill="1" applyBorder="1" applyAlignment="1">
      <alignment horizontal="center" vertical="center"/>
    </xf>
    <xf numFmtId="0" fontId="17" fillId="17" borderId="50" xfId="0" applyFont="1" applyFill="1" applyBorder="1" applyAlignment="1">
      <alignment horizontal="center" vertical="center"/>
    </xf>
    <xf numFmtId="0" fontId="17" fillId="17" borderId="53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14" fillId="11" borderId="11" xfId="0" applyFont="1" applyFill="1" applyBorder="1" applyAlignment="1">
      <alignment horizontal="center" vertical="center"/>
    </xf>
    <xf numFmtId="42" fontId="14" fillId="11" borderId="10" xfId="0" applyNumberFormat="1" applyFont="1" applyFill="1" applyBorder="1" applyAlignment="1">
      <alignment horizontal="center" vertical="center"/>
    </xf>
    <xf numFmtId="42" fontId="14" fillId="11" borderId="7" xfId="0" applyNumberFormat="1" applyFont="1" applyFill="1" applyBorder="1" applyAlignment="1">
      <alignment horizontal="center" vertical="center"/>
    </xf>
    <xf numFmtId="42" fontId="14" fillId="11" borderId="51" xfId="0" applyNumberFormat="1" applyFont="1" applyFill="1" applyBorder="1" applyAlignment="1">
      <alignment horizontal="center" vertical="center"/>
    </xf>
    <xf numFmtId="0" fontId="14" fillId="11" borderId="18" xfId="0" applyFont="1" applyFill="1" applyBorder="1" applyAlignment="1">
      <alignment horizontal="center" vertical="center"/>
    </xf>
    <xf numFmtId="0" fontId="14" fillId="11" borderId="34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4" fillId="3" borderId="57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31" xfId="0" applyFont="1" applyFill="1" applyBorder="1" applyAlignment="1">
      <alignment horizontal="center" vertical="center"/>
    </xf>
    <xf numFmtId="0" fontId="14" fillId="0" borderId="72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66" xfId="0" applyFont="1" applyBorder="1" applyAlignment="1">
      <alignment horizontal="center" vertical="center" wrapText="1"/>
    </xf>
    <xf numFmtId="0" fontId="14" fillId="0" borderId="71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  <xf numFmtId="0" fontId="14" fillId="11" borderId="36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19" fillId="11" borderId="36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11" borderId="54" xfId="0" applyFill="1" applyBorder="1" applyAlignment="1">
      <alignment horizontal="center" vertical="center"/>
    </xf>
    <xf numFmtId="0" fontId="0" fillId="11" borderId="49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62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14" fillId="0" borderId="63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7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59" xfId="0" applyFont="1" applyBorder="1" applyAlignment="1">
      <alignment horizontal="center" vertical="center" wrapText="1"/>
    </xf>
    <xf numFmtId="41" fontId="0" fillId="11" borderId="68" xfId="0" applyNumberFormat="1" applyFill="1" applyBorder="1" applyAlignment="1">
      <alignment horizontal="center" vertical="center"/>
    </xf>
    <xf numFmtId="41" fontId="0" fillId="11" borderId="1" xfId="0" applyNumberFormat="1" applyFill="1" applyBorder="1" applyAlignment="1">
      <alignment horizontal="center" vertical="center"/>
    </xf>
    <xf numFmtId="41" fontId="0" fillId="11" borderId="2" xfId="0" applyNumberFormat="1" applyFill="1" applyBorder="1" applyAlignment="1">
      <alignment horizontal="center" vertical="center"/>
    </xf>
    <xf numFmtId="41" fontId="21" fillId="0" borderId="68" xfId="0" applyNumberFormat="1" applyFont="1" applyBorder="1" applyAlignment="1">
      <alignment horizontal="center" vertical="center"/>
    </xf>
    <xf numFmtId="41" fontId="21" fillId="0" borderId="1" xfId="0" applyNumberFormat="1" applyFont="1" applyBorder="1" applyAlignment="1">
      <alignment horizontal="center" vertical="center"/>
    </xf>
    <xf numFmtId="41" fontId="21" fillId="0" borderId="2" xfId="0" applyNumberFormat="1" applyFont="1" applyBorder="1" applyAlignment="1">
      <alignment horizontal="center" vertical="center"/>
    </xf>
    <xf numFmtId="41" fontId="0" fillId="15" borderId="68" xfId="0" applyNumberFormat="1" applyFill="1" applyBorder="1" applyAlignment="1">
      <alignment horizontal="center" vertical="center"/>
    </xf>
    <xf numFmtId="41" fontId="0" fillId="15" borderId="1" xfId="0" applyNumberFormat="1" applyFill="1" applyBorder="1" applyAlignment="1">
      <alignment horizontal="center" vertical="center"/>
    </xf>
    <xf numFmtId="41" fontId="0" fillId="15" borderId="2" xfId="0" applyNumberFormat="1" applyFill="1" applyBorder="1" applyAlignment="1">
      <alignment horizontal="center" vertical="center"/>
    </xf>
    <xf numFmtId="41" fontId="0" fillId="11" borderId="47" xfId="0" applyNumberFormat="1" applyFill="1" applyBorder="1" applyAlignment="1">
      <alignment horizontal="center" vertical="center"/>
    </xf>
    <xf numFmtId="0" fontId="14" fillId="11" borderId="10" xfId="0" applyFont="1" applyFill="1" applyBorder="1" applyAlignment="1">
      <alignment horizontal="center" vertical="center"/>
    </xf>
    <xf numFmtId="0" fontId="14" fillId="11" borderId="11" xfId="0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center" vertical="center"/>
    </xf>
    <xf numFmtId="0" fontId="11" fillId="13" borderId="39" xfId="0" applyFont="1" applyFill="1" applyBorder="1" applyAlignment="1">
      <alignment horizontal="center" vertical="center" wrapText="1"/>
    </xf>
    <xf numFmtId="0" fontId="11" fillId="13" borderId="6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1" fontId="0" fillId="11" borderId="70" xfId="0" applyNumberFormat="1" applyFill="1" applyBorder="1" applyAlignment="1">
      <alignment horizontal="center" vertical="center"/>
    </xf>
    <xf numFmtId="41" fontId="0" fillId="11" borderId="74" xfId="0" applyNumberFormat="1" applyFill="1" applyBorder="1" applyAlignment="1">
      <alignment horizontal="center" vertical="center"/>
    </xf>
    <xf numFmtId="41" fontId="0" fillId="11" borderId="75" xfId="0" applyNumberFormat="1" applyFill="1" applyBorder="1" applyAlignment="1">
      <alignment horizontal="center" vertical="center"/>
    </xf>
    <xf numFmtId="41" fontId="0" fillId="11" borderId="62" xfId="0" applyNumberFormat="1" applyFill="1" applyBorder="1" applyAlignment="1">
      <alignment horizontal="center" vertical="center"/>
    </xf>
    <xf numFmtId="41" fontId="0" fillId="11" borderId="63" xfId="0" applyNumberFormat="1" applyFill="1" applyBorder="1" applyAlignment="1">
      <alignment horizontal="center" vertical="center"/>
    </xf>
    <xf numFmtId="41" fontId="0" fillId="11" borderId="64" xfId="0" applyNumberFormat="1" applyFill="1" applyBorder="1" applyAlignment="1">
      <alignment horizontal="center" vertical="center"/>
    </xf>
    <xf numFmtId="41" fontId="0" fillId="11" borderId="28" xfId="0" applyNumberFormat="1" applyFill="1" applyBorder="1" applyAlignment="1">
      <alignment horizontal="center" vertical="center"/>
    </xf>
    <xf numFmtId="41" fontId="0" fillId="11" borderId="29" xfId="0" applyNumberFormat="1" applyFill="1" applyBorder="1" applyAlignment="1">
      <alignment horizontal="center" vertical="center"/>
    </xf>
    <xf numFmtId="41" fontId="0" fillId="11" borderId="30" xfId="0" applyNumberForma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71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72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0" fontId="14" fillId="0" borderId="75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78" xfId="0" applyFont="1" applyBorder="1" applyAlignment="1">
      <alignment horizontal="center" vertical="center"/>
    </xf>
    <xf numFmtId="0" fontId="14" fillId="0" borderId="73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67" xfId="0" applyFont="1" applyBorder="1" applyAlignment="1">
      <alignment horizontal="center" vertical="center"/>
    </xf>
    <xf numFmtId="0" fontId="11" fillId="12" borderId="60" xfId="0" applyFont="1" applyFill="1" applyBorder="1" applyAlignment="1">
      <alignment horizontal="center" vertical="center"/>
    </xf>
    <xf numFmtId="0" fontId="11" fillId="12" borderId="40" xfId="0" applyFont="1" applyFill="1" applyBorder="1" applyAlignment="1">
      <alignment horizontal="center" vertical="center"/>
    </xf>
    <xf numFmtId="0" fontId="11" fillId="12" borderId="61" xfId="0" applyFont="1" applyFill="1" applyBorder="1" applyAlignment="1">
      <alignment horizontal="center" vertical="center"/>
    </xf>
    <xf numFmtId="0" fontId="16" fillId="14" borderId="56" xfId="0" applyFont="1" applyFill="1" applyBorder="1" applyAlignment="1">
      <alignment horizontal="center" vertical="center" wrapText="1"/>
    </xf>
    <xf numFmtId="0" fontId="16" fillId="14" borderId="63" xfId="0" applyFont="1" applyFill="1" applyBorder="1" applyAlignment="1">
      <alignment horizontal="center" vertical="center" wrapText="1"/>
    </xf>
    <xf numFmtId="0" fontId="16" fillId="14" borderId="54" xfId="0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/>
    </xf>
    <xf numFmtId="0" fontId="0" fillId="0" borderId="36" xfId="0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42" fontId="14" fillId="3" borderId="13" xfId="0" applyNumberFormat="1" applyFont="1" applyFill="1" applyBorder="1" applyAlignment="1">
      <alignment horizontal="center" vertical="center"/>
    </xf>
    <xf numFmtId="42" fontId="14" fillId="3" borderId="31" xfId="0" applyNumberFormat="1" applyFont="1" applyFill="1" applyBorder="1" applyAlignment="1">
      <alignment horizontal="center" vertical="center"/>
    </xf>
    <xf numFmtId="0" fontId="18" fillId="14" borderId="36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4" borderId="2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/>
    </xf>
    <xf numFmtId="0" fontId="30" fillId="3" borderId="6" xfId="0" applyFont="1" applyFill="1" applyBorder="1" applyAlignment="1">
      <alignment horizontal="center" vertical="center"/>
    </xf>
    <xf numFmtId="0" fontId="27" fillId="17" borderId="6" xfId="0" applyFont="1" applyFill="1" applyBorder="1" applyAlignment="1">
      <alignment horizontal="center" vertical="center"/>
    </xf>
    <xf numFmtId="41" fontId="31" fillId="0" borderId="6" xfId="0" applyNumberFormat="1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16" fillId="14" borderId="36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9" fillId="15" borderId="36" xfId="0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11" borderId="73" xfId="0" applyFont="1" applyFill="1" applyBorder="1" applyAlignment="1">
      <alignment horizontal="center" vertical="center"/>
    </xf>
    <xf numFmtId="0" fontId="19" fillId="11" borderId="43" xfId="0" applyFont="1" applyFill="1" applyBorder="1" applyAlignment="1">
      <alignment horizontal="center" vertical="center"/>
    </xf>
    <xf numFmtId="0" fontId="19" fillId="11" borderId="38" xfId="0" applyFont="1" applyFill="1" applyBorder="1" applyAlignment="1">
      <alignment horizontal="center" vertical="center"/>
    </xf>
    <xf numFmtId="0" fontId="19" fillId="11" borderId="75" xfId="0" applyFont="1" applyFill="1" applyBorder="1" applyAlignment="1">
      <alignment horizontal="center" vertical="center"/>
    </xf>
    <xf numFmtId="0" fontId="0" fillId="8" borderId="67" xfId="0" applyFill="1" applyBorder="1" applyAlignment="1">
      <alignment horizontal="left" vertical="center"/>
    </xf>
    <xf numFmtId="0" fontId="19" fillId="8" borderId="25" xfId="0" applyFont="1" applyFill="1" applyBorder="1" applyAlignment="1">
      <alignment horizontal="center" vertical="center"/>
    </xf>
    <xf numFmtId="0" fontId="19" fillId="8" borderId="16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4" fillId="11" borderId="25" xfId="0" applyFont="1" applyFill="1" applyBorder="1" applyAlignment="1">
      <alignment horizontal="center" vertical="center"/>
    </xf>
    <xf numFmtId="0" fontId="24" fillId="11" borderId="16" xfId="0" applyFont="1" applyFill="1" applyBorder="1" applyAlignment="1">
      <alignment horizontal="center" vertical="center"/>
    </xf>
    <xf numFmtId="0" fontId="24" fillId="11" borderId="11" xfId="0" applyFont="1" applyFill="1" applyBorder="1" applyAlignment="1">
      <alignment horizontal="center" vertical="center"/>
    </xf>
    <xf numFmtId="0" fontId="14" fillId="11" borderId="17" xfId="0" applyFont="1" applyFill="1" applyBorder="1" applyAlignment="1">
      <alignment horizontal="center" vertical="center"/>
    </xf>
    <xf numFmtId="0" fontId="14" fillId="11" borderId="72" xfId="0" applyFont="1" applyFill="1" applyBorder="1" applyAlignment="1">
      <alignment horizontal="center" vertical="center"/>
    </xf>
    <xf numFmtId="0" fontId="14" fillId="11" borderId="19" xfId="0" applyFont="1" applyFill="1" applyBorder="1" applyAlignment="1">
      <alignment horizontal="center" vertical="center"/>
    </xf>
    <xf numFmtId="0" fontId="14" fillId="11" borderId="20" xfId="0" applyFont="1" applyFill="1" applyBorder="1" applyAlignment="1">
      <alignment horizontal="center" vertical="center"/>
    </xf>
    <xf numFmtId="0" fontId="14" fillId="11" borderId="71" xfId="0" applyFont="1" applyFill="1" applyBorder="1" applyAlignment="1">
      <alignment horizontal="center" vertical="center"/>
    </xf>
    <xf numFmtId="0" fontId="14" fillId="11" borderId="35" xfId="0" applyFont="1" applyFill="1" applyBorder="1" applyAlignment="1">
      <alignment horizontal="center" vertical="center"/>
    </xf>
    <xf numFmtId="0" fontId="14" fillId="11" borderId="48" xfId="0" applyFont="1" applyFill="1" applyBorder="1" applyAlignment="1">
      <alignment horizontal="center" vertical="center"/>
    </xf>
    <xf numFmtId="0" fontId="14" fillId="3" borderId="72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33" xfId="0" applyFont="1" applyFill="1" applyBorder="1" applyAlignment="1">
      <alignment horizontal="center" vertical="center"/>
    </xf>
    <xf numFmtId="0" fontId="14" fillId="3" borderId="71" xfId="0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/>
    </xf>
    <xf numFmtId="0" fontId="14" fillId="3" borderId="32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66" xfId="0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center" vertical="center"/>
    </xf>
    <xf numFmtId="0" fontId="14" fillId="11" borderId="18" xfId="0" applyFont="1" applyFill="1" applyBorder="1" applyAlignment="1">
      <alignment horizontal="center" vertical="center"/>
    </xf>
    <xf numFmtId="0" fontId="14" fillId="11" borderId="34" xfId="0" applyFont="1" applyFill="1" applyBorder="1" applyAlignment="1">
      <alignment horizontal="center" vertical="center"/>
    </xf>
    <xf numFmtId="0" fontId="16" fillId="14" borderId="41" xfId="0" applyFont="1" applyFill="1" applyBorder="1" applyAlignment="1">
      <alignment horizontal="center" vertical="center"/>
    </xf>
    <xf numFmtId="0" fontId="16" fillId="14" borderId="34" xfId="0" applyFont="1" applyFill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horizontal="center" vertical="center"/>
    </xf>
    <xf numFmtId="0" fontId="16" fillId="14" borderId="73" xfId="0" applyFont="1" applyFill="1" applyBorder="1" applyAlignment="1">
      <alignment horizontal="center" vertical="center" wrapText="1"/>
    </xf>
    <xf numFmtId="0" fontId="16" fillId="14" borderId="42" xfId="0" applyFont="1" applyFill="1" applyBorder="1" applyAlignment="1">
      <alignment horizontal="center" vertical="center" wrapText="1"/>
    </xf>
    <xf numFmtId="0" fontId="16" fillId="14" borderId="39" xfId="0" applyFont="1" applyFill="1" applyBorder="1" applyAlignment="1">
      <alignment horizontal="center" vertical="center" wrapText="1"/>
    </xf>
    <xf numFmtId="0" fontId="16" fillId="14" borderId="38" xfId="0" applyFont="1" applyFill="1" applyBorder="1" applyAlignment="1">
      <alignment horizontal="center" vertical="center" wrapText="1"/>
    </xf>
    <xf numFmtId="0" fontId="16" fillId="14" borderId="74" xfId="0" applyFont="1" applyFill="1" applyBorder="1" applyAlignment="1">
      <alignment horizontal="center" vertical="center" wrapText="1"/>
    </xf>
    <xf numFmtId="0" fontId="16" fillId="14" borderId="69" xfId="0" applyFont="1" applyFill="1" applyBorder="1" applyAlignment="1">
      <alignment horizontal="center" vertical="center" wrapText="1"/>
    </xf>
    <xf numFmtId="0" fontId="14" fillId="16" borderId="27" xfId="0" applyFont="1" applyFill="1" applyBorder="1" applyAlignment="1">
      <alignment horizontal="center" vertical="center"/>
    </xf>
    <xf numFmtId="0" fontId="14" fillId="16" borderId="0" xfId="0" applyFont="1" applyFill="1" applyAlignment="1">
      <alignment horizontal="center" vertical="center"/>
    </xf>
    <xf numFmtId="0" fontId="14" fillId="16" borderId="76" xfId="0" applyFont="1" applyFill="1" applyBorder="1" applyAlignment="1">
      <alignment horizontal="center" vertical="center"/>
    </xf>
    <xf numFmtId="0" fontId="14" fillId="16" borderId="38" xfId="0" applyFont="1" applyFill="1" applyBorder="1" applyAlignment="1">
      <alignment horizontal="center" vertical="center"/>
    </xf>
    <xf numFmtId="0" fontId="14" fillId="16" borderId="74" xfId="0" applyFont="1" applyFill="1" applyBorder="1" applyAlignment="1">
      <alignment horizontal="center" vertical="center"/>
    </xf>
    <xf numFmtId="0" fontId="14" fillId="16" borderId="75" xfId="0" applyFont="1" applyFill="1" applyBorder="1" applyAlignment="1">
      <alignment horizontal="center" vertical="center"/>
    </xf>
    <xf numFmtId="0" fontId="16" fillId="14" borderId="41" xfId="0" applyFont="1" applyFill="1" applyBorder="1" applyAlignment="1">
      <alignment horizontal="center" vertical="center" wrapText="1"/>
    </xf>
    <xf numFmtId="0" fontId="16" fillId="14" borderId="34" xfId="0" applyFont="1" applyFill="1" applyBorder="1" applyAlignment="1">
      <alignment horizontal="center" vertical="center" wrapText="1"/>
    </xf>
    <xf numFmtId="0" fontId="16" fillId="14" borderId="40" xfId="0" applyFont="1" applyFill="1" applyBorder="1" applyAlignment="1">
      <alignment horizontal="center" vertical="center"/>
    </xf>
    <xf numFmtId="0" fontId="16" fillId="14" borderId="11" xfId="0" applyFont="1" applyFill="1" applyBorder="1" applyAlignment="1">
      <alignment horizontal="center" vertical="center"/>
    </xf>
    <xf numFmtId="0" fontId="19" fillId="11" borderId="41" xfId="0" applyFont="1" applyFill="1" applyBorder="1" applyAlignment="1">
      <alignment horizontal="center" vertical="center"/>
    </xf>
    <xf numFmtId="0" fontId="19" fillId="11" borderId="70" xfId="0" applyFont="1" applyFill="1" applyBorder="1" applyAlignment="1">
      <alignment horizontal="center" vertical="center"/>
    </xf>
    <xf numFmtId="41" fontId="0" fillId="8" borderId="0" xfId="0" applyNumberFormat="1" applyFill="1" applyAlignment="1">
      <alignment horizontal="center" vertical="center"/>
    </xf>
    <xf numFmtId="0" fontId="11" fillId="13" borderId="60" xfId="0" applyFont="1" applyFill="1" applyBorder="1" applyAlignment="1">
      <alignment horizontal="center" vertical="center" wrapText="1"/>
    </xf>
    <xf numFmtId="0" fontId="11" fillId="13" borderId="42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3" borderId="66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66" xfId="0" applyFont="1" applyBorder="1" applyAlignment="1">
      <alignment horizontal="center" vertical="center"/>
    </xf>
    <xf numFmtId="0" fontId="18" fillId="14" borderId="73" xfId="0" applyFont="1" applyFill="1" applyBorder="1" applyAlignment="1">
      <alignment horizontal="center" vertical="center"/>
    </xf>
    <xf numFmtId="0" fontId="18" fillId="14" borderId="42" xfId="0" applyFont="1" applyFill="1" applyBorder="1" applyAlignment="1">
      <alignment horizontal="center" vertical="center"/>
    </xf>
    <xf numFmtId="0" fontId="18" fillId="14" borderId="43" xfId="0" applyFont="1" applyFill="1" applyBorder="1" applyAlignment="1">
      <alignment horizontal="center" vertical="center"/>
    </xf>
    <xf numFmtId="0" fontId="25" fillId="13" borderId="18" xfId="0" applyFont="1" applyFill="1" applyBorder="1" applyAlignment="1">
      <alignment horizontal="center" vertical="center"/>
    </xf>
    <xf numFmtId="0" fontId="25" fillId="13" borderId="19" xfId="0" applyFont="1" applyFill="1" applyBorder="1" applyAlignment="1">
      <alignment horizontal="center" vertical="center"/>
    </xf>
    <xf numFmtId="0" fontId="25" fillId="13" borderId="33" xfId="0" applyFont="1" applyFill="1" applyBorder="1" applyAlignment="1">
      <alignment horizontal="center" vertical="center"/>
    </xf>
    <xf numFmtId="0" fontId="25" fillId="13" borderId="34" xfId="0" applyFont="1" applyFill="1" applyBorder="1" applyAlignment="1">
      <alignment horizontal="center" vertical="center"/>
    </xf>
    <xf numFmtId="0" fontId="25" fillId="13" borderId="35" xfId="0" applyFont="1" applyFill="1" applyBorder="1" applyAlignment="1">
      <alignment horizontal="center" vertical="center"/>
    </xf>
    <xf numFmtId="0" fontId="25" fillId="13" borderId="32" xfId="0" applyFont="1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31" xfId="0" applyFill="1" applyBorder="1" applyAlignment="1">
      <alignment horizontal="center" vertical="center"/>
    </xf>
    <xf numFmtId="0" fontId="14" fillId="11" borderId="60" xfId="0" applyFont="1" applyFill="1" applyBorder="1" applyAlignment="1">
      <alignment horizontal="center" vertical="center"/>
    </xf>
    <xf numFmtId="0" fontId="14" fillId="11" borderId="40" xfId="0" applyFont="1" applyFill="1" applyBorder="1" applyAlignment="1">
      <alignment horizontal="center" vertical="center"/>
    </xf>
    <xf numFmtId="0" fontId="14" fillId="11" borderId="61" xfId="0" applyFont="1" applyFill="1" applyBorder="1" applyAlignment="1">
      <alignment horizontal="center" vertical="center"/>
    </xf>
    <xf numFmtId="42" fontId="14" fillId="11" borderId="3" xfId="0" applyNumberFormat="1" applyFont="1" applyFill="1" applyBorder="1" applyAlignment="1">
      <alignment horizontal="center" vertical="center"/>
    </xf>
    <xf numFmtId="42" fontId="14" fillId="11" borderId="4" xfId="0" applyNumberFormat="1" applyFont="1" applyFill="1" applyBorder="1" applyAlignment="1">
      <alignment horizontal="center" vertical="center"/>
    </xf>
    <xf numFmtId="42" fontId="14" fillId="11" borderId="26" xfId="0" applyNumberFormat="1" applyFont="1" applyFill="1" applyBorder="1" applyAlignment="1">
      <alignment horizontal="center" vertical="center"/>
    </xf>
    <xf numFmtId="42" fontId="14" fillId="11" borderId="77" xfId="0" applyNumberFormat="1" applyFont="1" applyFill="1" applyBorder="1" applyAlignment="1">
      <alignment horizontal="center" vertical="center"/>
    </xf>
    <xf numFmtId="0" fontId="14" fillId="11" borderId="79" xfId="0" applyFont="1" applyFill="1" applyBorder="1" applyAlignment="1">
      <alignment horizontal="center" vertical="center"/>
    </xf>
    <xf numFmtId="0" fontId="14" fillId="11" borderId="59" xfId="0" applyFont="1" applyFill="1" applyBorder="1" applyAlignment="1">
      <alignment horizontal="center" vertical="center"/>
    </xf>
    <xf numFmtId="0" fontId="14" fillId="11" borderId="78" xfId="0" applyFont="1" applyFill="1" applyBorder="1" applyAlignment="1">
      <alignment horizontal="center" vertical="center"/>
    </xf>
    <xf numFmtId="42" fontId="14" fillId="11" borderId="79" xfId="0" applyNumberFormat="1" applyFont="1" applyFill="1" applyBorder="1" applyAlignment="1">
      <alignment horizontal="center" vertical="center"/>
    </xf>
    <xf numFmtId="42" fontId="14" fillId="11" borderId="9" xfId="0" applyNumberFormat="1" applyFont="1" applyFill="1" applyBorder="1" applyAlignment="1">
      <alignment horizontal="center" vertical="center"/>
    </xf>
    <xf numFmtId="42" fontId="14" fillId="11" borderId="37" xfId="0" applyNumberFormat="1" applyFont="1" applyFill="1" applyBorder="1" applyAlignment="1">
      <alignment horizontal="center" vertical="center"/>
    </xf>
    <xf numFmtId="42" fontId="14" fillId="11" borderId="65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zoomScale="85" zoomScaleNormal="85" workbookViewId="0">
      <selection activeCell="G48" sqref="G48"/>
    </sheetView>
  </sheetViews>
  <sheetFormatPr defaultRowHeight="16.5" x14ac:dyDescent="0.3"/>
  <cols>
    <col min="2" max="2" width="14.125" bestFit="1" customWidth="1"/>
    <col min="3" max="3" width="12.875" bestFit="1" customWidth="1"/>
    <col min="4" max="4" width="11" bestFit="1" customWidth="1"/>
  </cols>
  <sheetData>
    <row r="1" spans="1:7" ht="17.25" thickBot="1" x14ac:dyDescent="0.35">
      <c r="A1" s="19"/>
      <c r="B1" s="19" t="s">
        <v>0</v>
      </c>
      <c r="C1" s="7" t="s">
        <v>1</v>
      </c>
      <c r="D1" s="8" t="s">
        <v>2</v>
      </c>
      <c r="E1" s="406" t="s">
        <v>3</v>
      </c>
      <c r="F1" s="406"/>
      <c r="G1" s="407"/>
    </row>
    <row r="2" spans="1:7" x14ac:dyDescent="0.3">
      <c r="A2" s="13">
        <v>1</v>
      </c>
      <c r="B2" s="1" t="s">
        <v>4</v>
      </c>
      <c r="C2" s="2">
        <v>10181</v>
      </c>
      <c r="D2" s="2" t="s">
        <v>5</v>
      </c>
      <c r="E2" s="408" t="s">
        <v>6</v>
      </c>
      <c r="F2" s="408"/>
      <c r="G2" s="409"/>
    </row>
    <row r="3" spans="1:7" x14ac:dyDescent="0.3">
      <c r="A3" s="13">
        <v>2</v>
      </c>
      <c r="B3" s="5" t="s">
        <v>14</v>
      </c>
      <c r="C3" s="6">
        <v>10182</v>
      </c>
      <c r="D3" s="6" t="s">
        <v>15</v>
      </c>
      <c r="E3" s="392"/>
      <c r="F3" s="393"/>
      <c r="G3" s="394"/>
    </row>
    <row r="4" spans="1:7" x14ac:dyDescent="0.3">
      <c r="A4" s="13">
        <v>3</v>
      </c>
      <c r="B4" s="3" t="s">
        <v>7</v>
      </c>
      <c r="C4" s="4">
        <v>10183</v>
      </c>
      <c r="D4" s="4" t="s">
        <v>8</v>
      </c>
      <c r="E4" s="399" t="s">
        <v>63</v>
      </c>
      <c r="F4" s="399"/>
      <c r="G4" s="400"/>
    </row>
    <row r="5" spans="1:7" x14ac:dyDescent="0.3">
      <c r="A5" s="13">
        <v>4</v>
      </c>
      <c r="B5" s="3" t="s">
        <v>9</v>
      </c>
      <c r="C5" s="4">
        <v>10184</v>
      </c>
      <c r="D5" s="4" t="s">
        <v>10</v>
      </c>
      <c r="E5" s="410" t="s">
        <v>6</v>
      </c>
      <c r="F5" s="410"/>
      <c r="G5" s="411"/>
    </row>
    <row r="6" spans="1:7" x14ac:dyDescent="0.3">
      <c r="A6" s="13">
        <v>5</v>
      </c>
      <c r="B6" s="3" t="s">
        <v>11</v>
      </c>
      <c r="C6" s="4">
        <v>10185</v>
      </c>
      <c r="D6" s="4" t="s">
        <v>12</v>
      </c>
      <c r="E6" s="404" t="s">
        <v>13</v>
      </c>
      <c r="F6" s="404"/>
      <c r="G6" s="405"/>
    </row>
    <row r="7" spans="1:7" x14ac:dyDescent="0.3">
      <c r="A7" s="13">
        <v>6</v>
      </c>
      <c r="B7" s="3" t="s">
        <v>16</v>
      </c>
      <c r="C7" s="4">
        <v>10186</v>
      </c>
      <c r="D7" s="4" t="s">
        <v>17</v>
      </c>
      <c r="E7" s="399" t="s">
        <v>6</v>
      </c>
      <c r="F7" s="399"/>
      <c r="G7" s="400"/>
    </row>
    <row r="8" spans="1:7" x14ac:dyDescent="0.3">
      <c r="A8" s="13">
        <v>8</v>
      </c>
      <c r="B8" s="3" t="s">
        <v>18</v>
      </c>
      <c r="C8" s="4">
        <v>10188</v>
      </c>
      <c r="D8" s="4" t="s">
        <v>19</v>
      </c>
      <c r="E8" s="399" t="s">
        <v>13</v>
      </c>
      <c r="F8" s="399"/>
      <c r="G8" s="400"/>
    </row>
    <row r="9" spans="1:7" x14ac:dyDescent="0.3">
      <c r="A9" s="13">
        <v>9</v>
      </c>
      <c r="B9" s="3" t="s">
        <v>20</v>
      </c>
      <c r="C9" s="4">
        <v>10189</v>
      </c>
      <c r="D9" s="4" t="s">
        <v>21</v>
      </c>
      <c r="E9" s="399" t="s">
        <v>63</v>
      </c>
      <c r="F9" s="399"/>
      <c r="G9" s="400"/>
    </row>
    <row r="10" spans="1:7" x14ac:dyDescent="0.3">
      <c r="A10" s="13">
        <v>10</v>
      </c>
      <c r="B10" s="3" t="s">
        <v>23</v>
      </c>
      <c r="C10" s="4">
        <v>10190</v>
      </c>
      <c r="D10" s="4" t="s">
        <v>22</v>
      </c>
      <c r="E10" s="399" t="s">
        <v>6</v>
      </c>
      <c r="F10" s="399"/>
      <c r="G10" s="400"/>
    </row>
    <row r="11" spans="1:7" x14ac:dyDescent="0.3">
      <c r="A11" s="13">
        <v>11</v>
      </c>
      <c r="B11" s="3" t="s">
        <v>24</v>
      </c>
      <c r="C11" s="4">
        <v>10191</v>
      </c>
      <c r="D11" s="4" t="s">
        <v>25</v>
      </c>
      <c r="E11" s="399" t="s">
        <v>37</v>
      </c>
      <c r="F11" s="399"/>
      <c r="G11" s="400"/>
    </row>
    <row r="12" spans="1:7" x14ac:dyDescent="0.3">
      <c r="A12" s="13">
        <v>12</v>
      </c>
      <c r="B12" s="3" t="s">
        <v>26</v>
      </c>
      <c r="C12" s="4">
        <v>10192</v>
      </c>
      <c r="D12" s="4" t="s">
        <v>27</v>
      </c>
      <c r="E12" s="399" t="s">
        <v>28</v>
      </c>
      <c r="F12" s="399"/>
      <c r="G12" s="400"/>
    </row>
    <row r="13" spans="1:7" x14ac:dyDescent="0.3">
      <c r="A13" s="13">
        <v>13</v>
      </c>
      <c r="B13" s="3" t="s">
        <v>31</v>
      </c>
      <c r="C13" s="4" t="s">
        <v>29</v>
      </c>
      <c r="D13" s="4" t="s">
        <v>30</v>
      </c>
      <c r="E13" s="399" t="s">
        <v>51</v>
      </c>
      <c r="F13" s="399"/>
      <c r="G13" s="400"/>
    </row>
    <row r="14" spans="1:7" x14ac:dyDescent="0.3">
      <c r="A14" s="13">
        <v>14</v>
      </c>
      <c r="B14" s="3" t="s">
        <v>35</v>
      </c>
      <c r="C14" s="4">
        <v>10195</v>
      </c>
      <c r="D14" s="4" t="s">
        <v>36</v>
      </c>
      <c r="E14" s="399" t="s">
        <v>37</v>
      </c>
      <c r="F14" s="399"/>
      <c r="G14" s="400"/>
    </row>
    <row r="15" spans="1:7" x14ac:dyDescent="0.3">
      <c r="A15" s="13">
        <v>15</v>
      </c>
      <c r="B15" s="3" t="s">
        <v>32</v>
      </c>
      <c r="C15" s="4">
        <v>10196</v>
      </c>
      <c r="D15" s="4" t="s">
        <v>33</v>
      </c>
      <c r="E15" s="399" t="s">
        <v>34</v>
      </c>
      <c r="F15" s="399"/>
      <c r="G15" s="400"/>
    </row>
    <row r="16" spans="1:7" x14ac:dyDescent="0.3">
      <c r="A16" s="13">
        <v>16</v>
      </c>
      <c r="B16" s="3" t="s">
        <v>38</v>
      </c>
      <c r="C16" s="4">
        <v>10197</v>
      </c>
      <c r="D16" s="4" t="s">
        <v>39</v>
      </c>
      <c r="E16" s="401" t="s">
        <v>13</v>
      </c>
      <c r="F16" s="402"/>
      <c r="G16" s="403"/>
    </row>
    <row r="17" spans="1:7" x14ac:dyDescent="0.3">
      <c r="A17" s="13">
        <v>17</v>
      </c>
      <c r="B17" s="3" t="s">
        <v>40</v>
      </c>
      <c r="C17" s="4">
        <v>10198</v>
      </c>
      <c r="D17" s="4" t="s">
        <v>41</v>
      </c>
      <c r="E17" s="399" t="s">
        <v>6</v>
      </c>
      <c r="F17" s="399"/>
      <c r="G17" s="400"/>
    </row>
    <row r="18" spans="1:7" x14ac:dyDescent="0.3">
      <c r="A18" s="13">
        <v>18</v>
      </c>
      <c r="B18" s="3" t="s">
        <v>42</v>
      </c>
      <c r="C18" s="4">
        <v>10199</v>
      </c>
      <c r="D18" s="4" t="s">
        <v>43</v>
      </c>
      <c r="E18" s="399" t="s">
        <v>44</v>
      </c>
      <c r="F18" s="399"/>
      <c r="G18" s="400"/>
    </row>
    <row r="19" spans="1:7" x14ac:dyDescent="0.3">
      <c r="A19" s="13">
        <v>19</v>
      </c>
      <c r="B19" s="3" t="s">
        <v>45</v>
      </c>
      <c r="C19" s="4">
        <v>10200</v>
      </c>
      <c r="D19" s="4" t="s">
        <v>46</v>
      </c>
      <c r="E19" s="410" t="s">
        <v>6</v>
      </c>
      <c r="F19" s="410"/>
      <c r="G19" s="411"/>
    </row>
    <row r="20" spans="1:7" x14ac:dyDescent="0.3">
      <c r="A20" s="13">
        <v>20</v>
      </c>
      <c r="B20" s="3" t="s">
        <v>47</v>
      </c>
      <c r="C20" s="4">
        <v>10201</v>
      </c>
      <c r="D20" s="4" t="s">
        <v>48</v>
      </c>
      <c r="E20" s="399" t="s">
        <v>6</v>
      </c>
      <c r="F20" s="399"/>
      <c r="G20" s="400"/>
    </row>
    <row r="21" spans="1:7" x14ac:dyDescent="0.3">
      <c r="A21" s="13">
        <v>21</v>
      </c>
      <c r="B21" s="3" t="s">
        <v>49</v>
      </c>
      <c r="C21" s="4">
        <v>10202</v>
      </c>
      <c r="D21" s="4" t="s">
        <v>50</v>
      </c>
      <c r="E21" s="399" t="s">
        <v>6</v>
      </c>
      <c r="F21" s="399"/>
      <c r="G21" s="400"/>
    </row>
    <row r="22" spans="1:7" x14ac:dyDescent="0.3">
      <c r="A22" s="13">
        <v>22</v>
      </c>
      <c r="B22" s="3" t="s">
        <v>55</v>
      </c>
      <c r="C22" s="4">
        <v>10203</v>
      </c>
      <c r="D22" s="4" t="s">
        <v>56</v>
      </c>
      <c r="E22" s="399" t="s">
        <v>57</v>
      </c>
      <c r="F22" s="399"/>
      <c r="G22" s="400"/>
    </row>
    <row r="23" spans="1:7" x14ac:dyDescent="0.3">
      <c r="A23" s="13">
        <v>23</v>
      </c>
      <c r="B23" s="3" t="s">
        <v>53</v>
      </c>
      <c r="C23" s="4">
        <v>10204</v>
      </c>
      <c r="D23" s="4" t="s">
        <v>52</v>
      </c>
      <c r="E23" s="399" t="s">
        <v>54</v>
      </c>
      <c r="F23" s="399"/>
      <c r="G23" s="400"/>
    </row>
    <row r="24" spans="1:7" x14ac:dyDescent="0.3">
      <c r="A24" s="13">
        <v>24</v>
      </c>
      <c r="B24" s="3" t="s">
        <v>58</v>
      </c>
      <c r="C24" s="4">
        <v>10205</v>
      </c>
      <c r="D24" s="4" t="s">
        <v>59</v>
      </c>
      <c r="E24" s="399" t="s">
        <v>60</v>
      </c>
      <c r="F24" s="399"/>
      <c r="G24" s="400"/>
    </row>
    <row r="25" spans="1:7" x14ac:dyDescent="0.3">
      <c r="A25" s="13">
        <v>25</v>
      </c>
      <c r="B25" s="3" t="s">
        <v>61</v>
      </c>
      <c r="C25" s="4">
        <v>10206</v>
      </c>
      <c r="D25" s="4" t="s">
        <v>62</v>
      </c>
      <c r="E25" s="399" t="s">
        <v>63</v>
      </c>
      <c r="F25" s="399"/>
      <c r="G25" s="400"/>
    </row>
    <row r="26" spans="1:7" x14ac:dyDescent="0.3">
      <c r="A26" s="13">
        <v>26</v>
      </c>
      <c r="B26" s="3" t="s">
        <v>64</v>
      </c>
      <c r="C26" s="4">
        <v>10207</v>
      </c>
      <c r="D26" s="4" t="s">
        <v>65</v>
      </c>
      <c r="E26" s="399" t="s">
        <v>66</v>
      </c>
      <c r="F26" s="399"/>
      <c r="G26" s="400"/>
    </row>
    <row r="27" spans="1:7" x14ac:dyDescent="0.3">
      <c r="A27" s="13">
        <v>27</v>
      </c>
      <c r="B27" s="3" t="s">
        <v>67</v>
      </c>
      <c r="C27" s="4">
        <v>10208</v>
      </c>
      <c r="D27" s="4" t="s">
        <v>68</v>
      </c>
      <c r="E27" s="399" t="s">
        <v>69</v>
      </c>
      <c r="F27" s="399"/>
      <c r="G27" s="400"/>
    </row>
    <row r="28" spans="1:7" x14ac:dyDescent="0.3">
      <c r="A28" s="13">
        <v>28</v>
      </c>
      <c r="B28" s="3" t="s">
        <v>70</v>
      </c>
      <c r="C28" s="4">
        <v>10209</v>
      </c>
      <c r="D28" s="4" t="s">
        <v>71</v>
      </c>
      <c r="E28" s="399" t="s">
        <v>6</v>
      </c>
      <c r="F28" s="399"/>
      <c r="G28" s="400"/>
    </row>
    <row r="29" spans="1:7" x14ac:dyDescent="0.3">
      <c r="A29" s="13">
        <v>29</v>
      </c>
      <c r="B29" s="3" t="s">
        <v>72</v>
      </c>
      <c r="C29" s="4">
        <v>10210</v>
      </c>
      <c r="D29" s="4" t="s">
        <v>73</v>
      </c>
      <c r="E29" s="410" t="s">
        <v>6</v>
      </c>
      <c r="F29" s="410"/>
      <c r="G29" s="411"/>
    </row>
    <row r="30" spans="1:7" x14ac:dyDescent="0.3">
      <c r="A30" s="13">
        <v>30</v>
      </c>
      <c r="B30" s="3" t="s">
        <v>74</v>
      </c>
      <c r="C30" s="4">
        <v>10211</v>
      </c>
      <c r="D30" s="4" t="s">
        <v>75</v>
      </c>
      <c r="E30" s="399" t="s">
        <v>44</v>
      </c>
      <c r="F30" s="399"/>
      <c r="G30" s="400"/>
    </row>
    <row r="31" spans="1:7" x14ac:dyDescent="0.3">
      <c r="A31" s="13">
        <v>31</v>
      </c>
      <c r="B31" s="9" t="s">
        <v>76</v>
      </c>
      <c r="C31" s="4">
        <v>10212</v>
      </c>
      <c r="D31" s="10" t="s">
        <v>77</v>
      </c>
      <c r="E31" s="392" t="s">
        <v>63</v>
      </c>
      <c r="F31" s="393"/>
      <c r="G31" s="394"/>
    </row>
    <row r="32" spans="1:7" x14ac:dyDescent="0.3">
      <c r="A32" s="13">
        <v>32</v>
      </c>
      <c r="B32" s="11" t="s">
        <v>78</v>
      </c>
      <c r="C32" s="4">
        <v>10214</v>
      </c>
      <c r="D32" s="12" t="s">
        <v>79</v>
      </c>
      <c r="E32" s="392" t="s">
        <v>63</v>
      </c>
      <c r="F32" s="393"/>
      <c r="G32" s="394"/>
    </row>
    <row r="33" spans="1:8" x14ac:dyDescent="0.3">
      <c r="A33" s="13">
        <v>33</v>
      </c>
      <c r="B33" s="11" t="s">
        <v>80</v>
      </c>
      <c r="C33" s="4">
        <v>10215</v>
      </c>
      <c r="D33" s="12" t="s">
        <v>81</v>
      </c>
      <c r="E33" s="392" t="s">
        <v>13</v>
      </c>
      <c r="F33" s="393"/>
      <c r="G33" s="394"/>
    </row>
    <row r="34" spans="1:8" x14ac:dyDescent="0.3">
      <c r="A34" s="13">
        <v>34</v>
      </c>
      <c r="B34" s="11" t="s">
        <v>82</v>
      </c>
      <c r="C34" s="4">
        <v>10216</v>
      </c>
      <c r="D34" s="12" t="s">
        <v>83</v>
      </c>
      <c r="E34" s="392" t="s">
        <v>63</v>
      </c>
      <c r="F34" s="393"/>
      <c r="G34" s="394"/>
    </row>
    <row r="35" spans="1:8" x14ac:dyDescent="0.3">
      <c r="A35" s="13">
        <v>35</v>
      </c>
      <c r="B35" s="11" t="s">
        <v>84</v>
      </c>
      <c r="C35" s="4">
        <v>10217</v>
      </c>
      <c r="D35" s="12" t="s">
        <v>85</v>
      </c>
      <c r="E35" s="392" t="s">
        <v>63</v>
      </c>
      <c r="F35" s="393"/>
      <c r="G35" s="394"/>
    </row>
    <row r="36" spans="1:8" x14ac:dyDescent="0.3">
      <c r="A36" s="13">
        <v>36</v>
      </c>
      <c r="B36" s="11" t="s">
        <v>86</v>
      </c>
      <c r="C36" s="12">
        <v>10218</v>
      </c>
      <c r="D36" s="12" t="s">
        <v>87</v>
      </c>
      <c r="E36" s="404" t="s">
        <v>88</v>
      </c>
      <c r="F36" s="404"/>
      <c r="G36" s="405"/>
    </row>
    <row r="37" spans="1:8" x14ac:dyDescent="0.3">
      <c r="A37" s="13">
        <v>37</v>
      </c>
      <c r="B37" s="3" t="s">
        <v>89</v>
      </c>
      <c r="C37" s="4">
        <v>10219</v>
      </c>
      <c r="D37" s="4" t="s">
        <v>90</v>
      </c>
      <c r="E37" s="392" t="s">
        <v>93</v>
      </c>
      <c r="F37" s="393"/>
      <c r="G37" s="394"/>
    </row>
    <row r="38" spans="1:8" x14ac:dyDescent="0.3">
      <c r="A38" s="13">
        <v>38</v>
      </c>
      <c r="B38" s="3" t="s">
        <v>91</v>
      </c>
      <c r="C38" s="4">
        <v>10220</v>
      </c>
      <c r="D38" s="4" t="s">
        <v>92</v>
      </c>
      <c r="E38" s="392" t="s">
        <v>13</v>
      </c>
      <c r="F38" s="393"/>
      <c r="G38" s="394"/>
    </row>
    <row r="39" spans="1:8" x14ac:dyDescent="0.3">
      <c r="A39" s="13">
        <v>39</v>
      </c>
      <c r="B39" s="3" t="s">
        <v>96</v>
      </c>
      <c r="C39" s="4">
        <v>10222</v>
      </c>
      <c r="D39" s="4" t="s">
        <v>95</v>
      </c>
      <c r="E39" s="392" t="s">
        <v>94</v>
      </c>
      <c r="F39" s="393"/>
      <c r="G39" s="394"/>
      <c r="H39" t="s">
        <v>99</v>
      </c>
    </row>
    <row r="40" spans="1:8" x14ac:dyDescent="0.3">
      <c r="A40" s="13">
        <v>40</v>
      </c>
      <c r="B40" s="3" t="s">
        <v>97</v>
      </c>
      <c r="C40" s="4">
        <v>10223</v>
      </c>
      <c r="D40" s="4" t="s">
        <v>98</v>
      </c>
      <c r="E40" s="392" t="s">
        <v>6</v>
      </c>
      <c r="F40" s="393"/>
      <c r="G40" s="394"/>
    </row>
    <row r="41" spans="1:8" ht="17.25" thickBot="1" x14ac:dyDescent="0.35">
      <c r="A41" s="22">
        <v>41</v>
      </c>
      <c r="B41" s="14" t="s">
        <v>100</v>
      </c>
      <c r="C41" s="15">
        <v>10224</v>
      </c>
      <c r="D41" s="15" t="s">
        <v>101</v>
      </c>
      <c r="E41" s="395" t="s">
        <v>63</v>
      </c>
      <c r="F41" s="396"/>
      <c r="G41" s="397"/>
    </row>
    <row r="42" spans="1:8" x14ac:dyDescent="0.3">
      <c r="A42" s="21"/>
      <c r="E42" s="398"/>
      <c r="F42" s="398"/>
      <c r="G42" s="398"/>
    </row>
    <row r="43" spans="1:8" x14ac:dyDescent="0.3">
      <c r="A43" s="21"/>
    </row>
    <row r="44" spans="1:8" x14ac:dyDescent="0.3">
      <c r="A44" s="21"/>
    </row>
    <row r="45" spans="1:8" x14ac:dyDescent="0.3">
      <c r="A45" s="21"/>
    </row>
    <row r="46" spans="1:8" x14ac:dyDescent="0.3">
      <c r="A46" s="21"/>
    </row>
    <row r="47" spans="1:8" x14ac:dyDescent="0.3">
      <c r="A47" s="21"/>
    </row>
    <row r="48" spans="1:8" x14ac:dyDescent="0.3">
      <c r="A48" s="21"/>
    </row>
    <row r="49" spans="1:1" x14ac:dyDescent="0.3">
      <c r="A49" s="21"/>
    </row>
    <row r="50" spans="1:1" x14ac:dyDescent="0.3">
      <c r="A50" s="21"/>
    </row>
    <row r="51" spans="1:1" x14ac:dyDescent="0.3">
      <c r="A51" s="21"/>
    </row>
    <row r="52" spans="1:1" x14ac:dyDescent="0.3">
      <c r="A52" s="21"/>
    </row>
    <row r="53" spans="1:1" x14ac:dyDescent="0.3">
      <c r="A53" s="21"/>
    </row>
    <row r="54" spans="1:1" x14ac:dyDescent="0.3">
      <c r="A54" s="21"/>
    </row>
    <row r="55" spans="1:1" x14ac:dyDescent="0.3">
      <c r="A55" s="21"/>
    </row>
    <row r="56" spans="1:1" x14ac:dyDescent="0.3">
      <c r="A56" s="21"/>
    </row>
    <row r="57" spans="1:1" x14ac:dyDescent="0.3">
      <c r="A57" s="21"/>
    </row>
    <row r="58" spans="1:1" x14ac:dyDescent="0.3">
      <c r="A58" s="21"/>
    </row>
    <row r="59" spans="1:1" x14ac:dyDescent="0.3">
      <c r="A59" s="21"/>
    </row>
    <row r="60" spans="1:1" x14ac:dyDescent="0.3">
      <c r="A60" s="21"/>
    </row>
    <row r="61" spans="1:1" x14ac:dyDescent="0.3">
      <c r="A61" s="21"/>
    </row>
    <row r="62" spans="1:1" x14ac:dyDescent="0.3">
      <c r="A62" s="21"/>
    </row>
    <row r="63" spans="1:1" x14ac:dyDescent="0.3">
      <c r="A63" s="21"/>
    </row>
    <row r="64" spans="1:1" x14ac:dyDescent="0.3">
      <c r="A64" s="21"/>
    </row>
    <row r="65" spans="1:1" x14ac:dyDescent="0.3">
      <c r="A65" s="21"/>
    </row>
    <row r="66" spans="1:1" x14ac:dyDescent="0.3">
      <c r="A66" s="21"/>
    </row>
    <row r="67" spans="1:1" x14ac:dyDescent="0.3">
      <c r="A67" s="21"/>
    </row>
    <row r="68" spans="1:1" x14ac:dyDescent="0.3">
      <c r="A68" s="21"/>
    </row>
    <row r="69" spans="1:1" x14ac:dyDescent="0.3">
      <c r="A69" s="21"/>
    </row>
    <row r="70" spans="1:1" x14ac:dyDescent="0.3">
      <c r="A70" s="21"/>
    </row>
    <row r="71" spans="1:1" x14ac:dyDescent="0.3">
      <c r="A71" s="21"/>
    </row>
    <row r="72" spans="1:1" x14ac:dyDescent="0.3">
      <c r="A72" s="21"/>
    </row>
    <row r="73" spans="1:1" x14ac:dyDescent="0.3">
      <c r="A73" s="21"/>
    </row>
    <row r="74" spans="1:1" x14ac:dyDescent="0.3">
      <c r="A74" s="21"/>
    </row>
    <row r="75" spans="1:1" x14ac:dyDescent="0.3">
      <c r="A75" s="21"/>
    </row>
    <row r="76" spans="1:1" x14ac:dyDescent="0.3">
      <c r="A76" s="21"/>
    </row>
    <row r="77" spans="1:1" x14ac:dyDescent="0.3">
      <c r="A77" s="21"/>
    </row>
    <row r="78" spans="1:1" x14ac:dyDescent="0.3">
      <c r="A78" s="21"/>
    </row>
    <row r="79" spans="1:1" x14ac:dyDescent="0.3">
      <c r="A79" s="21"/>
    </row>
    <row r="80" spans="1:1" x14ac:dyDescent="0.3">
      <c r="A80" s="21"/>
    </row>
    <row r="81" spans="1:1" x14ac:dyDescent="0.3">
      <c r="A81" s="21"/>
    </row>
    <row r="82" spans="1:1" x14ac:dyDescent="0.3">
      <c r="A82" s="21"/>
    </row>
    <row r="83" spans="1:1" x14ac:dyDescent="0.3">
      <c r="A83" s="21"/>
    </row>
    <row r="84" spans="1:1" x14ac:dyDescent="0.3">
      <c r="A84" s="21"/>
    </row>
  </sheetData>
  <mergeCells count="42">
    <mergeCell ref="E28:G28"/>
    <mergeCell ref="E29:G29"/>
    <mergeCell ref="E30:G30"/>
    <mergeCell ref="E32:G32"/>
    <mergeCell ref="E31:G31"/>
    <mergeCell ref="E22:G22"/>
    <mergeCell ref="E24:G24"/>
    <mergeCell ref="E25:G25"/>
    <mergeCell ref="E26:G26"/>
    <mergeCell ref="E27:G27"/>
    <mergeCell ref="E17:G17"/>
    <mergeCell ref="E18:G18"/>
    <mergeCell ref="E19:G19"/>
    <mergeCell ref="E20:G20"/>
    <mergeCell ref="E21:G21"/>
    <mergeCell ref="E1:G1"/>
    <mergeCell ref="E2:G2"/>
    <mergeCell ref="E4:G4"/>
    <mergeCell ref="E5:G5"/>
    <mergeCell ref="E6:G6"/>
    <mergeCell ref="E3:G3"/>
    <mergeCell ref="E42:G42"/>
    <mergeCell ref="E33:G33"/>
    <mergeCell ref="E34:G34"/>
    <mergeCell ref="E35:G35"/>
    <mergeCell ref="E7:G7"/>
    <mergeCell ref="E8:G8"/>
    <mergeCell ref="E9:G9"/>
    <mergeCell ref="E23:G23"/>
    <mergeCell ref="E13:G13"/>
    <mergeCell ref="E14:G14"/>
    <mergeCell ref="E15:G15"/>
    <mergeCell ref="E16:G16"/>
    <mergeCell ref="E10:G10"/>
    <mergeCell ref="E11:G11"/>
    <mergeCell ref="E12:G12"/>
    <mergeCell ref="E36:G36"/>
    <mergeCell ref="E37:G37"/>
    <mergeCell ref="E38:G38"/>
    <mergeCell ref="E39:G39"/>
    <mergeCell ref="E40:G40"/>
    <mergeCell ref="E41:G4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8"/>
  <sheetViews>
    <sheetView topLeftCell="A19" workbookViewId="0">
      <selection activeCell="I72" sqref="I72"/>
    </sheetView>
  </sheetViews>
  <sheetFormatPr defaultRowHeight="16.5" x14ac:dyDescent="0.3"/>
  <cols>
    <col min="2" max="2" width="15.25" bestFit="1" customWidth="1"/>
    <col min="4" max="4" width="11" bestFit="1" customWidth="1"/>
  </cols>
  <sheetData>
    <row r="1" spans="1:7" x14ac:dyDescent="0.3">
      <c r="A1" s="25"/>
      <c r="B1" s="23" t="s">
        <v>102</v>
      </c>
      <c r="C1" s="24" t="s">
        <v>103</v>
      </c>
      <c r="D1" s="24" t="s">
        <v>104</v>
      </c>
      <c r="E1" s="413" t="s">
        <v>105</v>
      </c>
      <c r="F1" s="414"/>
      <c r="G1" s="415"/>
    </row>
    <row r="2" spans="1:7" x14ac:dyDescent="0.3">
      <c r="A2" s="27">
        <v>1</v>
      </c>
      <c r="B2" s="16" t="s">
        <v>106</v>
      </c>
      <c r="C2" s="16">
        <v>10226</v>
      </c>
      <c r="D2" s="4" t="s">
        <v>107</v>
      </c>
      <c r="E2" s="392" t="s">
        <v>108</v>
      </c>
      <c r="F2" s="393"/>
      <c r="G2" s="412"/>
    </row>
    <row r="3" spans="1:7" x14ac:dyDescent="0.3">
      <c r="A3" s="28">
        <v>2</v>
      </c>
      <c r="B3" s="16" t="s">
        <v>109</v>
      </c>
      <c r="C3" s="4">
        <v>10227</v>
      </c>
      <c r="D3" s="4" t="s">
        <v>110</v>
      </c>
      <c r="E3" s="392" t="s">
        <v>108</v>
      </c>
      <c r="F3" s="393"/>
      <c r="G3" s="412"/>
    </row>
    <row r="4" spans="1:7" x14ac:dyDescent="0.3">
      <c r="A4" s="28">
        <v>3</v>
      </c>
      <c r="B4" s="16" t="s">
        <v>111</v>
      </c>
      <c r="C4" s="4">
        <v>10228</v>
      </c>
      <c r="D4" s="4" t="s">
        <v>112</v>
      </c>
      <c r="E4" s="392" t="s">
        <v>113</v>
      </c>
      <c r="F4" s="393"/>
      <c r="G4" s="412"/>
    </row>
    <row r="5" spans="1:7" x14ac:dyDescent="0.3">
      <c r="A5" s="28">
        <v>4</v>
      </c>
      <c r="B5" s="16" t="s">
        <v>114</v>
      </c>
      <c r="C5" s="4">
        <v>10229</v>
      </c>
      <c r="D5" s="4" t="s">
        <v>115</v>
      </c>
      <c r="E5" s="392"/>
      <c r="F5" s="393"/>
      <c r="G5" s="412"/>
    </row>
    <row r="6" spans="1:7" x14ac:dyDescent="0.3">
      <c r="A6" s="28">
        <v>5</v>
      </c>
      <c r="B6" s="16" t="s">
        <v>116</v>
      </c>
      <c r="C6" s="4">
        <v>10230</v>
      </c>
      <c r="D6" s="4" t="s">
        <v>117</v>
      </c>
      <c r="E6" s="392" t="s">
        <v>113</v>
      </c>
      <c r="F6" s="393"/>
      <c r="G6" s="412"/>
    </row>
    <row r="7" spans="1:7" x14ac:dyDescent="0.3">
      <c r="A7" s="28">
        <v>6</v>
      </c>
      <c r="B7" s="16" t="s">
        <v>118</v>
      </c>
      <c r="C7" s="4">
        <v>10231</v>
      </c>
      <c r="D7" s="4" t="s">
        <v>119</v>
      </c>
      <c r="E7" s="392"/>
      <c r="F7" s="393"/>
      <c r="G7" s="412"/>
    </row>
    <row r="8" spans="1:7" x14ac:dyDescent="0.3">
      <c r="A8" s="28">
        <v>7</v>
      </c>
      <c r="B8" s="16" t="s">
        <v>120</v>
      </c>
      <c r="C8" s="4">
        <v>10232</v>
      </c>
      <c r="D8" s="4" t="s">
        <v>121</v>
      </c>
      <c r="E8" s="392" t="s">
        <v>37</v>
      </c>
      <c r="F8" s="393"/>
      <c r="G8" s="412"/>
    </row>
    <row r="9" spans="1:7" x14ac:dyDescent="0.3">
      <c r="A9" s="28">
        <v>8</v>
      </c>
      <c r="B9" s="16" t="s">
        <v>122</v>
      </c>
      <c r="C9" s="4">
        <v>10233</v>
      </c>
      <c r="D9" s="4" t="s">
        <v>123</v>
      </c>
      <c r="E9" s="392" t="s">
        <v>124</v>
      </c>
      <c r="F9" s="393"/>
      <c r="G9" s="412"/>
    </row>
    <row r="10" spans="1:7" x14ac:dyDescent="0.3">
      <c r="A10" s="28">
        <v>9</v>
      </c>
      <c r="B10" s="16" t="s">
        <v>128</v>
      </c>
      <c r="C10" s="4">
        <v>10234</v>
      </c>
      <c r="D10" s="4" t="s">
        <v>129</v>
      </c>
      <c r="E10" s="392" t="s">
        <v>127</v>
      </c>
      <c r="F10" s="393"/>
      <c r="G10" s="412"/>
    </row>
    <row r="11" spans="1:7" x14ac:dyDescent="0.3">
      <c r="A11" s="28">
        <v>10</v>
      </c>
      <c r="B11" s="16" t="s">
        <v>125</v>
      </c>
      <c r="C11" s="4">
        <v>10235</v>
      </c>
      <c r="D11" s="4" t="s">
        <v>126</v>
      </c>
      <c r="E11" s="392" t="s">
        <v>127</v>
      </c>
      <c r="F11" s="393"/>
      <c r="G11" s="412"/>
    </row>
    <row r="12" spans="1:7" x14ac:dyDescent="0.3">
      <c r="A12" s="28">
        <v>11</v>
      </c>
      <c r="B12" s="16" t="s">
        <v>131</v>
      </c>
      <c r="C12" s="4">
        <v>10236</v>
      </c>
      <c r="D12" s="4" t="s">
        <v>130</v>
      </c>
      <c r="E12" s="392" t="s">
        <v>63</v>
      </c>
      <c r="F12" s="393"/>
      <c r="G12" s="412"/>
    </row>
    <row r="13" spans="1:7" x14ac:dyDescent="0.3">
      <c r="A13" s="28">
        <v>12</v>
      </c>
      <c r="B13" s="16" t="s">
        <v>132</v>
      </c>
      <c r="C13" s="4">
        <v>10237</v>
      </c>
      <c r="D13" s="4" t="s">
        <v>133</v>
      </c>
      <c r="E13" s="392" t="s">
        <v>134</v>
      </c>
      <c r="F13" s="393"/>
      <c r="G13" s="412"/>
    </row>
    <row r="14" spans="1:7" x14ac:dyDescent="0.3">
      <c r="A14" s="28">
        <v>13</v>
      </c>
      <c r="B14" s="11" t="s">
        <v>135</v>
      </c>
      <c r="C14" s="12">
        <v>10238</v>
      </c>
      <c r="D14" s="12" t="s">
        <v>136</v>
      </c>
      <c r="E14" s="401" t="s">
        <v>37</v>
      </c>
      <c r="F14" s="402"/>
      <c r="G14" s="416"/>
    </row>
    <row r="15" spans="1:7" x14ac:dyDescent="0.3">
      <c r="A15" s="28">
        <v>14</v>
      </c>
      <c r="B15" s="16" t="s">
        <v>137</v>
      </c>
      <c r="C15" s="12">
        <v>10239</v>
      </c>
      <c r="D15" s="4" t="s">
        <v>138</v>
      </c>
      <c r="E15" s="392" t="s">
        <v>37</v>
      </c>
      <c r="F15" s="393"/>
      <c r="G15" s="412"/>
    </row>
    <row r="16" spans="1:7" x14ac:dyDescent="0.3">
      <c r="A16" s="28">
        <v>15</v>
      </c>
      <c r="B16" s="16" t="s">
        <v>154</v>
      </c>
      <c r="C16" s="12">
        <v>10240</v>
      </c>
      <c r="D16" s="4" t="s">
        <v>155</v>
      </c>
      <c r="E16" s="392" t="s">
        <v>13</v>
      </c>
      <c r="F16" s="393"/>
      <c r="G16" s="412"/>
    </row>
    <row r="17" spans="1:7" x14ac:dyDescent="0.3">
      <c r="A17" s="28">
        <v>16</v>
      </c>
      <c r="B17" s="16" t="s">
        <v>152</v>
      </c>
      <c r="C17" s="12">
        <v>10241</v>
      </c>
      <c r="D17" s="4" t="s">
        <v>153</v>
      </c>
      <c r="E17" s="392" t="s">
        <v>147</v>
      </c>
      <c r="F17" s="393"/>
      <c r="G17" s="412"/>
    </row>
    <row r="18" spans="1:7" x14ac:dyDescent="0.3">
      <c r="A18" s="28">
        <v>17</v>
      </c>
      <c r="B18" s="16" t="s">
        <v>150</v>
      </c>
      <c r="C18" s="12">
        <v>10242</v>
      </c>
      <c r="D18" s="4" t="s">
        <v>151</v>
      </c>
      <c r="E18" s="392" t="s">
        <v>13</v>
      </c>
      <c r="F18" s="393"/>
      <c r="G18" s="412"/>
    </row>
    <row r="19" spans="1:7" x14ac:dyDescent="0.3">
      <c r="A19" s="28">
        <v>18</v>
      </c>
      <c r="B19" s="16" t="s">
        <v>148</v>
      </c>
      <c r="C19" s="12">
        <v>10243</v>
      </c>
      <c r="D19" s="4" t="s">
        <v>149</v>
      </c>
      <c r="E19" s="392" t="s">
        <v>63</v>
      </c>
      <c r="F19" s="393"/>
      <c r="G19" s="412"/>
    </row>
    <row r="20" spans="1:7" x14ac:dyDescent="0.3">
      <c r="A20" s="28">
        <v>19</v>
      </c>
      <c r="B20" s="16" t="s">
        <v>145</v>
      </c>
      <c r="C20" s="12">
        <v>10244</v>
      </c>
      <c r="D20" s="4" t="s">
        <v>146</v>
      </c>
      <c r="E20" s="392" t="s">
        <v>147</v>
      </c>
      <c r="F20" s="393"/>
      <c r="G20" s="412"/>
    </row>
    <row r="21" spans="1:7" x14ac:dyDescent="0.3">
      <c r="A21" s="28">
        <v>20</v>
      </c>
      <c r="B21" s="16" t="s">
        <v>142</v>
      </c>
      <c r="C21" s="12">
        <v>10245</v>
      </c>
      <c r="D21" s="4" t="s">
        <v>143</v>
      </c>
      <c r="E21" s="392" t="s">
        <v>144</v>
      </c>
      <c r="F21" s="393"/>
      <c r="G21" s="412"/>
    </row>
    <row r="22" spans="1:7" x14ac:dyDescent="0.3">
      <c r="A22" s="28">
        <v>21</v>
      </c>
      <c r="B22" s="16" t="s">
        <v>139</v>
      </c>
      <c r="C22" s="12">
        <v>10246</v>
      </c>
      <c r="D22" s="4" t="s">
        <v>140</v>
      </c>
      <c r="E22" s="392" t="s">
        <v>141</v>
      </c>
      <c r="F22" s="393"/>
      <c r="G22" s="412"/>
    </row>
    <row r="23" spans="1:7" x14ac:dyDescent="0.3">
      <c r="A23" s="28">
        <v>22</v>
      </c>
      <c r="B23" s="16" t="s">
        <v>156</v>
      </c>
      <c r="C23" s="12">
        <v>10247</v>
      </c>
      <c r="D23" s="4" t="s">
        <v>157</v>
      </c>
      <c r="E23" s="392" t="s">
        <v>158</v>
      </c>
      <c r="F23" s="393"/>
      <c r="G23" s="412"/>
    </row>
    <row r="24" spans="1:7" x14ac:dyDescent="0.3">
      <c r="A24" s="28">
        <v>23</v>
      </c>
      <c r="B24" s="16" t="s">
        <v>159</v>
      </c>
      <c r="C24" s="12">
        <v>10248</v>
      </c>
      <c r="D24" s="4" t="s">
        <v>160</v>
      </c>
      <c r="E24" s="392" t="s">
        <v>63</v>
      </c>
      <c r="F24" s="393"/>
      <c r="G24" s="412"/>
    </row>
    <row r="25" spans="1:7" x14ac:dyDescent="0.3">
      <c r="A25" s="28">
        <v>24</v>
      </c>
      <c r="B25" s="16" t="s">
        <v>161</v>
      </c>
      <c r="C25" s="12">
        <v>10249</v>
      </c>
      <c r="D25" s="4" t="s">
        <v>162</v>
      </c>
      <c r="E25" s="392" t="s">
        <v>37</v>
      </c>
      <c r="F25" s="393"/>
      <c r="G25" s="412"/>
    </row>
    <row r="26" spans="1:7" x14ac:dyDescent="0.3">
      <c r="A26" s="28">
        <v>25</v>
      </c>
      <c r="B26" s="16" t="s">
        <v>163</v>
      </c>
      <c r="C26" s="12">
        <v>10250</v>
      </c>
      <c r="D26" s="4" t="s">
        <v>164</v>
      </c>
      <c r="E26" s="392" t="s">
        <v>37</v>
      </c>
      <c r="F26" s="393"/>
      <c r="G26" s="412"/>
    </row>
    <row r="27" spans="1:7" x14ac:dyDescent="0.3">
      <c r="A27" s="28">
        <v>26</v>
      </c>
      <c r="B27" s="16" t="s">
        <v>165</v>
      </c>
      <c r="C27" s="12">
        <v>10251</v>
      </c>
      <c r="D27" s="4" t="s">
        <v>166</v>
      </c>
      <c r="E27" s="392" t="s">
        <v>63</v>
      </c>
      <c r="F27" s="393"/>
      <c r="G27" s="412"/>
    </row>
    <row r="28" spans="1:7" x14ac:dyDescent="0.3">
      <c r="A28" s="28">
        <v>27</v>
      </c>
      <c r="B28" s="18" t="s">
        <v>167</v>
      </c>
      <c r="C28" s="12">
        <v>10252</v>
      </c>
      <c r="D28" s="12" t="s">
        <v>168</v>
      </c>
      <c r="E28" s="401" t="s">
        <v>37</v>
      </c>
      <c r="F28" s="402"/>
      <c r="G28" s="416"/>
    </row>
    <row r="29" spans="1:7" x14ac:dyDescent="0.3">
      <c r="A29" s="28">
        <v>28</v>
      </c>
      <c r="B29" s="16" t="s">
        <v>169</v>
      </c>
      <c r="C29" s="12">
        <v>10253</v>
      </c>
      <c r="D29" s="4" t="s">
        <v>170</v>
      </c>
      <c r="E29" s="392" t="s">
        <v>37</v>
      </c>
      <c r="F29" s="393"/>
      <c r="G29" s="412"/>
    </row>
    <row r="30" spans="1:7" x14ac:dyDescent="0.3">
      <c r="A30" s="28">
        <v>29</v>
      </c>
      <c r="B30" s="17" t="s">
        <v>171</v>
      </c>
      <c r="C30" s="12">
        <v>10254</v>
      </c>
      <c r="D30" s="6" t="s">
        <v>172</v>
      </c>
      <c r="E30" s="417" t="s">
        <v>13</v>
      </c>
      <c r="F30" s="418"/>
      <c r="G30" s="419"/>
    </row>
    <row r="31" spans="1:7" x14ac:dyDescent="0.3">
      <c r="A31" s="28">
        <v>30</v>
      </c>
      <c r="B31" s="16" t="s">
        <v>173</v>
      </c>
      <c r="C31" s="12">
        <v>10255</v>
      </c>
      <c r="D31" s="4" t="s">
        <v>174</v>
      </c>
      <c r="E31" s="392"/>
      <c r="F31" s="393"/>
      <c r="G31" s="412"/>
    </row>
    <row r="32" spans="1:7" x14ac:dyDescent="0.3">
      <c r="A32" s="28">
        <v>31</v>
      </c>
      <c r="B32" s="16" t="s">
        <v>175</v>
      </c>
      <c r="C32" s="12">
        <v>10256</v>
      </c>
      <c r="D32" s="4" t="s">
        <v>176</v>
      </c>
      <c r="E32" s="392" t="s">
        <v>158</v>
      </c>
      <c r="F32" s="393"/>
      <c r="G32" s="412"/>
    </row>
    <row r="33" spans="1:7" x14ac:dyDescent="0.3">
      <c r="A33" s="28">
        <v>32</v>
      </c>
      <c r="B33" s="16" t="s">
        <v>177</v>
      </c>
      <c r="C33" s="12">
        <v>10257</v>
      </c>
      <c r="D33" s="4" t="s">
        <v>178</v>
      </c>
      <c r="E33" s="392" t="s">
        <v>13</v>
      </c>
      <c r="F33" s="393"/>
      <c r="G33" s="412"/>
    </row>
    <row r="34" spans="1:7" x14ac:dyDescent="0.3">
      <c r="A34" s="28">
        <v>33</v>
      </c>
      <c r="B34" s="16" t="s">
        <v>179</v>
      </c>
      <c r="C34" s="12">
        <v>10258</v>
      </c>
      <c r="D34" s="4" t="s">
        <v>180</v>
      </c>
      <c r="E34" s="392" t="s">
        <v>141</v>
      </c>
      <c r="F34" s="393"/>
      <c r="G34" s="412"/>
    </row>
    <row r="35" spans="1:7" x14ac:dyDescent="0.3">
      <c r="A35" s="28">
        <v>34</v>
      </c>
      <c r="B35" s="16" t="s">
        <v>181</v>
      </c>
      <c r="C35" s="4">
        <v>10259</v>
      </c>
      <c r="D35" s="4" t="s">
        <v>182</v>
      </c>
      <c r="E35" s="392" t="s">
        <v>183</v>
      </c>
      <c r="F35" s="393"/>
      <c r="G35" s="412"/>
    </row>
    <row r="36" spans="1:7" x14ac:dyDescent="0.3">
      <c r="A36" s="28">
        <v>35</v>
      </c>
      <c r="B36" s="16" t="s">
        <v>184</v>
      </c>
      <c r="C36" s="4">
        <v>10260</v>
      </c>
      <c r="D36" s="4" t="s">
        <v>185</v>
      </c>
      <c r="E36" s="392" t="s">
        <v>37</v>
      </c>
      <c r="F36" s="393"/>
      <c r="G36" s="412"/>
    </row>
    <row r="37" spans="1:7" x14ac:dyDescent="0.3">
      <c r="A37" s="28">
        <v>36</v>
      </c>
      <c r="B37" s="16" t="s">
        <v>186</v>
      </c>
      <c r="C37" s="4">
        <v>10261</v>
      </c>
      <c r="D37" s="4" t="s">
        <v>187</v>
      </c>
      <c r="E37" s="392" t="s">
        <v>13</v>
      </c>
      <c r="F37" s="393"/>
      <c r="G37" s="412"/>
    </row>
    <row r="38" spans="1:7" x14ac:dyDescent="0.3">
      <c r="A38" s="28">
        <v>37</v>
      </c>
      <c r="B38" s="16" t="s">
        <v>202</v>
      </c>
      <c r="C38" s="4">
        <v>10262</v>
      </c>
      <c r="D38" s="4" t="s">
        <v>201</v>
      </c>
      <c r="E38" s="392" t="s">
        <v>37</v>
      </c>
      <c r="F38" s="393"/>
      <c r="G38" s="412"/>
    </row>
    <row r="39" spans="1:7" x14ac:dyDescent="0.3">
      <c r="A39" s="28">
        <v>38</v>
      </c>
      <c r="B39" s="16" t="s">
        <v>199</v>
      </c>
      <c r="C39" s="4">
        <v>10263</v>
      </c>
      <c r="D39" s="4" t="s">
        <v>200</v>
      </c>
      <c r="E39" s="392" t="s">
        <v>251</v>
      </c>
      <c r="F39" s="393"/>
      <c r="G39" s="412"/>
    </row>
    <row r="40" spans="1:7" x14ac:dyDescent="0.3">
      <c r="A40" s="28">
        <v>39</v>
      </c>
      <c r="B40" s="16" t="s">
        <v>198</v>
      </c>
      <c r="C40" s="4">
        <v>10264</v>
      </c>
      <c r="D40" s="4" t="s">
        <v>197</v>
      </c>
      <c r="E40" s="392"/>
      <c r="F40" s="393"/>
      <c r="G40" s="412"/>
    </row>
    <row r="41" spans="1:7" x14ac:dyDescent="0.3">
      <c r="A41" s="28">
        <v>40</v>
      </c>
      <c r="B41" s="16" t="s">
        <v>188</v>
      </c>
      <c r="C41" s="4">
        <v>10265</v>
      </c>
      <c r="D41" s="4" t="s">
        <v>189</v>
      </c>
      <c r="E41" s="392" t="s">
        <v>190</v>
      </c>
      <c r="F41" s="393"/>
      <c r="G41" s="412"/>
    </row>
    <row r="42" spans="1:7" x14ac:dyDescent="0.3">
      <c r="A42" s="28">
        <v>41</v>
      </c>
      <c r="B42" s="16" t="s">
        <v>194</v>
      </c>
      <c r="C42" s="4">
        <v>10266</v>
      </c>
      <c r="D42" s="4" t="s">
        <v>196</v>
      </c>
      <c r="E42" s="392" t="s">
        <v>195</v>
      </c>
      <c r="F42" s="393"/>
      <c r="G42" s="412"/>
    </row>
    <row r="43" spans="1:7" x14ac:dyDescent="0.3">
      <c r="A43" s="28">
        <v>42</v>
      </c>
      <c r="B43" s="16" t="s">
        <v>193</v>
      </c>
      <c r="C43" s="4">
        <v>10267</v>
      </c>
      <c r="D43" s="4" t="s">
        <v>191</v>
      </c>
      <c r="E43" s="392" t="s">
        <v>192</v>
      </c>
      <c r="F43" s="393"/>
      <c r="G43" s="412"/>
    </row>
    <row r="44" spans="1:7" x14ac:dyDescent="0.3">
      <c r="A44" s="28">
        <v>43</v>
      </c>
      <c r="B44" s="16" t="s">
        <v>203</v>
      </c>
      <c r="C44" s="4">
        <v>10268</v>
      </c>
      <c r="D44" s="4" t="s">
        <v>204</v>
      </c>
      <c r="E44" s="392" t="s">
        <v>205</v>
      </c>
      <c r="F44" s="393"/>
      <c r="G44" s="412"/>
    </row>
    <row r="45" spans="1:7" x14ac:dyDescent="0.3">
      <c r="A45" s="28">
        <v>44</v>
      </c>
      <c r="B45" s="16" t="s">
        <v>206</v>
      </c>
      <c r="C45" s="4">
        <v>10269</v>
      </c>
      <c r="D45" s="4" t="s">
        <v>207</v>
      </c>
      <c r="E45" s="392" t="s">
        <v>205</v>
      </c>
      <c r="F45" s="393"/>
      <c r="G45" s="412"/>
    </row>
    <row r="46" spans="1:7" x14ac:dyDescent="0.3">
      <c r="A46" s="28">
        <v>45</v>
      </c>
      <c r="B46" s="16" t="s">
        <v>208</v>
      </c>
      <c r="C46" s="4">
        <v>10270</v>
      </c>
      <c r="D46" s="4" t="s">
        <v>209</v>
      </c>
      <c r="E46" s="392" t="s">
        <v>210</v>
      </c>
      <c r="F46" s="393"/>
      <c r="G46" s="412"/>
    </row>
    <row r="47" spans="1:7" x14ac:dyDescent="0.3">
      <c r="A47" s="28">
        <v>46</v>
      </c>
      <c r="B47" s="16" t="s">
        <v>211</v>
      </c>
      <c r="C47" s="4">
        <v>10271</v>
      </c>
      <c r="D47" s="4" t="s">
        <v>212</v>
      </c>
      <c r="E47" s="392" t="s">
        <v>213</v>
      </c>
      <c r="F47" s="393"/>
      <c r="G47" s="412"/>
    </row>
    <row r="48" spans="1:7" x14ac:dyDescent="0.3">
      <c r="A48" s="28">
        <v>47</v>
      </c>
      <c r="B48" s="16" t="s">
        <v>214</v>
      </c>
      <c r="C48" s="4">
        <v>10272</v>
      </c>
      <c r="D48" s="4" t="s">
        <v>215</v>
      </c>
      <c r="E48" s="392" t="s">
        <v>216</v>
      </c>
      <c r="F48" s="393"/>
      <c r="G48" s="412"/>
    </row>
    <row r="49" spans="1:7" x14ac:dyDescent="0.3">
      <c r="A49" s="28">
        <v>48</v>
      </c>
      <c r="B49" s="16" t="s">
        <v>217</v>
      </c>
      <c r="C49" s="4">
        <v>10273</v>
      </c>
      <c r="D49" s="4" t="s">
        <v>218</v>
      </c>
      <c r="E49" s="392" t="s">
        <v>219</v>
      </c>
      <c r="F49" s="393"/>
      <c r="G49" s="412"/>
    </row>
    <row r="50" spans="1:7" x14ac:dyDescent="0.3">
      <c r="A50" s="28">
        <v>49</v>
      </c>
      <c r="B50" s="16" t="s">
        <v>221</v>
      </c>
      <c r="C50" s="4">
        <v>10274</v>
      </c>
      <c r="D50" s="4" t="s">
        <v>222</v>
      </c>
      <c r="E50" s="392" t="s">
        <v>220</v>
      </c>
      <c r="F50" s="393"/>
      <c r="G50" s="412"/>
    </row>
    <row r="51" spans="1:7" x14ac:dyDescent="0.3">
      <c r="A51" s="28">
        <v>50</v>
      </c>
      <c r="B51" s="16" t="s">
        <v>223</v>
      </c>
      <c r="C51" s="4">
        <v>10275</v>
      </c>
      <c r="D51" s="4" t="s">
        <v>224</v>
      </c>
      <c r="E51" s="392" t="s">
        <v>225</v>
      </c>
      <c r="F51" s="393"/>
      <c r="G51" s="412"/>
    </row>
    <row r="52" spans="1:7" x14ac:dyDescent="0.3">
      <c r="A52" s="28">
        <v>51</v>
      </c>
      <c r="B52" s="16" t="s">
        <v>230</v>
      </c>
      <c r="C52" s="4">
        <v>10276</v>
      </c>
      <c r="D52" s="4" t="s">
        <v>231</v>
      </c>
      <c r="E52" s="392" t="s">
        <v>232</v>
      </c>
      <c r="F52" s="393"/>
      <c r="G52" s="412"/>
    </row>
    <row r="53" spans="1:7" x14ac:dyDescent="0.3">
      <c r="A53" s="28">
        <v>52</v>
      </c>
      <c r="B53" s="16" t="s">
        <v>226</v>
      </c>
      <c r="C53" s="4">
        <v>10277</v>
      </c>
      <c r="D53" s="4" t="s">
        <v>227</v>
      </c>
      <c r="E53" s="392" t="s">
        <v>228</v>
      </c>
      <c r="F53" s="393"/>
      <c r="G53" s="412"/>
    </row>
    <row r="54" spans="1:7" x14ac:dyDescent="0.3">
      <c r="A54" s="28">
        <v>53</v>
      </c>
      <c r="B54" s="16" t="s">
        <v>229</v>
      </c>
      <c r="C54" s="4">
        <v>10278</v>
      </c>
      <c r="D54" s="4" t="s">
        <v>233</v>
      </c>
      <c r="E54" s="392" t="s">
        <v>232</v>
      </c>
      <c r="F54" s="393"/>
      <c r="G54" s="412"/>
    </row>
    <row r="55" spans="1:7" x14ac:dyDescent="0.3">
      <c r="A55" s="28">
        <v>54</v>
      </c>
      <c r="B55" s="16" t="s">
        <v>234</v>
      </c>
      <c r="C55" s="4">
        <v>10279</v>
      </c>
      <c r="D55" s="4" t="s">
        <v>235</v>
      </c>
      <c r="E55" s="392" t="s">
        <v>13</v>
      </c>
      <c r="F55" s="393"/>
      <c r="G55" s="412"/>
    </row>
    <row r="56" spans="1:7" x14ac:dyDescent="0.3">
      <c r="A56" s="26">
        <v>55</v>
      </c>
      <c r="B56" s="4" t="s">
        <v>236</v>
      </c>
      <c r="C56" s="4">
        <v>10279</v>
      </c>
      <c r="D56" s="4" t="s">
        <v>237</v>
      </c>
      <c r="E56" s="399" t="s">
        <v>37</v>
      </c>
      <c r="F56" s="399"/>
      <c r="G56" s="399"/>
    </row>
    <row r="57" spans="1:7" x14ac:dyDescent="0.3">
      <c r="A57" s="26">
        <v>62</v>
      </c>
      <c r="B57" s="4" t="s">
        <v>248</v>
      </c>
      <c r="C57" s="4">
        <v>10280</v>
      </c>
      <c r="D57" s="4" t="s">
        <v>249</v>
      </c>
      <c r="E57" s="392" t="s">
        <v>250</v>
      </c>
      <c r="F57" s="393"/>
      <c r="G57" s="412"/>
    </row>
    <row r="58" spans="1:7" x14ac:dyDescent="0.3">
      <c r="A58" s="26">
        <v>63</v>
      </c>
      <c r="B58" s="4" t="s">
        <v>246</v>
      </c>
      <c r="C58" s="4">
        <v>10281</v>
      </c>
      <c r="D58" s="4" t="s">
        <v>247</v>
      </c>
      <c r="E58" s="392"/>
      <c r="F58" s="393"/>
      <c r="G58" s="412"/>
    </row>
    <row r="59" spans="1:7" x14ac:dyDescent="0.3">
      <c r="A59" s="26">
        <v>64</v>
      </c>
      <c r="B59" s="4" t="s">
        <v>244</v>
      </c>
      <c r="C59" s="4">
        <v>10282</v>
      </c>
      <c r="D59" s="4" t="s">
        <v>245</v>
      </c>
      <c r="E59" s="392" t="s">
        <v>243</v>
      </c>
      <c r="F59" s="393"/>
      <c r="G59" s="412"/>
    </row>
    <row r="60" spans="1:7" x14ac:dyDescent="0.3">
      <c r="A60" s="26">
        <v>65</v>
      </c>
      <c r="B60" s="4" t="s">
        <v>241</v>
      </c>
      <c r="C60" s="4">
        <v>10283</v>
      </c>
      <c r="D60" s="4" t="s">
        <v>242</v>
      </c>
      <c r="E60" s="392" t="s">
        <v>243</v>
      </c>
      <c r="F60" s="393"/>
      <c r="G60" s="412"/>
    </row>
    <row r="61" spans="1:7" x14ac:dyDescent="0.3">
      <c r="A61" s="26">
        <v>66</v>
      </c>
      <c r="B61" s="4" t="s">
        <v>238</v>
      </c>
      <c r="C61" s="4">
        <v>10284</v>
      </c>
      <c r="D61" s="4" t="s">
        <v>239</v>
      </c>
      <c r="E61" s="392" t="s">
        <v>240</v>
      </c>
      <c r="F61" s="393"/>
      <c r="G61" s="412"/>
    </row>
    <row r="62" spans="1:7" x14ac:dyDescent="0.3">
      <c r="A62" s="26">
        <v>67</v>
      </c>
      <c r="B62" s="4" t="s">
        <v>255</v>
      </c>
      <c r="C62" s="4">
        <v>10285</v>
      </c>
      <c r="D62" s="4" t="s">
        <v>256</v>
      </c>
      <c r="E62" s="392"/>
      <c r="F62" s="393"/>
      <c r="G62" s="412"/>
    </row>
    <row r="63" spans="1:7" x14ac:dyDescent="0.3">
      <c r="A63" s="26">
        <v>68</v>
      </c>
      <c r="B63" s="6" t="s">
        <v>252</v>
      </c>
      <c r="C63" s="4">
        <v>10286</v>
      </c>
      <c r="D63" s="6" t="s">
        <v>253</v>
      </c>
      <c r="E63" s="392" t="s">
        <v>254</v>
      </c>
      <c r="F63" s="393"/>
      <c r="G63" s="412"/>
    </row>
    <row r="64" spans="1:7" x14ac:dyDescent="0.3">
      <c r="A64" s="26">
        <v>69</v>
      </c>
      <c r="B64" s="4" t="s">
        <v>257</v>
      </c>
      <c r="C64" s="4">
        <v>10287</v>
      </c>
      <c r="D64" s="4" t="s">
        <v>258</v>
      </c>
      <c r="E64" s="392" t="s">
        <v>259</v>
      </c>
      <c r="F64" s="393"/>
      <c r="G64" s="412"/>
    </row>
    <row r="65" spans="1:7" x14ac:dyDescent="0.3">
      <c r="A65" s="26">
        <v>70</v>
      </c>
      <c r="B65" s="4" t="s">
        <v>265</v>
      </c>
      <c r="C65" s="4">
        <v>10288</v>
      </c>
      <c r="D65" s="4" t="s">
        <v>266</v>
      </c>
      <c r="E65" s="399" t="s">
        <v>127</v>
      </c>
      <c r="F65" s="399"/>
      <c r="G65" s="399"/>
    </row>
    <row r="66" spans="1:7" x14ac:dyDescent="0.3">
      <c r="A66" s="26">
        <v>71</v>
      </c>
      <c r="B66" s="4" t="s">
        <v>263</v>
      </c>
      <c r="C66" s="4">
        <v>10289</v>
      </c>
      <c r="D66" s="4" t="s">
        <v>264</v>
      </c>
      <c r="E66" s="399" t="s">
        <v>262</v>
      </c>
      <c r="F66" s="399"/>
      <c r="G66" s="399"/>
    </row>
    <row r="67" spans="1:7" x14ac:dyDescent="0.3">
      <c r="A67" s="26">
        <v>72</v>
      </c>
      <c r="B67" s="4" t="s">
        <v>267</v>
      </c>
      <c r="C67" s="4">
        <v>10290</v>
      </c>
      <c r="D67" s="4" t="s">
        <v>268</v>
      </c>
      <c r="E67" s="399" t="s">
        <v>269</v>
      </c>
      <c r="F67" s="399"/>
      <c r="G67" s="399"/>
    </row>
    <row r="68" spans="1:7" x14ac:dyDescent="0.3">
      <c r="A68" s="26">
        <v>73</v>
      </c>
      <c r="B68" s="4" t="s">
        <v>270</v>
      </c>
      <c r="C68" s="4">
        <v>10291</v>
      </c>
      <c r="D68" s="4" t="s">
        <v>271</v>
      </c>
      <c r="E68" s="399" t="s">
        <v>13</v>
      </c>
      <c r="F68" s="399"/>
      <c r="G68" s="399"/>
    </row>
    <row r="69" spans="1:7" x14ac:dyDescent="0.3">
      <c r="A69" s="26">
        <v>74</v>
      </c>
      <c r="B69" s="4" t="s">
        <v>272</v>
      </c>
      <c r="C69" s="4">
        <v>10292</v>
      </c>
      <c r="D69" s="4" t="s">
        <v>273</v>
      </c>
      <c r="E69" s="399" t="s">
        <v>13</v>
      </c>
      <c r="F69" s="399"/>
      <c r="G69" s="399"/>
    </row>
    <row r="70" spans="1:7" x14ac:dyDescent="0.3">
      <c r="A70" s="26">
        <v>75</v>
      </c>
      <c r="B70" s="4" t="s">
        <v>274</v>
      </c>
      <c r="C70" s="4">
        <v>10293</v>
      </c>
      <c r="D70" s="4" t="s">
        <v>275</v>
      </c>
      <c r="E70" s="399"/>
      <c r="F70" s="399"/>
      <c r="G70" s="399"/>
    </row>
    <row r="71" spans="1:7" x14ac:dyDescent="0.3">
      <c r="A71" s="26">
        <v>76</v>
      </c>
      <c r="B71" s="4" t="s">
        <v>260</v>
      </c>
      <c r="C71" s="4">
        <v>10294</v>
      </c>
      <c r="D71" s="4" t="s">
        <v>261</v>
      </c>
      <c r="E71" s="392" t="s">
        <v>262</v>
      </c>
      <c r="F71" s="393"/>
      <c r="G71" s="412"/>
    </row>
    <row r="72" spans="1:7" x14ac:dyDescent="0.3">
      <c r="A72" s="26">
        <v>77</v>
      </c>
      <c r="B72" s="29" t="s">
        <v>276</v>
      </c>
      <c r="C72" s="26">
        <v>10295</v>
      </c>
      <c r="D72" s="29" t="s">
        <v>277</v>
      </c>
      <c r="E72" s="399" t="s">
        <v>278</v>
      </c>
      <c r="F72" s="399"/>
      <c r="G72" s="399"/>
    </row>
    <row r="73" spans="1:7" x14ac:dyDescent="0.3">
      <c r="A73" s="26">
        <v>78</v>
      </c>
      <c r="B73" s="29" t="s">
        <v>279</v>
      </c>
      <c r="C73" s="26">
        <v>10296</v>
      </c>
      <c r="D73" s="29" t="s">
        <v>280</v>
      </c>
      <c r="E73" s="392" t="s">
        <v>281</v>
      </c>
      <c r="F73" s="393"/>
      <c r="G73" s="412"/>
    </row>
    <row r="74" spans="1:7" x14ac:dyDescent="0.3">
      <c r="A74" s="26">
        <v>79</v>
      </c>
      <c r="B74" s="29" t="s">
        <v>282</v>
      </c>
      <c r="C74" s="26">
        <v>10297</v>
      </c>
      <c r="D74" s="29" t="s">
        <v>283</v>
      </c>
      <c r="E74" s="392" t="s">
        <v>284</v>
      </c>
      <c r="F74" s="393"/>
      <c r="G74" s="412"/>
    </row>
    <row r="75" spans="1:7" x14ac:dyDescent="0.3">
      <c r="A75" s="26">
        <v>80</v>
      </c>
      <c r="B75" s="29" t="s">
        <v>285</v>
      </c>
      <c r="C75" s="26">
        <v>10298</v>
      </c>
      <c r="D75" s="29" t="s">
        <v>286</v>
      </c>
      <c r="E75" s="392" t="s">
        <v>278</v>
      </c>
      <c r="F75" s="393"/>
      <c r="G75" s="412"/>
    </row>
    <row r="76" spans="1:7" x14ac:dyDescent="0.3">
      <c r="A76" s="26">
        <v>81</v>
      </c>
      <c r="B76" s="29" t="s">
        <v>287</v>
      </c>
      <c r="C76" s="26">
        <v>10299</v>
      </c>
      <c r="D76" s="29" t="s">
        <v>288</v>
      </c>
      <c r="E76" s="399" t="s">
        <v>284</v>
      </c>
      <c r="F76" s="399"/>
      <c r="G76" s="399"/>
    </row>
    <row r="77" spans="1:7" x14ac:dyDescent="0.3">
      <c r="A77" s="21"/>
      <c r="B77" s="32"/>
      <c r="C77" s="21"/>
      <c r="D77" s="32"/>
      <c r="E77" s="398"/>
      <c r="F77" s="398"/>
      <c r="G77" s="398"/>
    </row>
    <row r="78" spans="1:7" x14ac:dyDescent="0.3">
      <c r="A78" s="21"/>
      <c r="B78" s="32"/>
      <c r="C78" s="21"/>
      <c r="D78" s="32"/>
      <c r="E78" s="21"/>
      <c r="F78" s="21"/>
      <c r="G78" s="21"/>
    </row>
  </sheetData>
  <mergeCells count="77">
    <mergeCell ref="E57:G57"/>
    <mergeCell ref="E63:G63"/>
    <mergeCell ref="E56:G56"/>
    <mergeCell ref="E49:G49"/>
    <mergeCell ref="E50:G50"/>
    <mergeCell ref="E51:G51"/>
    <mergeCell ref="E53:G53"/>
    <mergeCell ref="E54:G54"/>
    <mergeCell ref="E55:G55"/>
    <mergeCell ref="E52:G52"/>
    <mergeCell ref="E58:G58"/>
    <mergeCell ref="E59:G59"/>
    <mergeCell ref="E60:G60"/>
    <mergeCell ref="E61:G61"/>
    <mergeCell ref="E62:G62"/>
    <mergeCell ref="E48:G48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36:G36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24:G24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12:G12"/>
    <mergeCell ref="E1:G1"/>
    <mergeCell ref="E2:G2"/>
    <mergeCell ref="E3:G3"/>
    <mergeCell ref="E4:G4"/>
    <mergeCell ref="E5:G5"/>
    <mergeCell ref="E6:G6"/>
    <mergeCell ref="E7:G7"/>
    <mergeCell ref="E8:G8"/>
    <mergeCell ref="E9:G9"/>
    <mergeCell ref="E10:G10"/>
    <mergeCell ref="E11:G11"/>
    <mergeCell ref="E77:G77"/>
    <mergeCell ref="E71:G71"/>
    <mergeCell ref="E69:G69"/>
    <mergeCell ref="E70:G70"/>
    <mergeCell ref="E64:G64"/>
    <mergeCell ref="E65:G65"/>
    <mergeCell ref="E66:G66"/>
    <mergeCell ref="E67:G67"/>
    <mergeCell ref="E68:G68"/>
    <mergeCell ref="E72:G72"/>
    <mergeCell ref="E73:G73"/>
    <mergeCell ref="E74:G74"/>
    <mergeCell ref="E76:G76"/>
    <mergeCell ref="E75:G75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8"/>
  <sheetViews>
    <sheetView workbookViewId="0">
      <selection activeCell="C40" sqref="C40"/>
    </sheetView>
  </sheetViews>
  <sheetFormatPr defaultRowHeight="16.5" x14ac:dyDescent="0.3"/>
  <cols>
    <col min="2" max="2" width="15.25" bestFit="1" customWidth="1"/>
    <col min="4" max="4" width="11" bestFit="1" customWidth="1"/>
  </cols>
  <sheetData>
    <row r="1" spans="1:7" x14ac:dyDescent="0.3">
      <c r="A1" s="33"/>
      <c r="B1" s="34"/>
      <c r="C1" s="30" t="s">
        <v>1</v>
      </c>
      <c r="D1" s="30" t="s">
        <v>2</v>
      </c>
      <c r="E1" s="413" t="s">
        <v>3</v>
      </c>
      <c r="F1" s="414"/>
      <c r="G1" s="415"/>
    </row>
    <row r="2" spans="1:7" x14ac:dyDescent="0.3">
      <c r="A2" s="27">
        <v>1</v>
      </c>
      <c r="B2" s="31" t="s">
        <v>289</v>
      </c>
      <c r="C2" s="31">
        <v>10300</v>
      </c>
      <c r="D2" s="26" t="s">
        <v>290</v>
      </c>
      <c r="E2" s="392" t="s">
        <v>13</v>
      </c>
      <c r="F2" s="393"/>
      <c r="G2" s="412"/>
    </row>
    <row r="3" spans="1:7" x14ac:dyDescent="0.3">
      <c r="A3" s="28">
        <v>2</v>
      </c>
      <c r="B3" s="31" t="s">
        <v>303</v>
      </c>
      <c r="C3" s="31">
        <v>10301</v>
      </c>
      <c r="D3" s="26" t="s">
        <v>304</v>
      </c>
      <c r="E3" s="392" t="s">
        <v>292</v>
      </c>
      <c r="F3" s="393"/>
      <c r="G3" s="412"/>
    </row>
    <row r="4" spans="1:7" x14ac:dyDescent="0.3">
      <c r="A4" s="28">
        <v>3</v>
      </c>
      <c r="B4" s="31" t="s">
        <v>301</v>
      </c>
      <c r="C4" s="31">
        <v>10302</v>
      </c>
      <c r="D4" s="26" t="s">
        <v>302</v>
      </c>
      <c r="E4" s="392" t="s">
        <v>292</v>
      </c>
      <c r="F4" s="393"/>
      <c r="G4" s="412"/>
    </row>
    <row r="5" spans="1:7" x14ac:dyDescent="0.3">
      <c r="A5" s="28">
        <v>4</v>
      </c>
      <c r="B5" s="31" t="s">
        <v>305</v>
      </c>
      <c r="C5" s="31">
        <v>10303</v>
      </c>
      <c r="D5" s="26" t="s">
        <v>306</v>
      </c>
      <c r="E5" s="392"/>
      <c r="F5" s="393"/>
      <c r="G5" s="412"/>
    </row>
    <row r="6" spans="1:7" x14ac:dyDescent="0.3">
      <c r="A6" s="28">
        <v>5</v>
      </c>
      <c r="B6" s="31"/>
      <c r="C6" s="31">
        <v>10304</v>
      </c>
      <c r="D6" s="26"/>
      <c r="E6" s="392"/>
      <c r="F6" s="393"/>
      <c r="G6" s="412"/>
    </row>
    <row r="7" spans="1:7" x14ac:dyDescent="0.3">
      <c r="A7" s="28">
        <v>6</v>
      </c>
      <c r="B7" s="31" t="s">
        <v>307</v>
      </c>
      <c r="C7" s="31">
        <v>10305</v>
      </c>
      <c r="D7" s="26" t="s">
        <v>308</v>
      </c>
      <c r="E7" s="392"/>
      <c r="F7" s="393"/>
      <c r="G7" s="412"/>
    </row>
    <row r="8" spans="1:7" x14ac:dyDescent="0.3">
      <c r="A8" s="28">
        <v>7</v>
      </c>
      <c r="B8" s="31" t="s">
        <v>309</v>
      </c>
      <c r="C8" s="31">
        <v>10306</v>
      </c>
      <c r="D8" s="26" t="s">
        <v>310</v>
      </c>
      <c r="E8" s="392" t="s">
        <v>296</v>
      </c>
      <c r="F8" s="393"/>
      <c r="G8" s="412"/>
    </row>
    <row r="9" spans="1:7" x14ac:dyDescent="0.3">
      <c r="A9" s="28">
        <v>8</v>
      </c>
      <c r="B9" s="31" t="s">
        <v>300</v>
      </c>
      <c r="C9" s="31">
        <v>10307</v>
      </c>
      <c r="D9" s="26" t="s">
        <v>299</v>
      </c>
      <c r="E9" s="392" t="s">
        <v>292</v>
      </c>
      <c r="F9" s="393"/>
      <c r="G9" s="412"/>
    </row>
    <row r="10" spans="1:7" x14ac:dyDescent="0.3">
      <c r="A10" s="28">
        <v>9</v>
      </c>
      <c r="B10" s="31" t="s">
        <v>298</v>
      </c>
      <c r="C10" s="31">
        <v>10308</v>
      </c>
      <c r="D10" s="26" t="s">
        <v>297</v>
      </c>
      <c r="E10" s="392" t="s">
        <v>292</v>
      </c>
      <c r="F10" s="393"/>
      <c r="G10" s="412"/>
    </row>
    <row r="11" spans="1:7" x14ac:dyDescent="0.3">
      <c r="A11" s="28">
        <v>10</v>
      </c>
      <c r="B11" s="31" t="s">
        <v>295</v>
      </c>
      <c r="C11" s="31">
        <v>10309</v>
      </c>
      <c r="D11" s="26" t="s">
        <v>294</v>
      </c>
      <c r="E11" s="392" t="s">
        <v>296</v>
      </c>
      <c r="F11" s="393"/>
      <c r="G11" s="412"/>
    </row>
    <row r="12" spans="1:7" x14ac:dyDescent="0.3">
      <c r="A12" s="28">
        <v>11</v>
      </c>
      <c r="B12" s="31" t="s">
        <v>311</v>
      </c>
      <c r="C12" s="31">
        <v>10310</v>
      </c>
      <c r="D12" s="26" t="s">
        <v>312</v>
      </c>
      <c r="E12" s="392" t="s">
        <v>296</v>
      </c>
      <c r="F12" s="393"/>
      <c r="G12" s="412"/>
    </row>
    <row r="13" spans="1:7" x14ac:dyDescent="0.3">
      <c r="A13" s="28">
        <v>12</v>
      </c>
      <c r="B13" s="31" t="s">
        <v>293</v>
      </c>
      <c r="C13" s="31">
        <v>10311</v>
      </c>
      <c r="D13" s="26" t="s">
        <v>291</v>
      </c>
      <c r="E13" s="392" t="s">
        <v>292</v>
      </c>
      <c r="F13" s="393"/>
      <c r="G13" s="412"/>
    </row>
    <row r="14" spans="1:7" x14ac:dyDescent="0.3">
      <c r="A14" s="28">
        <v>13</v>
      </c>
      <c r="B14" s="35" t="s">
        <v>313</v>
      </c>
      <c r="C14" s="31">
        <v>10312</v>
      </c>
      <c r="D14" s="36" t="s">
        <v>314</v>
      </c>
      <c r="E14" s="401" t="s">
        <v>13</v>
      </c>
      <c r="F14" s="402"/>
      <c r="G14" s="416"/>
    </row>
    <row r="15" spans="1:7" x14ac:dyDescent="0.3">
      <c r="A15" s="28">
        <v>14</v>
      </c>
      <c r="B15" s="31" t="s">
        <v>315</v>
      </c>
      <c r="C15" s="31">
        <v>10313</v>
      </c>
      <c r="D15" s="26" t="s">
        <v>316</v>
      </c>
      <c r="E15" s="392" t="s">
        <v>317</v>
      </c>
      <c r="F15" s="393"/>
      <c r="G15" s="412"/>
    </row>
    <row r="16" spans="1:7" x14ac:dyDescent="0.3">
      <c r="A16" s="28">
        <v>15</v>
      </c>
      <c r="B16" s="31" t="s">
        <v>318</v>
      </c>
      <c r="C16" s="31">
        <v>10314</v>
      </c>
      <c r="D16" s="26" t="s">
        <v>319</v>
      </c>
      <c r="E16" s="392" t="s">
        <v>320</v>
      </c>
      <c r="F16" s="393"/>
      <c r="G16" s="412"/>
    </row>
    <row r="17" spans="1:7" x14ac:dyDescent="0.3">
      <c r="A17" s="28">
        <v>16</v>
      </c>
      <c r="B17" s="31" t="s">
        <v>321</v>
      </c>
      <c r="C17" s="31">
        <v>10315</v>
      </c>
      <c r="D17" s="26" t="s">
        <v>322</v>
      </c>
      <c r="E17" s="392" t="s">
        <v>323</v>
      </c>
      <c r="F17" s="393"/>
      <c r="G17" s="412"/>
    </row>
    <row r="18" spans="1:7" x14ac:dyDescent="0.3">
      <c r="A18" s="28">
        <v>17</v>
      </c>
      <c r="B18" s="31" t="s">
        <v>324</v>
      </c>
      <c r="C18" s="31">
        <v>10316</v>
      </c>
      <c r="D18" s="26" t="s">
        <v>325</v>
      </c>
      <c r="E18" s="392" t="s">
        <v>326</v>
      </c>
      <c r="F18" s="393"/>
      <c r="G18" s="412"/>
    </row>
    <row r="19" spans="1:7" x14ac:dyDescent="0.3">
      <c r="A19" s="28">
        <v>18</v>
      </c>
      <c r="B19" s="31" t="s">
        <v>327</v>
      </c>
      <c r="C19" s="31">
        <v>10317</v>
      </c>
      <c r="D19" s="26" t="s">
        <v>328</v>
      </c>
      <c r="E19" s="392" t="s">
        <v>329</v>
      </c>
      <c r="F19" s="393"/>
      <c r="G19" s="412"/>
    </row>
    <row r="20" spans="1:7" x14ac:dyDescent="0.3">
      <c r="A20" s="28">
        <v>19</v>
      </c>
      <c r="B20" s="31" t="s">
        <v>330</v>
      </c>
      <c r="C20" s="31">
        <v>10318</v>
      </c>
      <c r="D20" s="26" t="s">
        <v>331</v>
      </c>
      <c r="E20" s="392" t="s">
        <v>320</v>
      </c>
      <c r="F20" s="393"/>
      <c r="G20" s="412"/>
    </row>
    <row r="21" spans="1:7" x14ac:dyDescent="0.3">
      <c r="A21" s="28">
        <v>20</v>
      </c>
      <c r="B21" s="31" t="s">
        <v>354</v>
      </c>
      <c r="C21" s="31">
        <v>10319</v>
      </c>
      <c r="D21" s="26" t="s">
        <v>355</v>
      </c>
      <c r="E21" s="392" t="s">
        <v>13</v>
      </c>
      <c r="F21" s="393"/>
      <c r="G21" s="412"/>
    </row>
    <row r="22" spans="1:7" x14ac:dyDescent="0.3">
      <c r="A22" s="28">
        <v>21</v>
      </c>
      <c r="B22" s="31" t="s">
        <v>352</v>
      </c>
      <c r="C22" s="31">
        <v>10320</v>
      </c>
      <c r="D22" s="26" t="s">
        <v>353</v>
      </c>
      <c r="E22" s="392"/>
      <c r="F22" s="393"/>
      <c r="G22" s="412"/>
    </row>
    <row r="23" spans="1:7" x14ac:dyDescent="0.3">
      <c r="A23" s="28">
        <v>22</v>
      </c>
      <c r="B23" s="31" t="s">
        <v>372</v>
      </c>
      <c r="C23" s="31">
        <v>10321</v>
      </c>
      <c r="D23" s="26" t="s">
        <v>373</v>
      </c>
      <c r="E23" s="392" t="s">
        <v>374</v>
      </c>
      <c r="F23" s="393"/>
      <c r="G23" s="412"/>
    </row>
    <row r="24" spans="1:7" x14ac:dyDescent="0.3">
      <c r="A24" s="28">
        <v>23</v>
      </c>
      <c r="B24" s="31" t="s">
        <v>351</v>
      </c>
      <c r="C24" s="31">
        <v>10322</v>
      </c>
      <c r="D24" s="26" t="s">
        <v>350</v>
      </c>
      <c r="E24" s="392" t="s">
        <v>349</v>
      </c>
      <c r="F24" s="393"/>
      <c r="G24" s="412"/>
    </row>
    <row r="25" spans="1:7" x14ac:dyDescent="0.3">
      <c r="A25" s="28">
        <v>24</v>
      </c>
      <c r="B25" s="31" t="s">
        <v>346</v>
      </c>
      <c r="C25" s="31">
        <v>10323</v>
      </c>
      <c r="D25" s="26" t="s">
        <v>347</v>
      </c>
      <c r="E25" s="392" t="s">
        <v>348</v>
      </c>
      <c r="F25" s="393"/>
      <c r="G25" s="412"/>
    </row>
    <row r="26" spans="1:7" x14ac:dyDescent="0.3">
      <c r="A26" s="28">
        <v>25</v>
      </c>
      <c r="B26" s="31" t="s">
        <v>344</v>
      </c>
      <c r="C26" s="31">
        <v>10324</v>
      </c>
      <c r="D26" s="26" t="s">
        <v>345</v>
      </c>
      <c r="E26" s="392" t="s">
        <v>13</v>
      </c>
      <c r="F26" s="393"/>
      <c r="G26" s="412"/>
    </row>
    <row r="27" spans="1:7" x14ac:dyDescent="0.3">
      <c r="A27" s="28">
        <v>26</v>
      </c>
      <c r="B27" s="31" t="s">
        <v>342</v>
      </c>
      <c r="C27" s="31">
        <v>10325</v>
      </c>
      <c r="D27" s="26" t="s">
        <v>343</v>
      </c>
      <c r="E27" s="392"/>
      <c r="F27" s="393"/>
      <c r="G27" s="412"/>
    </row>
    <row r="28" spans="1:7" x14ac:dyDescent="0.3">
      <c r="A28" s="28">
        <v>27</v>
      </c>
      <c r="B28" s="38" t="s">
        <v>339</v>
      </c>
      <c r="C28" s="31">
        <v>10326</v>
      </c>
      <c r="D28" s="36" t="s">
        <v>340</v>
      </c>
      <c r="E28" s="401" t="s">
        <v>341</v>
      </c>
      <c r="F28" s="402"/>
      <c r="G28" s="416"/>
    </row>
    <row r="29" spans="1:7" x14ac:dyDescent="0.3">
      <c r="A29" s="28">
        <v>28</v>
      </c>
      <c r="B29" s="31" t="s">
        <v>303</v>
      </c>
      <c r="C29" s="31">
        <v>10327</v>
      </c>
      <c r="D29" s="26" t="s">
        <v>338</v>
      </c>
      <c r="E29" s="392" t="s">
        <v>337</v>
      </c>
      <c r="F29" s="393"/>
      <c r="G29" s="412"/>
    </row>
    <row r="30" spans="1:7" x14ac:dyDescent="0.3">
      <c r="A30" s="28">
        <v>29</v>
      </c>
      <c r="B30" s="39" t="s">
        <v>335</v>
      </c>
      <c r="C30" s="31">
        <v>10328</v>
      </c>
      <c r="D30" s="37" t="s">
        <v>336</v>
      </c>
      <c r="E30" s="417" t="s">
        <v>337</v>
      </c>
      <c r="F30" s="418"/>
      <c r="G30" s="419"/>
    </row>
    <row r="31" spans="1:7" x14ac:dyDescent="0.3">
      <c r="A31" s="28">
        <v>30</v>
      </c>
      <c r="B31" s="31" t="s">
        <v>356</v>
      </c>
      <c r="C31" s="31">
        <v>10329</v>
      </c>
      <c r="D31" s="26" t="s">
        <v>357</v>
      </c>
      <c r="E31" s="392"/>
      <c r="F31" s="393"/>
      <c r="G31" s="412"/>
    </row>
    <row r="32" spans="1:7" x14ac:dyDescent="0.3">
      <c r="A32" s="28">
        <v>31</v>
      </c>
      <c r="B32" s="31" t="s">
        <v>332</v>
      </c>
      <c r="C32" s="31">
        <v>10330</v>
      </c>
      <c r="D32" s="26" t="s">
        <v>333</v>
      </c>
      <c r="E32" s="392" t="s">
        <v>334</v>
      </c>
      <c r="F32" s="393"/>
      <c r="G32" s="412"/>
    </row>
    <row r="33" spans="1:7" x14ac:dyDescent="0.3">
      <c r="A33" s="28">
        <v>32</v>
      </c>
      <c r="B33" s="31" t="s">
        <v>358</v>
      </c>
      <c r="C33" s="31">
        <v>10331</v>
      </c>
      <c r="D33" s="26" t="s">
        <v>359</v>
      </c>
      <c r="E33" s="392"/>
      <c r="F33" s="393"/>
      <c r="G33" s="412"/>
    </row>
    <row r="34" spans="1:7" x14ac:dyDescent="0.3">
      <c r="A34" s="28">
        <v>33</v>
      </c>
      <c r="B34" s="31" t="s">
        <v>360</v>
      </c>
      <c r="C34" s="36">
        <v>10332</v>
      </c>
      <c r="D34" s="26" t="s">
        <v>361</v>
      </c>
      <c r="E34" s="392"/>
      <c r="F34" s="393"/>
      <c r="G34" s="412"/>
    </row>
    <row r="35" spans="1:7" x14ac:dyDescent="0.3">
      <c r="A35" s="28">
        <v>34</v>
      </c>
      <c r="B35" s="31" t="s">
        <v>362</v>
      </c>
      <c r="C35" s="26">
        <v>10333</v>
      </c>
      <c r="D35" s="26" t="s">
        <v>363</v>
      </c>
      <c r="E35" s="392" t="s">
        <v>63</v>
      </c>
      <c r="F35" s="393"/>
      <c r="G35" s="412"/>
    </row>
    <row r="36" spans="1:7" x14ac:dyDescent="0.3">
      <c r="A36" s="28">
        <v>35</v>
      </c>
      <c r="B36" s="31" t="s">
        <v>364</v>
      </c>
      <c r="C36" s="26">
        <v>10334</v>
      </c>
      <c r="D36" s="26" t="s">
        <v>365</v>
      </c>
      <c r="E36" s="392"/>
      <c r="F36" s="393"/>
      <c r="G36" s="412"/>
    </row>
    <row r="37" spans="1:7" x14ac:dyDescent="0.3">
      <c r="A37" s="28">
        <v>36</v>
      </c>
      <c r="B37" s="31" t="s">
        <v>366</v>
      </c>
      <c r="C37" s="26">
        <v>10335</v>
      </c>
      <c r="D37" s="26" t="s">
        <v>367</v>
      </c>
      <c r="E37" s="392" t="s">
        <v>63</v>
      </c>
      <c r="F37" s="393"/>
      <c r="G37" s="412"/>
    </row>
    <row r="38" spans="1:7" x14ac:dyDescent="0.3">
      <c r="A38" s="28">
        <v>37</v>
      </c>
      <c r="B38" s="31" t="s">
        <v>370</v>
      </c>
      <c r="C38" s="26">
        <v>10336</v>
      </c>
      <c r="D38" s="26" t="s">
        <v>371</v>
      </c>
      <c r="E38" s="392" t="s">
        <v>63</v>
      </c>
      <c r="F38" s="393"/>
      <c r="G38" s="412"/>
    </row>
    <row r="39" spans="1:7" x14ac:dyDescent="0.3">
      <c r="A39" s="28">
        <v>38</v>
      </c>
      <c r="B39" s="31" t="s">
        <v>368</v>
      </c>
      <c r="C39" s="26">
        <v>10337</v>
      </c>
      <c r="D39" s="26" t="s">
        <v>369</v>
      </c>
      <c r="E39" s="392" t="s">
        <v>63</v>
      </c>
      <c r="F39" s="393"/>
      <c r="G39" s="412"/>
    </row>
    <row r="40" spans="1:7" x14ac:dyDescent="0.3">
      <c r="A40" s="28">
        <v>39</v>
      </c>
      <c r="B40" s="31" t="s">
        <v>375</v>
      </c>
      <c r="C40" s="26">
        <v>10339</v>
      </c>
      <c r="D40" s="26" t="s">
        <v>376</v>
      </c>
      <c r="E40" s="392" t="s">
        <v>63</v>
      </c>
      <c r="F40" s="393"/>
      <c r="G40" s="412"/>
    </row>
    <row r="41" spans="1:7" x14ac:dyDescent="0.3">
      <c r="A41" s="28">
        <v>40</v>
      </c>
      <c r="B41" s="31"/>
      <c r="C41" s="26"/>
      <c r="D41" s="26"/>
      <c r="E41" s="392"/>
      <c r="F41" s="393"/>
      <c r="G41" s="412"/>
    </row>
    <row r="42" spans="1:7" x14ac:dyDescent="0.3">
      <c r="A42" s="28">
        <v>41</v>
      </c>
      <c r="B42" s="31"/>
      <c r="C42" s="26"/>
      <c r="D42" s="26"/>
      <c r="E42" s="392"/>
      <c r="F42" s="393"/>
      <c r="G42" s="412"/>
    </row>
    <row r="43" spans="1:7" x14ac:dyDescent="0.3">
      <c r="A43" s="28">
        <v>42</v>
      </c>
      <c r="B43" s="31"/>
      <c r="C43" s="26"/>
      <c r="D43" s="26"/>
      <c r="E43" s="392"/>
      <c r="F43" s="393"/>
      <c r="G43" s="412"/>
    </row>
    <row r="44" spans="1:7" x14ac:dyDescent="0.3">
      <c r="A44" s="28">
        <v>43</v>
      </c>
      <c r="B44" s="31"/>
      <c r="C44" s="26"/>
      <c r="D44" s="26"/>
      <c r="E44" s="392"/>
      <c r="F44" s="393"/>
      <c r="G44" s="412"/>
    </row>
    <row r="45" spans="1:7" x14ac:dyDescent="0.3">
      <c r="A45" s="28">
        <v>44</v>
      </c>
      <c r="B45" s="31"/>
      <c r="C45" s="26"/>
      <c r="D45" s="26"/>
      <c r="E45" s="392"/>
      <c r="F45" s="393"/>
      <c r="G45" s="412"/>
    </row>
    <row r="46" spans="1:7" x14ac:dyDescent="0.3">
      <c r="A46" s="28">
        <v>45</v>
      </c>
      <c r="B46" s="31"/>
      <c r="C46" s="26"/>
      <c r="D46" s="26"/>
      <c r="E46" s="392"/>
      <c r="F46" s="393"/>
      <c r="G46" s="412"/>
    </row>
    <row r="47" spans="1:7" x14ac:dyDescent="0.3">
      <c r="A47" s="28">
        <v>46</v>
      </c>
      <c r="B47" s="31"/>
      <c r="C47" s="26"/>
      <c r="D47" s="26"/>
      <c r="E47" s="392"/>
      <c r="F47" s="393"/>
      <c r="G47" s="412"/>
    </row>
    <row r="48" spans="1:7" x14ac:dyDescent="0.3">
      <c r="A48" s="28">
        <v>47</v>
      </c>
      <c r="B48" s="31"/>
      <c r="C48" s="26"/>
      <c r="D48" s="26"/>
      <c r="E48" s="392"/>
      <c r="F48" s="393"/>
      <c r="G48" s="412"/>
    </row>
    <row r="49" spans="1:7" x14ac:dyDescent="0.3">
      <c r="A49" s="28">
        <v>48</v>
      </c>
      <c r="B49" s="31"/>
      <c r="C49" s="26"/>
      <c r="D49" s="26"/>
      <c r="E49" s="392"/>
      <c r="F49" s="393"/>
      <c r="G49" s="412"/>
    </row>
    <row r="50" spans="1:7" x14ac:dyDescent="0.3">
      <c r="A50" s="40">
        <v>49</v>
      </c>
      <c r="B50" s="38"/>
      <c r="C50" s="36"/>
      <c r="D50" s="36"/>
      <c r="E50" s="401"/>
      <c r="F50" s="402"/>
      <c r="G50" s="416"/>
    </row>
    <row r="51" spans="1:7" x14ac:dyDescent="0.3">
      <c r="A51" s="27">
        <v>50</v>
      </c>
      <c r="B51" s="3"/>
      <c r="C51" s="4"/>
      <c r="D51" s="4"/>
      <c r="E51" s="399"/>
      <c r="F51" s="399"/>
      <c r="G51" s="399"/>
    </row>
    <row r="52" spans="1:7" x14ac:dyDescent="0.3">
      <c r="A52" s="21"/>
      <c r="E52" s="398"/>
      <c r="F52" s="398"/>
      <c r="G52" s="398"/>
    </row>
    <row r="53" spans="1:7" x14ac:dyDescent="0.3">
      <c r="A53" s="21"/>
      <c r="E53" s="398"/>
      <c r="F53" s="398"/>
      <c r="G53" s="398"/>
    </row>
    <row r="54" spans="1:7" x14ac:dyDescent="0.3">
      <c r="A54" s="21"/>
      <c r="E54" s="398"/>
      <c r="F54" s="398"/>
      <c r="G54" s="398"/>
    </row>
    <row r="55" spans="1:7" x14ac:dyDescent="0.3">
      <c r="A55" s="21"/>
      <c r="E55" s="398"/>
      <c r="F55" s="398"/>
      <c r="G55" s="398"/>
    </row>
    <row r="56" spans="1:7" x14ac:dyDescent="0.3">
      <c r="A56" s="21"/>
      <c r="E56" s="398"/>
      <c r="F56" s="398"/>
      <c r="G56" s="398"/>
    </row>
    <row r="57" spans="1:7" x14ac:dyDescent="0.3">
      <c r="A57" s="21"/>
      <c r="E57" s="398"/>
      <c r="F57" s="398"/>
      <c r="G57" s="398"/>
    </row>
    <row r="58" spans="1:7" x14ac:dyDescent="0.3">
      <c r="A58" s="21"/>
      <c r="E58" s="398"/>
      <c r="F58" s="398"/>
      <c r="G58" s="398"/>
    </row>
    <row r="59" spans="1:7" x14ac:dyDescent="0.3">
      <c r="A59" s="21"/>
      <c r="E59" s="398"/>
      <c r="F59" s="398"/>
      <c r="G59" s="398"/>
    </row>
    <row r="60" spans="1:7" x14ac:dyDescent="0.3">
      <c r="A60" s="21"/>
      <c r="E60" s="398"/>
      <c r="F60" s="398"/>
      <c r="G60" s="398"/>
    </row>
    <row r="61" spans="1:7" x14ac:dyDescent="0.3">
      <c r="A61" s="21"/>
      <c r="E61" s="398"/>
      <c r="F61" s="398"/>
      <c r="G61" s="398"/>
    </row>
    <row r="62" spans="1:7" x14ac:dyDescent="0.3">
      <c r="A62" s="21"/>
      <c r="E62" s="398"/>
      <c r="F62" s="398"/>
      <c r="G62" s="398"/>
    </row>
    <row r="63" spans="1:7" x14ac:dyDescent="0.3">
      <c r="A63" s="21"/>
      <c r="E63" s="398"/>
      <c r="F63" s="398"/>
      <c r="G63" s="398"/>
    </row>
    <row r="64" spans="1:7" x14ac:dyDescent="0.3">
      <c r="A64" s="21"/>
      <c r="E64" s="398"/>
      <c r="F64" s="398"/>
      <c r="G64" s="398"/>
    </row>
    <row r="65" spans="1:7" x14ac:dyDescent="0.3">
      <c r="A65" s="21"/>
      <c r="E65" s="398"/>
      <c r="F65" s="398"/>
      <c r="G65" s="398"/>
    </row>
    <row r="66" spans="1:7" x14ac:dyDescent="0.3">
      <c r="A66" s="21"/>
      <c r="E66" s="398"/>
      <c r="F66" s="398"/>
      <c r="G66" s="398"/>
    </row>
    <row r="67" spans="1:7" x14ac:dyDescent="0.3">
      <c r="A67" s="21"/>
      <c r="E67" s="398"/>
      <c r="F67" s="398"/>
      <c r="G67" s="398"/>
    </row>
    <row r="68" spans="1:7" x14ac:dyDescent="0.3">
      <c r="A68" s="21"/>
      <c r="E68" s="398"/>
      <c r="F68" s="398"/>
      <c r="G68" s="398"/>
    </row>
    <row r="69" spans="1:7" x14ac:dyDescent="0.3">
      <c r="A69" s="21"/>
      <c r="E69" s="398"/>
      <c r="F69" s="398"/>
      <c r="G69" s="398"/>
    </row>
    <row r="70" spans="1:7" x14ac:dyDescent="0.3">
      <c r="A70" s="21"/>
      <c r="E70" s="398"/>
      <c r="F70" s="398"/>
      <c r="G70" s="398"/>
    </row>
    <row r="71" spans="1:7" x14ac:dyDescent="0.3">
      <c r="A71" s="21"/>
      <c r="E71" s="398"/>
      <c r="F71" s="398"/>
      <c r="G71" s="398"/>
    </row>
    <row r="72" spans="1:7" x14ac:dyDescent="0.3">
      <c r="A72" s="21"/>
      <c r="B72" s="32"/>
      <c r="C72" s="21"/>
      <c r="D72" s="32"/>
      <c r="E72" s="398"/>
      <c r="F72" s="398"/>
      <c r="G72" s="398"/>
    </row>
    <row r="73" spans="1:7" x14ac:dyDescent="0.3">
      <c r="A73" s="21"/>
      <c r="B73" s="32"/>
      <c r="C73" s="21"/>
      <c r="D73" s="32"/>
      <c r="E73" s="398"/>
      <c r="F73" s="398"/>
      <c r="G73" s="398"/>
    </row>
    <row r="74" spans="1:7" x14ac:dyDescent="0.3">
      <c r="A74" s="21"/>
      <c r="B74" s="32"/>
      <c r="C74" s="21"/>
      <c r="D74" s="32"/>
      <c r="E74" s="398"/>
      <c r="F74" s="398"/>
      <c r="G74" s="398"/>
    </row>
    <row r="75" spans="1:7" x14ac:dyDescent="0.3">
      <c r="A75" s="21"/>
      <c r="B75" s="32"/>
      <c r="C75" s="21"/>
      <c r="D75" s="32"/>
      <c r="E75" s="398"/>
      <c r="F75" s="398"/>
      <c r="G75" s="398"/>
    </row>
    <row r="76" spans="1:7" x14ac:dyDescent="0.3">
      <c r="A76" s="21"/>
      <c r="B76" s="32"/>
      <c r="C76" s="21"/>
      <c r="D76" s="32"/>
      <c r="E76" s="398"/>
      <c r="F76" s="398"/>
      <c r="G76" s="398"/>
    </row>
    <row r="77" spans="1:7" x14ac:dyDescent="0.3">
      <c r="A77" s="21"/>
      <c r="B77" s="32"/>
      <c r="C77" s="21"/>
      <c r="D77" s="32"/>
      <c r="E77" s="398"/>
      <c r="F77" s="398"/>
      <c r="G77" s="398"/>
    </row>
    <row r="78" spans="1:7" x14ac:dyDescent="0.3">
      <c r="A78" s="21"/>
      <c r="B78" s="32"/>
      <c r="C78" s="21"/>
      <c r="D78" s="32"/>
      <c r="E78" s="21"/>
      <c r="F78" s="21"/>
      <c r="G78" s="21"/>
    </row>
  </sheetData>
  <mergeCells count="77">
    <mergeCell ref="E12:G12"/>
    <mergeCell ref="E1:G1"/>
    <mergeCell ref="E2:G2"/>
    <mergeCell ref="E3:G3"/>
    <mergeCell ref="E4:G4"/>
    <mergeCell ref="E5:G5"/>
    <mergeCell ref="E6:G6"/>
    <mergeCell ref="E7:G7"/>
    <mergeCell ref="E8:G8"/>
    <mergeCell ref="E9:G9"/>
    <mergeCell ref="E10:G10"/>
    <mergeCell ref="E11:G11"/>
    <mergeCell ref="E24:G24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36:G36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48:G48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60:G60"/>
    <mergeCell ref="E49:G49"/>
    <mergeCell ref="E50:G50"/>
    <mergeCell ref="E51:G51"/>
    <mergeCell ref="E52:G52"/>
    <mergeCell ref="E53:G53"/>
    <mergeCell ref="E54:G54"/>
    <mergeCell ref="E55:G55"/>
    <mergeCell ref="E56:G56"/>
    <mergeCell ref="E57:G57"/>
    <mergeCell ref="E58:G58"/>
    <mergeCell ref="E59:G59"/>
    <mergeCell ref="E72:G72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3:G73"/>
    <mergeCell ref="E74:G74"/>
    <mergeCell ref="E75:G75"/>
    <mergeCell ref="E76:G76"/>
    <mergeCell ref="E77:G77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4"/>
  <sheetViews>
    <sheetView workbookViewId="0">
      <selection activeCell="H32" sqref="H32"/>
    </sheetView>
  </sheetViews>
  <sheetFormatPr defaultRowHeight="16.5" x14ac:dyDescent="0.3"/>
  <cols>
    <col min="2" max="2" width="12.125" bestFit="1" customWidth="1"/>
    <col min="4" max="4" width="11" bestFit="1" customWidth="1"/>
  </cols>
  <sheetData>
    <row r="1" spans="1:7" x14ac:dyDescent="0.3">
      <c r="A1" s="42"/>
      <c r="B1" s="41" t="s">
        <v>377</v>
      </c>
      <c r="C1" s="41" t="s">
        <v>1</v>
      </c>
      <c r="D1" s="41" t="s">
        <v>2</v>
      </c>
      <c r="E1" s="408" t="s">
        <v>3</v>
      </c>
      <c r="F1" s="408"/>
      <c r="G1" s="409"/>
    </row>
    <row r="2" spans="1:7" x14ac:dyDescent="0.3">
      <c r="A2" s="3">
        <v>1</v>
      </c>
      <c r="B2" s="4" t="s">
        <v>378</v>
      </c>
      <c r="C2" s="4">
        <v>10341</v>
      </c>
      <c r="D2" s="4" t="s">
        <v>379</v>
      </c>
      <c r="E2" s="399" t="s">
        <v>380</v>
      </c>
      <c r="F2" s="399"/>
      <c r="G2" s="400"/>
    </row>
    <row r="3" spans="1:7" x14ac:dyDescent="0.3">
      <c r="A3" s="3">
        <v>2</v>
      </c>
      <c r="B3" s="4" t="s">
        <v>381</v>
      </c>
      <c r="C3" s="4">
        <v>10342</v>
      </c>
      <c r="D3" s="4" t="s">
        <v>382</v>
      </c>
      <c r="E3" s="399" t="s">
        <v>383</v>
      </c>
      <c r="F3" s="399"/>
      <c r="G3" s="400"/>
    </row>
    <row r="4" spans="1:7" x14ac:dyDescent="0.3">
      <c r="A4" s="3">
        <v>3</v>
      </c>
      <c r="B4" s="4" t="s">
        <v>384</v>
      </c>
      <c r="C4" s="4">
        <v>10343</v>
      </c>
      <c r="D4" s="4" t="s">
        <v>385</v>
      </c>
      <c r="E4" s="399" t="s">
        <v>386</v>
      </c>
      <c r="F4" s="399"/>
      <c r="G4" s="400"/>
    </row>
    <row r="5" spans="1:7" x14ac:dyDescent="0.3">
      <c r="A5" s="3">
        <v>4</v>
      </c>
      <c r="B5" s="4" t="s">
        <v>387</v>
      </c>
      <c r="C5" s="4">
        <v>10344</v>
      </c>
      <c r="D5" s="4" t="s">
        <v>388</v>
      </c>
      <c r="E5" s="399" t="s">
        <v>383</v>
      </c>
      <c r="F5" s="399"/>
      <c r="G5" s="400"/>
    </row>
    <row r="6" spans="1:7" x14ac:dyDescent="0.3">
      <c r="A6" s="3">
        <v>5</v>
      </c>
      <c r="B6" s="4" t="s">
        <v>389</v>
      </c>
      <c r="C6" s="4">
        <v>10345</v>
      </c>
      <c r="D6" s="4" t="s">
        <v>390</v>
      </c>
      <c r="E6" s="399" t="s">
        <v>380</v>
      </c>
      <c r="F6" s="399"/>
      <c r="G6" s="400"/>
    </row>
    <row r="7" spans="1:7" x14ac:dyDescent="0.3">
      <c r="A7" s="3">
        <v>6</v>
      </c>
      <c r="B7" s="4" t="s">
        <v>391</v>
      </c>
      <c r="C7" s="4">
        <v>10346</v>
      </c>
      <c r="D7" s="4" t="s">
        <v>392</v>
      </c>
      <c r="E7" s="399" t="s">
        <v>393</v>
      </c>
      <c r="F7" s="399"/>
      <c r="G7" s="400"/>
    </row>
    <row r="8" spans="1:7" x14ac:dyDescent="0.3">
      <c r="A8" s="3">
        <v>7</v>
      </c>
      <c r="B8" s="4" t="s">
        <v>394</v>
      </c>
      <c r="C8" s="4">
        <v>10347</v>
      </c>
      <c r="D8" s="4" t="s">
        <v>395</v>
      </c>
      <c r="E8" s="399" t="s">
        <v>396</v>
      </c>
      <c r="F8" s="399"/>
      <c r="G8" s="400"/>
    </row>
    <row r="9" spans="1:7" x14ac:dyDescent="0.3">
      <c r="A9" s="3">
        <v>8</v>
      </c>
      <c r="B9" s="4" t="s">
        <v>397</v>
      </c>
      <c r="C9" s="4">
        <v>10348</v>
      </c>
      <c r="D9" s="4" t="s">
        <v>398</v>
      </c>
      <c r="E9" s="399" t="s">
        <v>380</v>
      </c>
      <c r="F9" s="399"/>
      <c r="G9" s="400"/>
    </row>
    <row r="10" spans="1:7" x14ac:dyDescent="0.3">
      <c r="A10" s="3">
        <v>9</v>
      </c>
      <c r="B10" s="4" t="s">
        <v>399</v>
      </c>
      <c r="C10" s="4">
        <v>10349</v>
      </c>
      <c r="D10" s="4" t="s">
        <v>400</v>
      </c>
      <c r="E10" s="399" t="s">
        <v>380</v>
      </c>
      <c r="F10" s="399"/>
      <c r="G10" s="400"/>
    </row>
    <row r="11" spans="1:7" x14ac:dyDescent="0.3">
      <c r="A11" s="3">
        <v>10</v>
      </c>
      <c r="B11" s="4" t="s">
        <v>401</v>
      </c>
      <c r="C11" s="4">
        <v>10350</v>
      </c>
      <c r="D11" s="4" t="s">
        <v>402</v>
      </c>
      <c r="E11" s="399" t="s">
        <v>393</v>
      </c>
      <c r="F11" s="399"/>
      <c r="G11" s="400"/>
    </row>
    <row r="12" spans="1:7" x14ac:dyDescent="0.3">
      <c r="A12" s="3">
        <v>11</v>
      </c>
      <c r="B12" s="4" t="s">
        <v>403</v>
      </c>
      <c r="C12" s="4">
        <v>10351</v>
      </c>
      <c r="D12" s="4" t="s">
        <v>404</v>
      </c>
      <c r="E12" s="399" t="s">
        <v>396</v>
      </c>
      <c r="F12" s="399"/>
      <c r="G12" s="400"/>
    </row>
    <row r="13" spans="1:7" x14ac:dyDescent="0.3">
      <c r="A13" s="3">
        <v>12</v>
      </c>
      <c r="B13" s="4" t="s">
        <v>405</v>
      </c>
      <c r="C13" s="4">
        <v>10352</v>
      </c>
      <c r="D13" s="4" t="s">
        <v>406</v>
      </c>
      <c r="E13" s="399" t="s">
        <v>380</v>
      </c>
      <c r="F13" s="399"/>
      <c r="G13" s="400"/>
    </row>
    <row r="14" spans="1:7" x14ac:dyDescent="0.3">
      <c r="A14" s="3">
        <v>13</v>
      </c>
      <c r="B14" s="4" t="s">
        <v>407</v>
      </c>
      <c r="C14" s="4">
        <v>10353</v>
      </c>
      <c r="D14" s="4" t="s">
        <v>408</v>
      </c>
      <c r="E14" s="399" t="s">
        <v>393</v>
      </c>
      <c r="F14" s="399"/>
      <c r="G14" s="400"/>
    </row>
    <row r="15" spans="1:7" x14ac:dyDescent="0.3">
      <c r="A15" s="3">
        <v>14</v>
      </c>
      <c r="B15" s="4" t="s">
        <v>409</v>
      </c>
      <c r="C15" s="4">
        <v>10354</v>
      </c>
      <c r="D15" s="4" t="s">
        <v>410</v>
      </c>
      <c r="E15" s="399" t="s">
        <v>383</v>
      </c>
      <c r="F15" s="399"/>
      <c r="G15" s="400"/>
    </row>
    <row r="16" spans="1:7" x14ac:dyDescent="0.3">
      <c r="A16" s="3">
        <v>15</v>
      </c>
      <c r="B16" s="4" t="s">
        <v>411</v>
      </c>
      <c r="C16" s="4">
        <v>10355</v>
      </c>
      <c r="D16" s="4" t="s">
        <v>412</v>
      </c>
      <c r="E16" s="399" t="s">
        <v>380</v>
      </c>
      <c r="F16" s="399"/>
      <c r="G16" s="400"/>
    </row>
    <row r="17" spans="1:7" x14ac:dyDescent="0.3">
      <c r="A17" s="3">
        <v>16</v>
      </c>
      <c r="B17" s="4" t="s">
        <v>413</v>
      </c>
      <c r="C17" s="4">
        <v>10356</v>
      </c>
      <c r="D17" s="4" t="s">
        <v>414</v>
      </c>
      <c r="E17" s="399" t="s">
        <v>380</v>
      </c>
      <c r="F17" s="399"/>
      <c r="G17" s="400"/>
    </row>
    <row r="18" spans="1:7" x14ac:dyDescent="0.3">
      <c r="A18" s="3">
        <v>17</v>
      </c>
      <c r="B18" s="4" t="s">
        <v>415</v>
      </c>
      <c r="C18" s="4">
        <v>10357</v>
      </c>
      <c r="D18" s="4" t="s">
        <v>416</v>
      </c>
      <c r="E18" s="399" t="s">
        <v>396</v>
      </c>
      <c r="F18" s="399"/>
      <c r="G18" s="400"/>
    </row>
    <row r="19" spans="1:7" x14ac:dyDescent="0.3">
      <c r="A19" s="3">
        <v>18</v>
      </c>
      <c r="B19" s="4" t="s">
        <v>417</v>
      </c>
      <c r="C19" s="4">
        <v>10358</v>
      </c>
      <c r="D19" s="4" t="s">
        <v>418</v>
      </c>
      <c r="E19" s="399"/>
      <c r="F19" s="399"/>
      <c r="G19" s="400"/>
    </row>
    <row r="20" spans="1:7" x14ac:dyDescent="0.3">
      <c r="A20" s="3">
        <v>19</v>
      </c>
      <c r="B20" s="4" t="s">
        <v>419</v>
      </c>
      <c r="C20" s="4">
        <v>10359</v>
      </c>
      <c r="D20" s="4" t="s">
        <v>420</v>
      </c>
      <c r="E20" s="399" t="s">
        <v>383</v>
      </c>
      <c r="F20" s="399"/>
      <c r="G20" s="400"/>
    </row>
    <row r="21" spans="1:7" x14ac:dyDescent="0.3">
      <c r="A21" s="3">
        <v>20</v>
      </c>
      <c r="B21" s="4" t="s">
        <v>421</v>
      </c>
      <c r="C21" s="4">
        <v>10360</v>
      </c>
      <c r="D21" s="4" t="s">
        <v>422</v>
      </c>
      <c r="E21" s="399"/>
      <c r="F21" s="399"/>
      <c r="G21" s="400"/>
    </row>
    <row r="22" spans="1:7" x14ac:dyDescent="0.3">
      <c r="A22" s="3">
        <v>21</v>
      </c>
      <c r="B22" s="4" t="s">
        <v>423</v>
      </c>
      <c r="C22" s="4">
        <v>10361</v>
      </c>
      <c r="D22" s="4" t="s">
        <v>424</v>
      </c>
      <c r="E22" s="399" t="s">
        <v>393</v>
      </c>
      <c r="F22" s="399"/>
      <c r="G22" s="400"/>
    </row>
    <row r="23" spans="1:7" x14ac:dyDescent="0.3">
      <c r="A23" s="3">
        <v>22</v>
      </c>
      <c r="B23" s="4" t="s">
        <v>425</v>
      </c>
      <c r="C23" s="4">
        <v>10362</v>
      </c>
      <c r="D23" s="4" t="s">
        <v>426</v>
      </c>
      <c r="E23" s="399" t="s">
        <v>396</v>
      </c>
      <c r="F23" s="399"/>
      <c r="G23" s="400"/>
    </row>
    <row r="24" spans="1:7" x14ac:dyDescent="0.3">
      <c r="A24" s="3">
        <v>23</v>
      </c>
      <c r="B24" s="4" t="s">
        <v>427</v>
      </c>
      <c r="C24" s="4">
        <v>10363</v>
      </c>
      <c r="D24" s="4" t="s">
        <v>428</v>
      </c>
      <c r="E24" s="399" t="s">
        <v>380</v>
      </c>
      <c r="F24" s="399"/>
      <c r="G24" s="400"/>
    </row>
    <row r="25" spans="1:7" x14ac:dyDescent="0.3">
      <c r="A25" s="3">
        <v>24</v>
      </c>
      <c r="B25" s="4" t="s">
        <v>429</v>
      </c>
      <c r="C25" s="4">
        <v>10364</v>
      </c>
      <c r="D25" s="4" t="s">
        <v>430</v>
      </c>
      <c r="E25" s="399" t="s">
        <v>380</v>
      </c>
      <c r="F25" s="399"/>
      <c r="G25" s="400"/>
    </row>
    <row r="26" spans="1:7" x14ac:dyDescent="0.3">
      <c r="A26" s="3">
        <v>25</v>
      </c>
      <c r="B26" s="4" t="s">
        <v>431</v>
      </c>
      <c r="C26" s="4">
        <v>10365</v>
      </c>
      <c r="D26" s="4" t="s">
        <v>432</v>
      </c>
      <c r="E26" s="399"/>
      <c r="F26" s="399"/>
      <c r="G26" s="400"/>
    </row>
    <row r="27" spans="1:7" x14ac:dyDescent="0.3">
      <c r="A27" s="3">
        <v>26</v>
      </c>
      <c r="B27" s="4" t="s">
        <v>448</v>
      </c>
      <c r="C27" s="4">
        <v>10366</v>
      </c>
      <c r="D27" s="4" t="s">
        <v>449</v>
      </c>
      <c r="E27" s="399" t="s">
        <v>396</v>
      </c>
      <c r="F27" s="399"/>
      <c r="G27" s="400"/>
    </row>
    <row r="28" spans="1:7" x14ac:dyDescent="0.3">
      <c r="A28" s="3">
        <v>27</v>
      </c>
      <c r="B28" s="4" t="s">
        <v>433</v>
      </c>
      <c r="C28" s="4">
        <v>10367</v>
      </c>
      <c r="D28" s="4" t="s">
        <v>434</v>
      </c>
      <c r="E28" s="399" t="s">
        <v>393</v>
      </c>
      <c r="F28" s="399"/>
      <c r="G28" s="400"/>
    </row>
    <row r="29" spans="1:7" x14ac:dyDescent="0.3">
      <c r="A29" s="3">
        <v>28</v>
      </c>
      <c r="B29" s="4" t="s">
        <v>435</v>
      </c>
      <c r="C29" s="4">
        <v>10368</v>
      </c>
      <c r="D29" s="4" t="s">
        <v>436</v>
      </c>
      <c r="E29" s="399"/>
      <c r="F29" s="399"/>
      <c r="G29" s="400"/>
    </row>
    <row r="30" spans="1:7" x14ac:dyDescent="0.3">
      <c r="A30" s="3">
        <v>29</v>
      </c>
      <c r="B30" s="4" t="s">
        <v>437</v>
      </c>
      <c r="C30" s="4">
        <v>10369</v>
      </c>
      <c r="D30" s="4" t="s">
        <v>438</v>
      </c>
      <c r="E30" s="399" t="s">
        <v>393</v>
      </c>
      <c r="F30" s="399"/>
      <c r="G30" s="400"/>
    </row>
    <row r="31" spans="1:7" x14ac:dyDescent="0.3">
      <c r="A31" s="3">
        <v>30</v>
      </c>
      <c r="B31" s="4" t="s">
        <v>439</v>
      </c>
      <c r="C31" s="4">
        <v>10370</v>
      </c>
      <c r="D31" s="4" t="s">
        <v>440</v>
      </c>
      <c r="E31" s="399" t="s">
        <v>396</v>
      </c>
      <c r="F31" s="399"/>
      <c r="G31" s="400"/>
    </row>
    <row r="32" spans="1:7" x14ac:dyDescent="0.3">
      <c r="A32" s="3">
        <v>31</v>
      </c>
      <c r="B32" s="4" t="s">
        <v>441</v>
      </c>
      <c r="C32" s="4">
        <v>10371</v>
      </c>
      <c r="D32" s="4" t="s">
        <v>442</v>
      </c>
      <c r="E32" s="399" t="s">
        <v>396</v>
      </c>
      <c r="F32" s="399"/>
      <c r="G32" s="400"/>
    </row>
    <row r="33" spans="1:7" x14ac:dyDescent="0.3">
      <c r="A33" s="3">
        <v>32</v>
      </c>
      <c r="B33" s="4" t="s">
        <v>443</v>
      </c>
      <c r="C33" s="4">
        <v>10372</v>
      </c>
      <c r="D33" s="4" t="s">
        <v>444</v>
      </c>
      <c r="E33" s="399"/>
      <c r="F33" s="399"/>
      <c r="G33" s="400"/>
    </row>
    <row r="34" spans="1:7" x14ac:dyDescent="0.3">
      <c r="A34" s="3">
        <v>33</v>
      </c>
      <c r="B34" s="4" t="s">
        <v>445</v>
      </c>
      <c r="C34" s="4">
        <v>10373</v>
      </c>
      <c r="D34" s="4" t="s">
        <v>446</v>
      </c>
      <c r="E34" s="399"/>
      <c r="F34" s="399"/>
      <c r="G34" s="400"/>
    </row>
    <row r="35" spans="1:7" x14ac:dyDescent="0.3">
      <c r="A35" s="3">
        <v>34</v>
      </c>
      <c r="B35" s="4" t="s">
        <v>397</v>
      </c>
      <c r="C35" s="4">
        <v>10374</v>
      </c>
      <c r="D35" s="4" t="s">
        <v>447</v>
      </c>
      <c r="E35" s="399" t="s">
        <v>380</v>
      </c>
      <c r="F35" s="399"/>
      <c r="G35" s="400"/>
    </row>
    <row r="36" spans="1:7" x14ac:dyDescent="0.3">
      <c r="A36" s="3">
        <v>35</v>
      </c>
      <c r="B36" s="4"/>
      <c r="C36" s="4">
        <v>10375</v>
      </c>
      <c r="D36" s="4"/>
      <c r="E36" s="399"/>
      <c r="F36" s="399"/>
      <c r="G36" s="400"/>
    </row>
    <row r="37" spans="1:7" x14ac:dyDescent="0.3">
      <c r="A37" s="3">
        <v>36</v>
      </c>
      <c r="B37" s="4" t="s">
        <v>450</v>
      </c>
      <c r="C37" s="4">
        <v>10376</v>
      </c>
      <c r="D37" s="4" t="s">
        <v>451</v>
      </c>
      <c r="E37" s="399" t="s">
        <v>396</v>
      </c>
      <c r="F37" s="399"/>
      <c r="G37" s="400"/>
    </row>
    <row r="38" spans="1:7" x14ac:dyDescent="0.3">
      <c r="A38" s="3">
        <v>37</v>
      </c>
      <c r="B38" s="4" t="s">
        <v>452</v>
      </c>
      <c r="C38" s="4">
        <v>10377</v>
      </c>
      <c r="D38" s="4" t="s">
        <v>453</v>
      </c>
      <c r="E38" s="399" t="s">
        <v>380</v>
      </c>
      <c r="F38" s="399"/>
      <c r="G38" s="400"/>
    </row>
    <row r="39" spans="1:7" x14ac:dyDescent="0.3">
      <c r="A39" s="3">
        <v>38</v>
      </c>
      <c r="B39" s="4" t="s">
        <v>454</v>
      </c>
      <c r="C39" s="4">
        <v>10378</v>
      </c>
      <c r="D39" s="4" t="s">
        <v>455</v>
      </c>
      <c r="E39" s="399" t="s">
        <v>380</v>
      </c>
      <c r="F39" s="399"/>
      <c r="G39" s="400"/>
    </row>
    <row r="40" spans="1:7" x14ac:dyDescent="0.3">
      <c r="A40" s="3">
        <v>39</v>
      </c>
      <c r="B40" s="4" t="s">
        <v>456</v>
      </c>
      <c r="C40" s="4">
        <v>10379</v>
      </c>
      <c r="D40" s="4" t="s">
        <v>457</v>
      </c>
      <c r="E40" s="399"/>
      <c r="F40" s="399"/>
      <c r="G40" s="400"/>
    </row>
    <row r="41" spans="1:7" x14ac:dyDescent="0.3">
      <c r="A41" s="3">
        <v>40</v>
      </c>
      <c r="B41" s="4" t="s">
        <v>458</v>
      </c>
      <c r="C41" s="4">
        <v>10380</v>
      </c>
      <c r="D41" s="4" t="s">
        <v>459</v>
      </c>
      <c r="E41" s="399" t="s">
        <v>396</v>
      </c>
      <c r="F41" s="399"/>
      <c r="G41" s="400"/>
    </row>
    <row r="42" spans="1:7" x14ac:dyDescent="0.3">
      <c r="A42" s="3">
        <v>41</v>
      </c>
      <c r="B42" s="4" t="s">
        <v>460</v>
      </c>
      <c r="C42" s="4">
        <v>10381</v>
      </c>
      <c r="D42" s="4" t="s">
        <v>461</v>
      </c>
      <c r="E42" s="399"/>
      <c r="F42" s="399"/>
      <c r="G42" s="400"/>
    </row>
    <row r="43" spans="1:7" x14ac:dyDescent="0.3">
      <c r="A43" s="3">
        <v>42</v>
      </c>
      <c r="B43" s="4" t="s">
        <v>462</v>
      </c>
      <c r="C43" s="4">
        <v>10382</v>
      </c>
      <c r="D43" s="4" t="s">
        <v>463</v>
      </c>
      <c r="E43" s="399" t="s">
        <v>393</v>
      </c>
      <c r="F43" s="399"/>
      <c r="G43" s="400"/>
    </row>
    <row r="44" spans="1:7" x14ac:dyDescent="0.3">
      <c r="A44" s="3">
        <v>43</v>
      </c>
      <c r="B44" s="4" t="s">
        <v>464</v>
      </c>
      <c r="C44" s="4">
        <v>10383</v>
      </c>
      <c r="D44" s="4" t="s">
        <v>465</v>
      </c>
      <c r="E44" s="399" t="s">
        <v>396</v>
      </c>
      <c r="F44" s="399"/>
      <c r="G44" s="400"/>
    </row>
    <row r="45" spans="1:7" x14ac:dyDescent="0.3">
      <c r="A45" s="3">
        <v>44</v>
      </c>
      <c r="B45" s="4" t="s">
        <v>466</v>
      </c>
      <c r="C45" s="4">
        <v>10384</v>
      </c>
      <c r="D45" s="4" t="s">
        <v>467</v>
      </c>
      <c r="E45" s="399" t="s">
        <v>380</v>
      </c>
      <c r="F45" s="399"/>
      <c r="G45" s="400"/>
    </row>
    <row r="46" spans="1:7" x14ac:dyDescent="0.3">
      <c r="A46" s="3">
        <v>45</v>
      </c>
      <c r="B46" s="4" t="s">
        <v>468</v>
      </c>
      <c r="C46" s="4">
        <v>10385</v>
      </c>
      <c r="D46" s="4" t="s">
        <v>469</v>
      </c>
      <c r="E46" s="399" t="s">
        <v>380</v>
      </c>
      <c r="F46" s="399"/>
      <c r="G46" s="400"/>
    </row>
    <row r="47" spans="1:7" x14ac:dyDescent="0.3">
      <c r="A47" s="3">
        <v>46</v>
      </c>
      <c r="B47" s="4" t="s">
        <v>470</v>
      </c>
      <c r="C47" s="4">
        <v>10386</v>
      </c>
      <c r="D47" s="4" t="s">
        <v>471</v>
      </c>
      <c r="E47" s="399" t="s">
        <v>383</v>
      </c>
      <c r="F47" s="399"/>
      <c r="G47" s="400"/>
    </row>
    <row r="48" spans="1:7" x14ac:dyDescent="0.3">
      <c r="A48" s="3">
        <v>47</v>
      </c>
      <c r="B48" s="4" t="s">
        <v>472</v>
      </c>
      <c r="C48" s="4">
        <v>10387</v>
      </c>
      <c r="D48" s="4" t="s">
        <v>473</v>
      </c>
      <c r="E48" s="399" t="s">
        <v>380</v>
      </c>
      <c r="F48" s="399"/>
      <c r="G48" s="400"/>
    </row>
    <row r="49" spans="1:7" x14ac:dyDescent="0.3">
      <c r="A49" s="3">
        <v>48</v>
      </c>
      <c r="B49" s="4" t="s">
        <v>474</v>
      </c>
      <c r="C49" s="4">
        <v>10388</v>
      </c>
      <c r="D49" s="4" t="s">
        <v>475</v>
      </c>
      <c r="E49" s="399"/>
      <c r="F49" s="399"/>
      <c r="G49" s="400"/>
    </row>
    <row r="50" spans="1:7" x14ac:dyDescent="0.3">
      <c r="A50" s="3">
        <v>49</v>
      </c>
      <c r="B50" s="4" t="s">
        <v>476</v>
      </c>
      <c r="C50" s="4">
        <v>10389</v>
      </c>
      <c r="D50" s="4" t="s">
        <v>477</v>
      </c>
      <c r="E50" s="399" t="s">
        <v>478</v>
      </c>
      <c r="F50" s="399"/>
      <c r="G50" s="400"/>
    </row>
    <row r="51" spans="1:7" x14ac:dyDescent="0.3">
      <c r="A51" s="3">
        <v>50</v>
      </c>
      <c r="B51" s="4" t="s">
        <v>479</v>
      </c>
      <c r="C51" s="4">
        <v>10390</v>
      </c>
      <c r="D51" s="4" t="s">
        <v>480</v>
      </c>
      <c r="E51" s="399" t="s">
        <v>380</v>
      </c>
      <c r="F51" s="399"/>
      <c r="G51" s="400"/>
    </row>
    <row r="52" spans="1:7" x14ac:dyDescent="0.3">
      <c r="A52" s="3">
        <v>51</v>
      </c>
      <c r="B52" s="4" t="s">
        <v>481</v>
      </c>
      <c r="C52" s="4">
        <v>10391</v>
      </c>
      <c r="D52" s="4" t="s">
        <v>482</v>
      </c>
      <c r="E52" s="392" t="s">
        <v>380</v>
      </c>
      <c r="F52" s="393"/>
      <c r="G52" s="394"/>
    </row>
    <row r="53" spans="1:7" x14ac:dyDescent="0.3">
      <c r="A53" s="3">
        <v>52</v>
      </c>
      <c r="B53" s="4" t="s">
        <v>483</v>
      </c>
      <c r="C53" s="4">
        <v>10392</v>
      </c>
      <c r="D53" s="4" t="s">
        <v>484</v>
      </c>
      <c r="E53" s="392" t="s">
        <v>380</v>
      </c>
      <c r="F53" s="393"/>
      <c r="G53" s="394"/>
    </row>
    <row r="54" spans="1:7" x14ac:dyDescent="0.3">
      <c r="A54" s="3">
        <v>53</v>
      </c>
      <c r="B54" s="4" t="s">
        <v>485</v>
      </c>
      <c r="C54" s="4">
        <v>10393</v>
      </c>
      <c r="D54" s="4" t="s">
        <v>486</v>
      </c>
      <c r="E54" s="392"/>
      <c r="F54" s="393"/>
      <c r="G54" s="394"/>
    </row>
  </sheetData>
  <mergeCells count="54">
    <mergeCell ref="E54:G54"/>
    <mergeCell ref="E7:G7"/>
    <mergeCell ref="E6:G6"/>
    <mergeCell ref="E27:G27"/>
    <mergeCell ref="E52:G52"/>
    <mergeCell ref="E53:G53"/>
    <mergeCell ref="E19:G19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:G1"/>
    <mergeCell ref="E2:G2"/>
    <mergeCell ref="E3:G3"/>
    <mergeCell ref="E4:G4"/>
    <mergeCell ref="E5:G5"/>
    <mergeCell ref="E17:G17"/>
    <mergeCell ref="E18:G18"/>
    <mergeCell ref="E32:G32"/>
    <mergeCell ref="E20:G20"/>
    <mergeCell ref="E21:G21"/>
    <mergeCell ref="E22:G22"/>
    <mergeCell ref="E23:G23"/>
    <mergeCell ref="E24:G24"/>
    <mergeCell ref="E25:G25"/>
    <mergeCell ref="E26:G26"/>
    <mergeCell ref="E28:G28"/>
    <mergeCell ref="E29:G29"/>
    <mergeCell ref="E30:G30"/>
    <mergeCell ref="E31:G31"/>
    <mergeCell ref="E44:G44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51:G51"/>
    <mergeCell ref="E45:G45"/>
    <mergeCell ref="E46:G46"/>
    <mergeCell ref="E47:G47"/>
    <mergeCell ref="E48:G48"/>
    <mergeCell ref="E49:G49"/>
    <mergeCell ref="E50:G5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8"/>
  <sheetViews>
    <sheetView topLeftCell="B1" workbookViewId="0">
      <selection activeCell="E14" sqref="E14:G14"/>
    </sheetView>
  </sheetViews>
  <sheetFormatPr defaultRowHeight="16.5" x14ac:dyDescent="0.3"/>
  <cols>
    <col min="2" max="2" width="12.125" bestFit="1" customWidth="1"/>
    <col min="4" max="4" width="11" bestFit="1" customWidth="1"/>
  </cols>
  <sheetData>
    <row r="1" spans="1:7" ht="17.25" thickBot="1" x14ac:dyDescent="0.35">
      <c r="A1" s="42"/>
      <c r="B1" s="44" t="s">
        <v>377</v>
      </c>
      <c r="C1" s="44" t="s">
        <v>103</v>
      </c>
      <c r="D1" s="44" t="s">
        <v>588</v>
      </c>
      <c r="E1" s="420" t="s">
        <v>3</v>
      </c>
      <c r="F1" s="420"/>
      <c r="G1" s="421"/>
    </row>
    <row r="2" spans="1:7" x14ac:dyDescent="0.3">
      <c r="A2" s="3">
        <v>1</v>
      </c>
      <c r="B2" s="37" t="s">
        <v>198</v>
      </c>
      <c r="C2" s="37">
        <v>10394</v>
      </c>
      <c r="D2" s="37" t="s">
        <v>587</v>
      </c>
      <c r="E2" s="410" t="s">
        <v>94</v>
      </c>
      <c r="F2" s="410"/>
      <c r="G2" s="411"/>
    </row>
    <row r="3" spans="1:7" x14ac:dyDescent="0.3">
      <c r="A3" s="3">
        <v>2</v>
      </c>
      <c r="B3" s="26" t="s">
        <v>586</v>
      </c>
      <c r="C3" s="37">
        <v>10395</v>
      </c>
      <c r="D3" s="26" t="s">
        <v>585</v>
      </c>
      <c r="E3" s="399" t="s">
        <v>94</v>
      </c>
      <c r="F3" s="399"/>
      <c r="G3" s="400"/>
    </row>
    <row r="4" spans="1:7" x14ac:dyDescent="0.3">
      <c r="A4" s="3">
        <v>3</v>
      </c>
      <c r="B4" s="26" t="s">
        <v>584</v>
      </c>
      <c r="C4" s="37">
        <v>10396</v>
      </c>
      <c r="D4" s="26" t="s">
        <v>583</v>
      </c>
      <c r="E4" s="399" t="s">
        <v>94</v>
      </c>
      <c r="F4" s="399"/>
      <c r="G4" s="400"/>
    </row>
    <row r="5" spans="1:7" x14ac:dyDescent="0.3">
      <c r="A5" s="3">
        <v>4</v>
      </c>
      <c r="B5" s="26" t="s">
        <v>505</v>
      </c>
      <c r="C5" s="37">
        <v>10397</v>
      </c>
      <c r="D5" s="26" t="s">
        <v>582</v>
      </c>
      <c r="E5" s="399" t="s">
        <v>581</v>
      </c>
      <c r="F5" s="399"/>
      <c r="G5" s="400"/>
    </row>
    <row r="6" spans="1:7" x14ac:dyDescent="0.3">
      <c r="A6" s="3">
        <v>5</v>
      </c>
      <c r="B6" s="26" t="s">
        <v>580</v>
      </c>
      <c r="C6" s="37">
        <v>10398</v>
      </c>
      <c r="D6" s="26" t="s">
        <v>579</v>
      </c>
      <c r="E6" s="399" t="s">
        <v>192</v>
      </c>
      <c r="F6" s="399"/>
      <c r="G6" s="400"/>
    </row>
    <row r="7" spans="1:7" x14ac:dyDescent="0.3">
      <c r="A7" s="3">
        <v>6</v>
      </c>
      <c r="B7" s="26" t="s">
        <v>179</v>
      </c>
      <c r="C7" s="37">
        <v>10399</v>
      </c>
      <c r="D7" s="26" t="s">
        <v>578</v>
      </c>
      <c r="E7" s="399" t="s">
        <v>94</v>
      </c>
      <c r="F7" s="399"/>
      <c r="G7" s="400"/>
    </row>
    <row r="8" spans="1:7" x14ac:dyDescent="0.3">
      <c r="A8" s="3">
        <v>7</v>
      </c>
      <c r="B8" s="26" t="s">
        <v>109</v>
      </c>
      <c r="C8" s="37">
        <v>10400</v>
      </c>
      <c r="D8" s="26" t="s">
        <v>578</v>
      </c>
      <c r="E8" s="399" t="s">
        <v>577</v>
      </c>
      <c r="F8" s="399"/>
      <c r="G8" s="400"/>
    </row>
    <row r="9" spans="1:7" x14ac:dyDescent="0.3">
      <c r="A9" s="3">
        <v>8</v>
      </c>
      <c r="B9" s="26" t="s">
        <v>571</v>
      </c>
      <c r="C9" s="26">
        <v>10401</v>
      </c>
      <c r="D9" s="26" t="s">
        <v>576</v>
      </c>
      <c r="E9" s="399" t="s">
        <v>192</v>
      </c>
      <c r="F9" s="399"/>
      <c r="G9" s="400"/>
    </row>
    <row r="10" spans="1:7" x14ac:dyDescent="0.3">
      <c r="A10" s="3">
        <v>9</v>
      </c>
      <c r="B10" s="26" t="s">
        <v>575</v>
      </c>
      <c r="C10" s="26">
        <v>10402</v>
      </c>
      <c r="D10" s="26" t="s">
        <v>574</v>
      </c>
      <c r="E10" s="399"/>
      <c r="F10" s="399"/>
      <c r="G10" s="400"/>
    </row>
    <row r="11" spans="1:7" x14ac:dyDescent="0.3">
      <c r="A11" s="3">
        <v>10</v>
      </c>
      <c r="B11" s="26" t="s">
        <v>573</v>
      </c>
      <c r="C11" s="26">
        <v>10403</v>
      </c>
      <c r="D11" s="26" t="s">
        <v>572</v>
      </c>
      <c r="E11" s="399" t="s">
        <v>323</v>
      </c>
      <c r="F11" s="399"/>
      <c r="G11" s="400"/>
    </row>
    <row r="12" spans="1:7" x14ac:dyDescent="0.3">
      <c r="A12" s="3">
        <v>11</v>
      </c>
      <c r="B12" s="26" t="s">
        <v>571</v>
      </c>
      <c r="C12" s="26">
        <v>10404</v>
      </c>
      <c r="D12" s="26" t="s">
        <v>570</v>
      </c>
      <c r="E12" s="399" t="s">
        <v>323</v>
      </c>
      <c r="F12" s="399"/>
      <c r="G12" s="400"/>
    </row>
    <row r="13" spans="1:7" x14ac:dyDescent="0.3">
      <c r="A13" s="3">
        <v>12</v>
      </c>
      <c r="B13" s="26" t="s">
        <v>569</v>
      </c>
      <c r="C13" s="26">
        <v>10405</v>
      </c>
      <c r="D13" s="26" t="s">
        <v>568</v>
      </c>
      <c r="E13" s="399" t="s">
        <v>506</v>
      </c>
      <c r="F13" s="399"/>
      <c r="G13" s="400"/>
    </row>
    <row r="14" spans="1:7" x14ac:dyDescent="0.3">
      <c r="A14" s="3">
        <v>13</v>
      </c>
      <c r="B14" s="26" t="s">
        <v>567</v>
      </c>
      <c r="C14" s="26">
        <v>10406</v>
      </c>
      <c r="D14" s="26" t="s">
        <v>566</v>
      </c>
      <c r="E14" s="399" t="s">
        <v>520</v>
      </c>
      <c r="F14" s="399"/>
      <c r="G14" s="400"/>
    </row>
    <row r="15" spans="1:7" x14ac:dyDescent="0.3">
      <c r="A15" s="3">
        <v>14</v>
      </c>
      <c r="B15" s="26" t="s">
        <v>565</v>
      </c>
      <c r="C15" s="26">
        <v>10407</v>
      </c>
      <c r="D15" s="26" t="s">
        <v>564</v>
      </c>
      <c r="E15" s="399" t="s">
        <v>94</v>
      </c>
      <c r="F15" s="399"/>
      <c r="G15" s="400"/>
    </row>
    <row r="16" spans="1:7" x14ac:dyDescent="0.3">
      <c r="A16" s="3">
        <v>15</v>
      </c>
      <c r="B16" s="26" t="s">
        <v>120</v>
      </c>
      <c r="C16" s="26">
        <v>10408</v>
      </c>
      <c r="D16" s="26" t="s">
        <v>563</v>
      </c>
      <c r="E16" s="399" t="s">
        <v>323</v>
      </c>
      <c r="F16" s="399"/>
      <c r="G16" s="400"/>
    </row>
    <row r="17" spans="1:7" x14ac:dyDescent="0.3">
      <c r="A17" s="3">
        <v>16</v>
      </c>
      <c r="B17" s="26" t="s">
        <v>562</v>
      </c>
      <c r="C17" s="26">
        <v>10409</v>
      </c>
      <c r="D17" s="26" t="s">
        <v>561</v>
      </c>
      <c r="E17" s="399" t="s">
        <v>192</v>
      </c>
      <c r="F17" s="399"/>
      <c r="G17" s="400"/>
    </row>
    <row r="18" spans="1:7" x14ac:dyDescent="0.3">
      <c r="A18" s="3">
        <v>17</v>
      </c>
      <c r="B18" s="26" t="s">
        <v>560</v>
      </c>
      <c r="C18" s="26">
        <v>10410</v>
      </c>
      <c r="D18" s="26" t="s">
        <v>559</v>
      </c>
      <c r="E18" s="399" t="s">
        <v>520</v>
      </c>
      <c r="F18" s="399"/>
      <c r="G18" s="400"/>
    </row>
    <row r="19" spans="1:7" x14ac:dyDescent="0.3">
      <c r="A19" s="3">
        <v>18</v>
      </c>
      <c r="B19" s="26" t="s">
        <v>558</v>
      </c>
      <c r="C19" s="26">
        <v>10411</v>
      </c>
      <c r="D19" s="26" t="s">
        <v>557</v>
      </c>
      <c r="E19" s="399" t="s">
        <v>94</v>
      </c>
      <c r="F19" s="399"/>
      <c r="G19" s="400"/>
    </row>
    <row r="20" spans="1:7" x14ac:dyDescent="0.3">
      <c r="A20" s="3">
        <v>19</v>
      </c>
      <c r="B20" s="26" t="s">
        <v>370</v>
      </c>
      <c r="C20" s="26">
        <v>10412</v>
      </c>
      <c r="D20" s="26" t="s">
        <v>556</v>
      </c>
      <c r="E20" s="399" t="s">
        <v>506</v>
      </c>
      <c r="F20" s="399"/>
      <c r="G20" s="400"/>
    </row>
    <row r="21" spans="1:7" x14ac:dyDescent="0.3">
      <c r="A21" s="3">
        <v>20</v>
      </c>
      <c r="B21" s="26" t="s">
        <v>555</v>
      </c>
      <c r="C21" s="26">
        <v>10413</v>
      </c>
      <c r="D21" s="26" t="s">
        <v>554</v>
      </c>
      <c r="E21" s="399" t="s">
        <v>94</v>
      </c>
      <c r="F21" s="399"/>
      <c r="G21" s="400"/>
    </row>
    <row r="22" spans="1:7" x14ac:dyDescent="0.3">
      <c r="A22" s="3">
        <v>21</v>
      </c>
      <c r="B22" s="26" t="s">
        <v>553</v>
      </c>
      <c r="C22" s="26">
        <v>10414</v>
      </c>
      <c r="D22" s="26" t="s">
        <v>552</v>
      </c>
      <c r="E22" s="399" t="s">
        <v>192</v>
      </c>
      <c r="F22" s="399"/>
      <c r="G22" s="400"/>
    </row>
    <row r="23" spans="1:7" x14ac:dyDescent="0.3">
      <c r="A23" s="3">
        <v>22</v>
      </c>
      <c r="B23" s="26" t="s">
        <v>551</v>
      </c>
      <c r="C23" s="26">
        <v>10415</v>
      </c>
      <c r="D23" s="26" t="s">
        <v>550</v>
      </c>
      <c r="E23" s="399" t="s">
        <v>520</v>
      </c>
      <c r="F23" s="399"/>
      <c r="G23" s="400"/>
    </row>
    <row r="24" spans="1:7" x14ac:dyDescent="0.3">
      <c r="A24" s="3">
        <v>23</v>
      </c>
      <c r="B24" s="26" t="s">
        <v>389</v>
      </c>
      <c r="C24" s="26">
        <v>10416</v>
      </c>
      <c r="D24" s="26" t="s">
        <v>549</v>
      </c>
      <c r="E24" s="399" t="s">
        <v>520</v>
      </c>
      <c r="F24" s="399"/>
      <c r="G24" s="400"/>
    </row>
    <row r="25" spans="1:7" x14ac:dyDescent="0.3">
      <c r="A25" s="3">
        <v>24</v>
      </c>
      <c r="B25" s="26" t="s">
        <v>548</v>
      </c>
      <c r="C25" s="26">
        <v>10417</v>
      </c>
      <c r="D25" s="26" t="s">
        <v>547</v>
      </c>
      <c r="E25" s="399" t="s">
        <v>94</v>
      </c>
      <c r="F25" s="399"/>
      <c r="G25" s="400"/>
    </row>
    <row r="26" spans="1:7" x14ac:dyDescent="0.3">
      <c r="A26" s="3">
        <v>25</v>
      </c>
      <c r="B26" s="26" t="s">
        <v>546</v>
      </c>
      <c r="C26" s="26">
        <v>10418</v>
      </c>
      <c r="D26" s="26" t="s">
        <v>545</v>
      </c>
      <c r="E26" s="399" t="s">
        <v>94</v>
      </c>
      <c r="F26" s="399"/>
      <c r="G26" s="400"/>
    </row>
    <row r="27" spans="1:7" x14ac:dyDescent="0.3">
      <c r="A27" s="3">
        <v>26</v>
      </c>
      <c r="B27" s="26" t="s">
        <v>544</v>
      </c>
      <c r="C27" s="26">
        <v>10419</v>
      </c>
      <c r="D27" s="26" t="s">
        <v>543</v>
      </c>
      <c r="E27" s="399" t="s">
        <v>323</v>
      </c>
      <c r="F27" s="399"/>
      <c r="G27" s="400"/>
    </row>
    <row r="28" spans="1:7" x14ac:dyDescent="0.3">
      <c r="A28" s="3">
        <v>27</v>
      </c>
      <c r="B28" s="26" t="s">
        <v>505</v>
      </c>
      <c r="C28" s="26">
        <v>10420</v>
      </c>
      <c r="D28" s="26" t="s">
        <v>542</v>
      </c>
      <c r="E28" s="399" t="s">
        <v>487</v>
      </c>
      <c r="F28" s="399"/>
      <c r="G28" s="400"/>
    </row>
    <row r="29" spans="1:7" x14ac:dyDescent="0.3">
      <c r="A29" s="3">
        <v>28</v>
      </c>
      <c r="B29" s="26" t="s">
        <v>179</v>
      </c>
      <c r="C29" s="26">
        <v>10421</v>
      </c>
      <c r="D29" s="26" t="s">
        <v>541</v>
      </c>
      <c r="E29" s="399" t="s">
        <v>94</v>
      </c>
      <c r="F29" s="399"/>
      <c r="G29" s="400"/>
    </row>
    <row r="30" spans="1:7" x14ac:dyDescent="0.3">
      <c r="A30" s="3">
        <v>29</v>
      </c>
      <c r="B30" s="26" t="s">
        <v>540</v>
      </c>
      <c r="C30" s="26">
        <v>10422</v>
      </c>
      <c r="D30" s="26" t="s">
        <v>539</v>
      </c>
      <c r="E30" s="399" t="s">
        <v>94</v>
      </c>
      <c r="F30" s="399"/>
      <c r="G30" s="400"/>
    </row>
    <row r="31" spans="1:7" x14ac:dyDescent="0.3">
      <c r="A31" s="3">
        <v>30</v>
      </c>
      <c r="B31" s="26" t="s">
        <v>538</v>
      </c>
      <c r="C31" s="26">
        <v>10423</v>
      </c>
      <c r="D31" s="26" t="s">
        <v>537</v>
      </c>
      <c r="E31" s="399" t="s">
        <v>94</v>
      </c>
      <c r="F31" s="399"/>
      <c r="G31" s="400"/>
    </row>
    <row r="32" spans="1:7" x14ac:dyDescent="0.3">
      <c r="A32" s="3">
        <v>31</v>
      </c>
      <c r="B32" s="26" t="s">
        <v>536</v>
      </c>
      <c r="C32" s="26">
        <v>10424</v>
      </c>
      <c r="D32" s="26" t="s">
        <v>535</v>
      </c>
      <c r="E32" s="399" t="s">
        <v>94</v>
      </c>
      <c r="F32" s="399"/>
      <c r="G32" s="400"/>
    </row>
    <row r="33" spans="1:7" x14ac:dyDescent="0.3">
      <c r="A33" s="3">
        <v>32</v>
      </c>
      <c r="B33" s="26" t="s">
        <v>534</v>
      </c>
      <c r="C33" s="26">
        <v>10425</v>
      </c>
      <c r="D33" s="26" t="s">
        <v>533</v>
      </c>
      <c r="E33" s="399" t="s">
        <v>192</v>
      </c>
      <c r="F33" s="399"/>
      <c r="G33" s="400"/>
    </row>
    <row r="34" spans="1:7" x14ac:dyDescent="0.3">
      <c r="A34" s="3">
        <v>33</v>
      </c>
      <c r="B34" s="26" t="s">
        <v>532</v>
      </c>
      <c r="C34" s="26">
        <v>10426</v>
      </c>
      <c r="D34" s="26" t="s">
        <v>531</v>
      </c>
      <c r="E34" s="399" t="s">
        <v>94</v>
      </c>
      <c r="F34" s="399"/>
      <c r="G34" s="400"/>
    </row>
    <row r="35" spans="1:7" x14ac:dyDescent="0.3">
      <c r="A35" s="3">
        <v>34</v>
      </c>
      <c r="B35" s="26" t="s">
        <v>530</v>
      </c>
      <c r="C35" s="26">
        <v>10427</v>
      </c>
      <c r="D35" s="26" t="s">
        <v>529</v>
      </c>
      <c r="E35" s="399" t="s">
        <v>94</v>
      </c>
      <c r="F35" s="399"/>
      <c r="G35" s="400"/>
    </row>
    <row r="36" spans="1:7" x14ac:dyDescent="0.3">
      <c r="A36" s="3">
        <v>35</v>
      </c>
      <c r="B36" s="26" t="s">
        <v>528</v>
      </c>
      <c r="C36" s="26">
        <v>10428</v>
      </c>
      <c r="D36" s="26" t="s">
        <v>527</v>
      </c>
      <c r="E36" s="399" t="s">
        <v>94</v>
      </c>
      <c r="F36" s="399"/>
      <c r="G36" s="400"/>
    </row>
    <row r="37" spans="1:7" x14ac:dyDescent="0.3">
      <c r="A37" s="3">
        <v>36</v>
      </c>
      <c r="B37" s="26" t="s">
        <v>97</v>
      </c>
      <c r="C37" s="26">
        <v>10429</v>
      </c>
      <c r="D37" s="26" t="s">
        <v>527</v>
      </c>
      <c r="E37" s="399" t="s">
        <v>94</v>
      </c>
      <c r="F37" s="399"/>
      <c r="G37" s="400"/>
    </row>
    <row r="38" spans="1:7" x14ac:dyDescent="0.3">
      <c r="A38" s="3">
        <v>37</v>
      </c>
      <c r="B38" s="26" t="s">
        <v>526</v>
      </c>
      <c r="C38" s="26">
        <v>10430</v>
      </c>
      <c r="D38" s="26" t="s">
        <v>525</v>
      </c>
      <c r="E38" s="399" t="s">
        <v>94</v>
      </c>
      <c r="F38" s="399"/>
      <c r="G38" s="400"/>
    </row>
    <row r="39" spans="1:7" x14ac:dyDescent="0.3">
      <c r="A39" s="3">
        <v>38</v>
      </c>
      <c r="B39" s="26" t="s">
        <v>524</v>
      </c>
      <c r="C39" s="26">
        <v>10431</v>
      </c>
      <c r="D39" s="26" t="s">
        <v>523</v>
      </c>
      <c r="E39" s="399" t="s">
        <v>487</v>
      </c>
      <c r="F39" s="399"/>
      <c r="G39" s="400"/>
    </row>
    <row r="40" spans="1:7" x14ac:dyDescent="0.3">
      <c r="A40" s="3">
        <v>39</v>
      </c>
      <c r="B40" s="26" t="s">
        <v>522</v>
      </c>
      <c r="C40" s="26">
        <v>10432</v>
      </c>
      <c r="D40" s="26" t="s">
        <v>521</v>
      </c>
      <c r="E40" s="399" t="s">
        <v>520</v>
      </c>
      <c r="F40" s="399"/>
      <c r="G40" s="400"/>
    </row>
    <row r="41" spans="1:7" x14ac:dyDescent="0.3">
      <c r="A41" s="3">
        <v>40</v>
      </c>
      <c r="B41" s="26" t="s">
        <v>513</v>
      </c>
      <c r="C41" s="26">
        <v>10433</v>
      </c>
      <c r="D41" s="26" t="s">
        <v>519</v>
      </c>
      <c r="E41" s="399" t="s">
        <v>192</v>
      </c>
      <c r="F41" s="399"/>
      <c r="G41" s="400"/>
    </row>
    <row r="42" spans="1:7" x14ac:dyDescent="0.3">
      <c r="A42" s="3">
        <v>41</v>
      </c>
      <c r="B42" s="26" t="s">
        <v>518</v>
      </c>
      <c r="C42" s="26">
        <v>10434</v>
      </c>
      <c r="D42" s="26" t="s">
        <v>517</v>
      </c>
      <c r="E42" s="399" t="s">
        <v>506</v>
      </c>
      <c r="F42" s="399"/>
      <c r="G42" s="400"/>
    </row>
    <row r="43" spans="1:7" x14ac:dyDescent="0.3">
      <c r="A43" s="3">
        <v>42</v>
      </c>
      <c r="B43" s="26" t="s">
        <v>516</v>
      </c>
      <c r="C43" s="26">
        <v>10435</v>
      </c>
      <c r="D43" s="26" t="s">
        <v>515</v>
      </c>
      <c r="E43" s="399" t="s">
        <v>94</v>
      </c>
      <c r="F43" s="399"/>
      <c r="G43" s="400"/>
    </row>
    <row r="44" spans="1:7" x14ac:dyDescent="0.3">
      <c r="A44" s="3">
        <v>43</v>
      </c>
      <c r="B44" s="26" t="s">
        <v>248</v>
      </c>
      <c r="C44" s="26">
        <v>10436</v>
      </c>
      <c r="D44" s="26" t="s">
        <v>514</v>
      </c>
      <c r="E44" s="399" t="s">
        <v>506</v>
      </c>
      <c r="F44" s="399"/>
      <c r="G44" s="400"/>
    </row>
    <row r="45" spans="1:7" x14ac:dyDescent="0.3">
      <c r="A45" s="3">
        <v>44</v>
      </c>
      <c r="B45" s="26" t="s">
        <v>513</v>
      </c>
      <c r="C45" s="26">
        <v>10437</v>
      </c>
      <c r="D45" s="26" t="s">
        <v>512</v>
      </c>
      <c r="E45" s="399"/>
      <c r="F45" s="399"/>
      <c r="G45" s="400"/>
    </row>
    <row r="46" spans="1:7" x14ac:dyDescent="0.3">
      <c r="A46" s="3">
        <v>45</v>
      </c>
      <c r="B46" s="26" t="s">
        <v>179</v>
      </c>
      <c r="C46" s="26">
        <v>10438</v>
      </c>
      <c r="D46" s="26" t="s">
        <v>511</v>
      </c>
      <c r="E46" s="399" t="s">
        <v>192</v>
      </c>
      <c r="F46" s="399"/>
      <c r="G46" s="400"/>
    </row>
    <row r="47" spans="1:7" x14ac:dyDescent="0.3">
      <c r="A47" s="3">
        <v>46</v>
      </c>
      <c r="B47" s="26" t="s">
        <v>417</v>
      </c>
      <c r="C47" s="26">
        <v>10439</v>
      </c>
      <c r="D47" s="26" t="s">
        <v>510</v>
      </c>
      <c r="E47" s="399" t="s">
        <v>487</v>
      </c>
      <c r="F47" s="399"/>
      <c r="G47" s="400"/>
    </row>
    <row r="48" spans="1:7" x14ac:dyDescent="0.3">
      <c r="A48" s="3">
        <v>47</v>
      </c>
      <c r="B48" s="26" t="s">
        <v>502</v>
      </c>
      <c r="C48" s="26">
        <v>10440</v>
      </c>
      <c r="D48" s="26" t="s">
        <v>509</v>
      </c>
      <c r="E48" s="399"/>
      <c r="F48" s="399"/>
      <c r="G48" s="400"/>
    </row>
    <row r="49" spans="1:7" x14ac:dyDescent="0.3">
      <c r="A49" s="3">
        <v>48</v>
      </c>
      <c r="B49" s="26" t="s">
        <v>508</v>
      </c>
      <c r="C49" s="26">
        <v>10441</v>
      </c>
      <c r="D49" s="26" t="s">
        <v>507</v>
      </c>
      <c r="E49" s="399" t="s">
        <v>506</v>
      </c>
      <c r="F49" s="399"/>
      <c r="G49" s="400"/>
    </row>
    <row r="50" spans="1:7" x14ac:dyDescent="0.3">
      <c r="A50" s="3">
        <v>49</v>
      </c>
      <c r="B50" s="26" t="s">
        <v>505</v>
      </c>
      <c r="C50" s="26">
        <v>10442</v>
      </c>
      <c r="D50" s="26" t="s">
        <v>504</v>
      </c>
      <c r="E50" s="399" t="s">
        <v>323</v>
      </c>
      <c r="F50" s="399"/>
      <c r="G50" s="400"/>
    </row>
    <row r="51" spans="1:7" x14ac:dyDescent="0.3">
      <c r="A51" s="3">
        <v>50</v>
      </c>
      <c r="B51" s="26" t="s">
        <v>285</v>
      </c>
      <c r="C51" s="26">
        <v>10443</v>
      </c>
      <c r="D51" s="26" t="s">
        <v>503</v>
      </c>
      <c r="E51" s="399" t="s">
        <v>323</v>
      </c>
      <c r="F51" s="399"/>
      <c r="G51" s="400"/>
    </row>
    <row r="52" spans="1:7" x14ac:dyDescent="0.3">
      <c r="A52" s="3">
        <v>51</v>
      </c>
      <c r="B52" s="26" t="s">
        <v>502</v>
      </c>
      <c r="C52" s="26">
        <v>10444</v>
      </c>
      <c r="D52" s="26" t="s">
        <v>501</v>
      </c>
      <c r="E52" s="392" t="s">
        <v>94</v>
      </c>
      <c r="F52" s="393"/>
      <c r="G52" s="394"/>
    </row>
    <row r="53" spans="1:7" x14ac:dyDescent="0.3">
      <c r="A53" s="3">
        <v>52</v>
      </c>
      <c r="B53" s="26" t="s">
        <v>500</v>
      </c>
      <c r="C53" s="26">
        <v>10445</v>
      </c>
      <c r="D53" s="26" t="s">
        <v>499</v>
      </c>
      <c r="E53" s="392" t="s">
        <v>94</v>
      </c>
      <c r="F53" s="393"/>
      <c r="G53" s="394"/>
    </row>
    <row r="54" spans="1:7" x14ac:dyDescent="0.3">
      <c r="A54" s="3">
        <v>53</v>
      </c>
      <c r="B54" s="26" t="s">
        <v>498</v>
      </c>
      <c r="C54" s="26">
        <v>10447</v>
      </c>
      <c r="D54" s="26" t="s">
        <v>497</v>
      </c>
      <c r="E54" s="401" t="s">
        <v>94</v>
      </c>
      <c r="F54" s="402"/>
      <c r="G54" s="403"/>
    </row>
    <row r="55" spans="1:7" x14ac:dyDescent="0.3">
      <c r="A55" s="3">
        <v>54</v>
      </c>
      <c r="B55" s="26" t="s">
        <v>496</v>
      </c>
      <c r="C55" s="26">
        <v>10448</v>
      </c>
      <c r="D55" s="43" t="s">
        <v>495</v>
      </c>
      <c r="E55" s="392" t="s">
        <v>94</v>
      </c>
      <c r="F55" s="393"/>
      <c r="G55" s="394"/>
    </row>
    <row r="56" spans="1:7" x14ac:dyDescent="0.3">
      <c r="A56" s="3">
        <v>55</v>
      </c>
      <c r="B56" s="26" t="s">
        <v>494</v>
      </c>
      <c r="C56" s="26">
        <v>10449</v>
      </c>
      <c r="D56" s="43" t="s">
        <v>493</v>
      </c>
      <c r="E56" s="392" t="s">
        <v>492</v>
      </c>
      <c r="F56" s="393"/>
      <c r="G56" s="394"/>
    </row>
    <row r="57" spans="1:7" x14ac:dyDescent="0.3">
      <c r="A57" s="3">
        <v>56</v>
      </c>
      <c r="B57" s="26" t="s">
        <v>491</v>
      </c>
      <c r="C57" s="26">
        <v>10450</v>
      </c>
      <c r="D57" s="43" t="s">
        <v>490</v>
      </c>
      <c r="E57" s="392" t="s">
        <v>94</v>
      </c>
      <c r="F57" s="393"/>
      <c r="G57" s="394"/>
    </row>
    <row r="58" spans="1:7" x14ac:dyDescent="0.3">
      <c r="A58" s="3">
        <v>57</v>
      </c>
      <c r="B58" s="26" t="s">
        <v>489</v>
      </c>
      <c r="C58" s="26">
        <v>10451</v>
      </c>
      <c r="D58" s="43" t="s">
        <v>488</v>
      </c>
      <c r="E58" s="399" t="s">
        <v>487</v>
      </c>
      <c r="F58" s="399"/>
      <c r="G58" s="400"/>
    </row>
  </sheetData>
  <mergeCells count="58">
    <mergeCell ref="E56:G56"/>
    <mergeCell ref="E57:G57"/>
    <mergeCell ref="E58:G58"/>
    <mergeCell ref="E6:G6"/>
    <mergeCell ref="E1:G1"/>
    <mergeCell ref="E2:G2"/>
    <mergeCell ref="E3:G3"/>
    <mergeCell ref="E4:G4"/>
    <mergeCell ref="E5:G5"/>
    <mergeCell ref="E12:G12"/>
    <mergeCell ref="E13:G13"/>
    <mergeCell ref="E14:G14"/>
    <mergeCell ref="E15:G15"/>
    <mergeCell ref="E55:G55"/>
    <mergeCell ref="E7:G7"/>
    <mergeCell ref="E8:G8"/>
    <mergeCell ref="E9:G9"/>
    <mergeCell ref="E10:G10"/>
    <mergeCell ref="E11:G11"/>
    <mergeCell ref="E16:G16"/>
    <mergeCell ref="E39:G39"/>
    <mergeCell ref="E40:G40"/>
    <mergeCell ref="E17:G17"/>
    <mergeCell ref="E30:G30"/>
    <mergeCell ref="E19:G19"/>
    <mergeCell ref="E20:G20"/>
    <mergeCell ref="E21:G21"/>
    <mergeCell ref="E22:G22"/>
    <mergeCell ref="E23:G23"/>
    <mergeCell ref="E24:G24"/>
    <mergeCell ref="E25:G25"/>
    <mergeCell ref="E18:G18"/>
    <mergeCell ref="E48:G48"/>
    <mergeCell ref="E49:G49"/>
    <mergeCell ref="E26:G26"/>
    <mergeCell ref="E27:G27"/>
    <mergeCell ref="E28:G28"/>
    <mergeCell ref="E29:G29"/>
    <mergeCell ref="E36:G36"/>
    <mergeCell ref="E37:G37"/>
    <mergeCell ref="E42:G42"/>
    <mergeCell ref="E31:G31"/>
    <mergeCell ref="E32:G32"/>
    <mergeCell ref="E33:G33"/>
    <mergeCell ref="E34:G34"/>
    <mergeCell ref="E35:G35"/>
    <mergeCell ref="E41:G41"/>
    <mergeCell ref="E38:G38"/>
    <mergeCell ref="E43:G43"/>
    <mergeCell ref="E44:G44"/>
    <mergeCell ref="E45:G45"/>
    <mergeCell ref="E46:G46"/>
    <mergeCell ref="E47:G47"/>
    <mergeCell ref="E50:G50"/>
    <mergeCell ref="E51:G51"/>
    <mergeCell ref="E52:G52"/>
    <mergeCell ref="E53:G53"/>
    <mergeCell ref="E54:G5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8"/>
  <sheetViews>
    <sheetView topLeftCell="A52" workbookViewId="0">
      <selection activeCell="M31" sqref="M31"/>
    </sheetView>
  </sheetViews>
  <sheetFormatPr defaultRowHeight="16.5" x14ac:dyDescent="0.3"/>
  <cols>
    <col min="2" max="2" width="15.25" bestFit="1" customWidth="1"/>
    <col min="4" max="4" width="11" bestFit="1" customWidth="1"/>
  </cols>
  <sheetData>
    <row r="1" spans="1:7" ht="17.25" thickBot="1" x14ac:dyDescent="0.35">
      <c r="A1" s="47"/>
      <c r="B1" s="45" t="s">
        <v>377</v>
      </c>
      <c r="C1" s="44" t="s">
        <v>1</v>
      </c>
      <c r="D1" s="44" t="s">
        <v>588</v>
      </c>
      <c r="E1" s="420" t="s">
        <v>3</v>
      </c>
      <c r="F1" s="420"/>
      <c r="G1" s="421"/>
    </row>
    <row r="2" spans="1:7" x14ac:dyDescent="0.3">
      <c r="A2" s="46">
        <v>1</v>
      </c>
      <c r="B2" s="39" t="s">
        <v>590</v>
      </c>
      <c r="C2" s="37">
        <v>10453</v>
      </c>
      <c r="D2" s="37" t="s">
        <v>589</v>
      </c>
      <c r="E2" s="410" t="s">
        <v>591</v>
      </c>
      <c r="F2" s="410"/>
      <c r="G2" s="411"/>
    </row>
    <row r="3" spans="1:7" x14ac:dyDescent="0.3">
      <c r="A3" s="20">
        <v>2</v>
      </c>
      <c r="B3" s="31" t="s">
        <v>593</v>
      </c>
      <c r="C3" s="37">
        <v>10454</v>
      </c>
      <c r="D3" s="26" t="s">
        <v>592</v>
      </c>
      <c r="E3" s="399" t="s">
        <v>594</v>
      </c>
      <c r="F3" s="399"/>
      <c r="G3" s="400"/>
    </row>
    <row r="4" spans="1:7" x14ac:dyDescent="0.3">
      <c r="A4" s="20">
        <v>3</v>
      </c>
      <c r="B4" s="31" t="s">
        <v>596</v>
      </c>
      <c r="C4" s="37">
        <v>10455</v>
      </c>
      <c r="D4" s="26" t="s">
        <v>595</v>
      </c>
      <c r="E4" s="399" t="s">
        <v>597</v>
      </c>
      <c r="F4" s="399"/>
      <c r="G4" s="400"/>
    </row>
    <row r="5" spans="1:7" x14ac:dyDescent="0.3">
      <c r="A5" s="20">
        <v>4</v>
      </c>
      <c r="B5" s="31" t="s">
        <v>608</v>
      </c>
      <c r="C5" s="26">
        <v>10456</v>
      </c>
      <c r="D5" s="26" t="s">
        <v>598</v>
      </c>
      <c r="E5" s="399" t="s">
        <v>599</v>
      </c>
      <c r="F5" s="399"/>
      <c r="G5" s="400"/>
    </row>
    <row r="6" spans="1:7" x14ac:dyDescent="0.3">
      <c r="A6" s="20">
        <v>5</v>
      </c>
      <c r="B6" s="31" t="s">
        <v>601</v>
      </c>
      <c r="C6" s="26">
        <v>10457</v>
      </c>
      <c r="D6" s="26" t="s">
        <v>600</v>
      </c>
      <c r="E6" s="399" t="s">
        <v>594</v>
      </c>
      <c r="F6" s="399"/>
      <c r="G6" s="400"/>
    </row>
    <row r="7" spans="1:7" x14ac:dyDescent="0.3">
      <c r="A7" s="20">
        <v>6</v>
      </c>
      <c r="B7" s="31" t="s">
        <v>603</v>
      </c>
      <c r="C7" s="26">
        <v>10458</v>
      </c>
      <c r="D7" s="26" t="s">
        <v>602</v>
      </c>
      <c r="E7" s="399" t="s">
        <v>604</v>
      </c>
      <c r="F7" s="399"/>
      <c r="G7" s="400"/>
    </row>
    <row r="8" spans="1:7" x14ac:dyDescent="0.3">
      <c r="A8" s="20">
        <v>7</v>
      </c>
      <c r="B8" s="31" t="s">
        <v>606</v>
      </c>
      <c r="C8" s="26">
        <v>10459</v>
      </c>
      <c r="D8" s="26" t="s">
        <v>607</v>
      </c>
      <c r="E8" s="399" t="s">
        <v>594</v>
      </c>
      <c r="F8" s="399"/>
      <c r="G8" s="400"/>
    </row>
    <row r="9" spans="1:7" x14ac:dyDescent="0.3">
      <c r="A9" s="20">
        <v>8</v>
      </c>
      <c r="B9" s="31" t="s">
        <v>593</v>
      </c>
      <c r="C9" s="26">
        <v>10460</v>
      </c>
      <c r="D9" s="26" t="s">
        <v>605</v>
      </c>
      <c r="E9" s="399" t="s">
        <v>591</v>
      </c>
      <c r="F9" s="399"/>
      <c r="G9" s="400"/>
    </row>
    <row r="10" spans="1:7" x14ac:dyDescent="0.3">
      <c r="A10" s="20">
        <v>9</v>
      </c>
      <c r="B10" s="31" t="s">
        <v>609</v>
      </c>
      <c r="C10" s="26">
        <v>10461</v>
      </c>
      <c r="D10" s="26" t="s">
        <v>610</v>
      </c>
      <c r="E10" s="399" t="s">
        <v>611</v>
      </c>
      <c r="F10" s="399"/>
      <c r="G10" s="400"/>
    </row>
    <row r="11" spans="1:7" x14ac:dyDescent="0.3">
      <c r="A11" s="20">
        <v>10</v>
      </c>
      <c r="B11" s="31" t="s">
        <v>612</v>
      </c>
      <c r="C11" s="26">
        <v>10462</v>
      </c>
      <c r="D11" s="26" t="s">
        <v>613</v>
      </c>
      <c r="E11" s="399" t="s">
        <v>614</v>
      </c>
      <c r="F11" s="399"/>
      <c r="G11" s="400"/>
    </row>
    <row r="12" spans="1:7" x14ac:dyDescent="0.3">
      <c r="A12" s="20">
        <v>11</v>
      </c>
      <c r="B12" s="31" t="s">
        <v>615</v>
      </c>
      <c r="C12" s="26">
        <v>10463</v>
      </c>
      <c r="D12" s="26" t="s">
        <v>616</v>
      </c>
      <c r="E12" s="399" t="s">
        <v>611</v>
      </c>
      <c r="F12" s="399"/>
      <c r="G12" s="400"/>
    </row>
    <row r="13" spans="1:7" x14ac:dyDescent="0.3">
      <c r="A13" s="20">
        <v>12</v>
      </c>
      <c r="B13" s="31" t="s">
        <v>617</v>
      </c>
      <c r="C13" s="26">
        <v>10464</v>
      </c>
      <c r="D13" s="26" t="s">
        <v>618</v>
      </c>
      <c r="E13" s="399" t="s">
        <v>634</v>
      </c>
      <c r="F13" s="399"/>
      <c r="G13" s="400"/>
    </row>
    <row r="14" spans="1:7" x14ac:dyDescent="0.3">
      <c r="A14" s="20">
        <v>13</v>
      </c>
      <c r="B14" s="31" t="s">
        <v>619</v>
      </c>
      <c r="C14" s="26">
        <v>10465</v>
      </c>
      <c r="D14" s="26" t="s">
        <v>620</v>
      </c>
      <c r="E14" s="399" t="s">
        <v>614</v>
      </c>
      <c r="F14" s="399"/>
      <c r="G14" s="400"/>
    </row>
    <row r="15" spans="1:7" x14ac:dyDescent="0.3">
      <c r="A15" s="20">
        <v>14</v>
      </c>
      <c r="B15" s="31" t="s">
        <v>621</v>
      </c>
      <c r="C15" s="26">
        <v>10466</v>
      </c>
      <c r="D15" s="26" t="s">
        <v>622</v>
      </c>
      <c r="E15" s="399" t="s">
        <v>623</v>
      </c>
      <c r="F15" s="399"/>
      <c r="G15" s="400"/>
    </row>
    <row r="16" spans="1:7" x14ac:dyDescent="0.3">
      <c r="A16" s="20">
        <v>15</v>
      </c>
      <c r="B16" s="31" t="s">
        <v>624</v>
      </c>
      <c r="C16" s="26">
        <v>10467</v>
      </c>
      <c r="D16" s="26" t="s">
        <v>625</v>
      </c>
      <c r="E16" s="399" t="s">
        <v>611</v>
      </c>
      <c r="F16" s="399"/>
      <c r="G16" s="400"/>
    </row>
    <row r="17" spans="1:7" x14ac:dyDescent="0.3">
      <c r="A17" s="20">
        <v>16</v>
      </c>
      <c r="B17" s="31" t="s">
        <v>626</v>
      </c>
      <c r="C17" s="26">
        <v>10468</v>
      </c>
      <c r="D17" s="26" t="s">
        <v>627</v>
      </c>
      <c r="E17" s="399" t="s">
        <v>628</v>
      </c>
      <c r="F17" s="399"/>
      <c r="G17" s="400"/>
    </row>
    <row r="18" spans="1:7" x14ac:dyDescent="0.3">
      <c r="A18" s="20">
        <v>17</v>
      </c>
      <c r="B18" s="31" t="s">
        <v>629</v>
      </c>
      <c r="C18" s="26">
        <v>10469</v>
      </c>
      <c r="D18" s="26" t="s">
        <v>630</v>
      </c>
      <c r="E18" s="399" t="s">
        <v>633</v>
      </c>
      <c r="F18" s="399"/>
      <c r="G18" s="400"/>
    </row>
    <row r="19" spans="1:7" x14ac:dyDescent="0.3">
      <c r="A19" s="20">
        <v>18</v>
      </c>
      <c r="B19" s="31" t="s">
        <v>631</v>
      </c>
      <c r="C19" s="26">
        <v>10470</v>
      </c>
      <c r="D19" s="26" t="s">
        <v>632</v>
      </c>
      <c r="E19" s="399" t="s">
        <v>633</v>
      </c>
      <c r="F19" s="399"/>
      <c r="G19" s="400"/>
    </row>
    <row r="20" spans="1:7" x14ac:dyDescent="0.3">
      <c r="A20" s="20">
        <v>19</v>
      </c>
      <c r="B20" s="31" t="s">
        <v>635</v>
      </c>
      <c r="C20" s="26">
        <v>10471</v>
      </c>
      <c r="D20" s="26" t="s">
        <v>636</v>
      </c>
      <c r="E20" s="399" t="s">
        <v>611</v>
      </c>
      <c r="F20" s="399"/>
      <c r="G20" s="400"/>
    </row>
    <row r="21" spans="1:7" x14ac:dyDescent="0.3">
      <c r="A21" s="20">
        <v>20</v>
      </c>
      <c r="B21" s="31" t="s">
        <v>637</v>
      </c>
      <c r="C21" s="26">
        <v>10472</v>
      </c>
      <c r="D21" s="26" t="s">
        <v>638</v>
      </c>
      <c r="E21" s="399" t="s">
        <v>614</v>
      </c>
      <c r="F21" s="399"/>
      <c r="G21" s="400"/>
    </row>
    <row r="22" spans="1:7" x14ac:dyDescent="0.3">
      <c r="A22" s="20">
        <v>21</v>
      </c>
      <c r="B22" s="31" t="s">
        <v>639</v>
      </c>
      <c r="C22" s="26">
        <v>10473</v>
      </c>
      <c r="D22" s="26" t="s">
        <v>640</v>
      </c>
      <c r="E22" s="399" t="s">
        <v>623</v>
      </c>
      <c r="F22" s="399"/>
      <c r="G22" s="400"/>
    </row>
    <row r="23" spans="1:7" x14ac:dyDescent="0.3">
      <c r="A23" s="20">
        <v>22</v>
      </c>
      <c r="B23" s="31" t="s">
        <v>641</v>
      </c>
      <c r="C23" s="26">
        <v>10474</v>
      </c>
      <c r="D23" s="26" t="s">
        <v>642</v>
      </c>
      <c r="E23" s="399" t="s">
        <v>695</v>
      </c>
      <c r="F23" s="399"/>
      <c r="G23" s="400"/>
    </row>
    <row r="24" spans="1:7" x14ac:dyDescent="0.3">
      <c r="A24" s="20">
        <v>23</v>
      </c>
      <c r="B24" s="31" t="s">
        <v>643</v>
      </c>
      <c r="C24" s="26">
        <v>10475</v>
      </c>
      <c r="D24" s="26" t="s">
        <v>644</v>
      </c>
      <c r="E24" s="399" t="s">
        <v>623</v>
      </c>
      <c r="F24" s="399"/>
      <c r="G24" s="400"/>
    </row>
    <row r="25" spans="1:7" x14ac:dyDescent="0.3">
      <c r="A25" s="20">
        <v>24</v>
      </c>
      <c r="B25" s="31" t="s">
        <v>645</v>
      </c>
      <c r="C25" s="26">
        <v>10476</v>
      </c>
      <c r="D25" s="26" t="s">
        <v>646</v>
      </c>
      <c r="E25" s="399" t="s">
        <v>623</v>
      </c>
      <c r="F25" s="399"/>
      <c r="G25" s="400"/>
    </row>
    <row r="26" spans="1:7" x14ac:dyDescent="0.3">
      <c r="A26" s="20">
        <v>25</v>
      </c>
      <c r="B26" s="31" t="s">
        <v>647</v>
      </c>
      <c r="C26" s="26">
        <v>10477</v>
      </c>
      <c r="D26" s="26" t="s">
        <v>648</v>
      </c>
      <c r="E26" s="399" t="s">
        <v>623</v>
      </c>
      <c r="F26" s="399"/>
      <c r="G26" s="400"/>
    </row>
    <row r="27" spans="1:7" x14ac:dyDescent="0.3">
      <c r="A27" s="20">
        <v>26</v>
      </c>
      <c r="B27" s="31" t="s">
        <v>649</v>
      </c>
      <c r="C27" s="26">
        <v>10478</v>
      </c>
      <c r="D27" s="26" t="s">
        <v>650</v>
      </c>
      <c r="E27" s="399" t="s">
        <v>695</v>
      </c>
      <c r="F27" s="399"/>
      <c r="G27" s="400"/>
    </row>
    <row r="28" spans="1:7" x14ac:dyDescent="0.3">
      <c r="A28" s="20">
        <v>27</v>
      </c>
      <c r="B28" s="31" t="s">
        <v>651</v>
      </c>
      <c r="C28" s="26">
        <v>10479</v>
      </c>
      <c r="D28" s="26" t="s">
        <v>652</v>
      </c>
      <c r="E28" s="399" t="s">
        <v>633</v>
      </c>
      <c r="F28" s="399"/>
      <c r="G28" s="400"/>
    </row>
    <row r="29" spans="1:7" x14ac:dyDescent="0.3">
      <c r="A29" s="20">
        <v>28</v>
      </c>
      <c r="B29" s="31" t="s">
        <v>653</v>
      </c>
      <c r="C29" s="26">
        <v>10480</v>
      </c>
      <c r="D29" s="26" t="s">
        <v>654</v>
      </c>
      <c r="E29" s="399" t="s">
        <v>63</v>
      </c>
      <c r="F29" s="399"/>
      <c r="G29" s="400"/>
    </row>
    <row r="30" spans="1:7" x14ac:dyDescent="0.3">
      <c r="A30" s="20">
        <v>29</v>
      </c>
      <c r="B30" s="31" t="s">
        <v>655</v>
      </c>
      <c r="C30" s="26">
        <v>10481</v>
      </c>
      <c r="D30" s="26" t="s">
        <v>656</v>
      </c>
      <c r="E30" s="399" t="s">
        <v>633</v>
      </c>
      <c r="F30" s="399"/>
      <c r="G30" s="400"/>
    </row>
    <row r="31" spans="1:7" x14ac:dyDescent="0.3">
      <c r="A31" s="20">
        <v>30</v>
      </c>
      <c r="B31" s="31" t="s">
        <v>657</v>
      </c>
      <c r="C31" s="26">
        <v>10482</v>
      </c>
      <c r="D31" s="26" t="s">
        <v>658</v>
      </c>
      <c r="E31" s="399" t="s">
        <v>63</v>
      </c>
      <c r="F31" s="399"/>
      <c r="G31" s="400"/>
    </row>
    <row r="32" spans="1:7" x14ac:dyDescent="0.3">
      <c r="A32" s="20">
        <v>31</v>
      </c>
      <c r="B32" s="31" t="s">
        <v>659</v>
      </c>
      <c r="C32" s="26">
        <v>10483</v>
      </c>
      <c r="D32" s="26" t="s">
        <v>660</v>
      </c>
      <c r="E32" s="399" t="s">
        <v>614</v>
      </c>
      <c r="F32" s="399"/>
      <c r="G32" s="400"/>
    </row>
    <row r="33" spans="1:7" x14ac:dyDescent="0.3">
      <c r="A33" s="20">
        <v>32</v>
      </c>
      <c r="B33" s="31" t="s">
        <v>661</v>
      </c>
      <c r="C33" s="26">
        <v>10484</v>
      </c>
      <c r="D33" s="26" t="s">
        <v>662</v>
      </c>
      <c r="E33" s="399" t="s">
        <v>192</v>
      </c>
      <c r="F33" s="399"/>
      <c r="G33" s="400"/>
    </row>
    <row r="34" spans="1:7" x14ac:dyDescent="0.3">
      <c r="A34" s="20">
        <v>33</v>
      </c>
      <c r="B34" s="31" t="s">
        <v>663</v>
      </c>
      <c r="C34" s="26">
        <v>10485</v>
      </c>
      <c r="D34" s="26" t="s">
        <v>664</v>
      </c>
      <c r="E34" s="399" t="s">
        <v>633</v>
      </c>
      <c r="F34" s="399"/>
      <c r="G34" s="400"/>
    </row>
    <row r="35" spans="1:7" x14ac:dyDescent="0.3">
      <c r="A35" s="20">
        <v>34</v>
      </c>
      <c r="B35" s="31" t="s">
        <v>665</v>
      </c>
      <c r="C35" s="26">
        <v>10486</v>
      </c>
      <c r="D35" s="26" t="s">
        <v>666</v>
      </c>
      <c r="E35" s="399" t="s">
        <v>667</v>
      </c>
      <c r="F35" s="399"/>
      <c r="G35" s="400"/>
    </row>
    <row r="36" spans="1:7" x14ac:dyDescent="0.3">
      <c r="A36" s="20">
        <v>35</v>
      </c>
      <c r="B36" s="31" t="s">
        <v>668</v>
      </c>
      <c r="C36" s="26">
        <v>10487</v>
      </c>
      <c r="D36" s="26" t="s">
        <v>669</v>
      </c>
      <c r="E36" s="399" t="s">
        <v>614</v>
      </c>
      <c r="F36" s="399"/>
      <c r="G36" s="400"/>
    </row>
    <row r="37" spans="1:7" x14ac:dyDescent="0.3">
      <c r="A37" s="20">
        <v>36</v>
      </c>
      <c r="B37" s="31" t="s">
        <v>670</v>
      </c>
      <c r="C37" s="26">
        <v>10488</v>
      </c>
      <c r="D37" s="26" t="s">
        <v>671</v>
      </c>
      <c r="E37" s="399" t="s">
        <v>63</v>
      </c>
      <c r="F37" s="399"/>
      <c r="G37" s="400"/>
    </row>
    <row r="38" spans="1:7" x14ac:dyDescent="0.3">
      <c r="A38" s="20">
        <v>37</v>
      </c>
      <c r="B38" s="31" t="s">
        <v>661</v>
      </c>
      <c r="C38" s="26">
        <v>10489</v>
      </c>
      <c r="D38" s="26" t="s">
        <v>672</v>
      </c>
      <c r="E38" s="399" t="s">
        <v>623</v>
      </c>
      <c r="F38" s="399"/>
      <c r="G38" s="400"/>
    </row>
    <row r="39" spans="1:7" x14ac:dyDescent="0.3">
      <c r="A39" s="20">
        <v>38</v>
      </c>
      <c r="B39" s="31" t="s">
        <v>674</v>
      </c>
      <c r="C39" s="26">
        <v>10490</v>
      </c>
      <c r="D39" s="26" t="s">
        <v>673</v>
      </c>
      <c r="E39" s="399" t="s">
        <v>63</v>
      </c>
      <c r="F39" s="399"/>
      <c r="G39" s="400"/>
    </row>
    <row r="40" spans="1:7" x14ac:dyDescent="0.3">
      <c r="A40" s="20">
        <v>39</v>
      </c>
      <c r="B40" s="31" t="s">
        <v>675</v>
      </c>
      <c r="C40" s="26">
        <v>10491</v>
      </c>
      <c r="D40" s="26" t="s">
        <v>676</v>
      </c>
      <c r="E40" s="399" t="s">
        <v>700</v>
      </c>
      <c r="F40" s="399"/>
      <c r="G40" s="400"/>
    </row>
    <row r="41" spans="1:7" x14ac:dyDescent="0.3">
      <c r="A41" s="20">
        <v>40</v>
      </c>
      <c r="B41" s="31" t="s">
        <v>677</v>
      </c>
      <c r="C41" s="26">
        <v>10492</v>
      </c>
      <c r="D41" s="26" t="s">
        <v>678</v>
      </c>
      <c r="E41" s="399" t="s">
        <v>623</v>
      </c>
      <c r="F41" s="399"/>
      <c r="G41" s="400"/>
    </row>
    <row r="42" spans="1:7" x14ac:dyDescent="0.3">
      <c r="A42" s="48">
        <v>41</v>
      </c>
      <c r="B42" s="49" t="s">
        <v>715</v>
      </c>
      <c r="C42" s="50">
        <v>10493</v>
      </c>
      <c r="D42" s="50" t="s">
        <v>716</v>
      </c>
      <c r="E42" s="422" t="s">
        <v>717</v>
      </c>
      <c r="F42" s="422"/>
      <c r="G42" s="423"/>
    </row>
    <row r="43" spans="1:7" x14ac:dyDescent="0.3">
      <c r="A43" s="20">
        <v>42</v>
      </c>
      <c r="B43" s="31" t="s">
        <v>679</v>
      </c>
      <c r="C43" s="26">
        <v>10494</v>
      </c>
      <c r="D43" s="26" t="s">
        <v>680</v>
      </c>
      <c r="E43" s="399" t="s">
        <v>623</v>
      </c>
      <c r="F43" s="399"/>
      <c r="G43" s="400"/>
    </row>
    <row r="44" spans="1:7" x14ac:dyDescent="0.3">
      <c r="A44" s="20">
        <v>43</v>
      </c>
      <c r="B44" s="31" t="s">
        <v>681</v>
      </c>
      <c r="C44" s="26">
        <v>10495</v>
      </c>
      <c r="D44" s="26" t="s">
        <v>682</v>
      </c>
      <c r="E44" s="399" t="s">
        <v>611</v>
      </c>
      <c r="F44" s="399"/>
      <c r="G44" s="400"/>
    </row>
    <row r="45" spans="1:7" x14ac:dyDescent="0.3">
      <c r="A45" s="20">
        <v>44</v>
      </c>
      <c r="B45" s="31" t="s">
        <v>683</v>
      </c>
      <c r="C45" s="26">
        <v>10496</v>
      </c>
      <c r="D45" s="26" t="s">
        <v>684</v>
      </c>
      <c r="E45" s="399" t="s">
        <v>633</v>
      </c>
      <c r="F45" s="399"/>
      <c r="G45" s="400"/>
    </row>
    <row r="46" spans="1:7" x14ac:dyDescent="0.3">
      <c r="A46" s="20">
        <v>45</v>
      </c>
      <c r="B46" s="31" t="s">
        <v>685</v>
      </c>
      <c r="C46" s="26">
        <v>10497</v>
      </c>
      <c r="D46" s="26" t="s">
        <v>686</v>
      </c>
      <c r="E46" s="399" t="s">
        <v>687</v>
      </c>
      <c r="F46" s="399"/>
      <c r="G46" s="400"/>
    </row>
    <row r="47" spans="1:7" x14ac:dyDescent="0.3">
      <c r="A47" s="20">
        <v>46</v>
      </c>
      <c r="B47" s="31" t="s">
        <v>688</v>
      </c>
      <c r="C47" s="26">
        <v>10498</v>
      </c>
      <c r="D47" s="26" t="s">
        <v>689</v>
      </c>
      <c r="E47" s="399" t="s">
        <v>611</v>
      </c>
      <c r="F47" s="399"/>
      <c r="G47" s="400"/>
    </row>
    <row r="48" spans="1:7" x14ac:dyDescent="0.3">
      <c r="A48" s="20">
        <v>47</v>
      </c>
      <c r="B48" s="31" t="s">
        <v>631</v>
      </c>
      <c r="C48" s="26">
        <v>10499</v>
      </c>
      <c r="D48" s="26" t="s">
        <v>690</v>
      </c>
      <c r="E48" s="399" t="s">
        <v>633</v>
      </c>
      <c r="F48" s="399"/>
      <c r="G48" s="400"/>
    </row>
    <row r="49" spans="1:7" x14ac:dyDescent="0.3">
      <c r="A49" s="20">
        <v>48</v>
      </c>
      <c r="B49" s="31" t="s">
        <v>691</v>
      </c>
      <c r="C49" s="26">
        <v>10500</v>
      </c>
      <c r="D49" s="26" t="s">
        <v>692</v>
      </c>
      <c r="E49" s="399" t="s">
        <v>614</v>
      </c>
      <c r="F49" s="399"/>
      <c r="G49" s="400"/>
    </row>
    <row r="50" spans="1:7" x14ac:dyDescent="0.3">
      <c r="A50" s="20">
        <v>49</v>
      </c>
      <c r="B50" s="31" t="s">
        <v>693</v>
      </c>
      <c r="C50" s="26">
        <v>10501</v>
      </c>
      <c r="D50" s="26" t="s">
        <v>694</v>
      </c>
      <c r="E50" s="399" t="s">
        <v>695</v>
      </c>
      <c r="F50" s="399"/>
      <c r="G50" s="400"/>
    </row>
    <row r="51" spans="1:7" x14ac:dyDescent="0.3">
      <c r="A51" s="20">
        <v>50</v>
      </c>
      <c r="B51" s="31" t="s">
        <v>696</v>
      </c>
      <c r="C51" s="26">
        <v>10502</v>
      </c>
      <c r="D51" s="26" t="s">
        <v>697</v>
      </c>
      <c r="E51" s="399" t="s">
        <v>695</v>
      </c>
      <c r="F51" s="399"/>
      <c r="G51" s="400"/>
    </row>
    <row r="52" spans="1:7" x14ac:dyDescent="0.3">
      <c r="A52" s="20">
        <v>51</v>
      </c>
      <c r="B52" s="31" t="s">
        <v>698</v>
      </c>
      <c r="C52" s="26">
        <v>10503</v>
      </c>
      <c r="D52" s="26" t="s">
        <v>699</v>
      </c>
      <c r="E52" s="392" t="s">
        <v>623</v>
      </c>
      <c r="F52" s="393"/>
      <c r="G52" s="394"/>
    </row>
    <row r="53" spans="1:7" x14ac:dyDescent="0.3">
      <c r="A53" s="20">
        <v>52</v>
      </c>
      <c r="B53" s="31" t="s">
        <v>701</v>
      </c>
      <c r="C53" s="26">
        <v>10504</v>
      </c>
      <c r="D53" s="26" t="s">
        <v>702</v>
      </c>
      <c r="E53" s="392" t="s">
        <v>703</v>
      </c>
      <c r="F53" s="393"/>
      <c r="G53" s="394"/>
    </row>
    <row r="54" spans="1:7" x14ac:dyDescent="0.3">
      <c r="A54" s="20">
        <v>53</v>
      </c>
      <c r="B54" s="31" t="s">
        <v>704</v>
      </c>
      <c r="C54" s="26">
        <v>10505</v>
      </c>
      <c r="D54" s="26" t="s">
        <v>705</v>
      </c>
      <c r="E54" s="401" t="s">
        <v>192</v>
      </c>
      <c r="F54" s="402"/>
      <c r="G54" s="403"/>
    </row>
    <row r="55" spans="1:7" x14ac:dyDescent="0.3">
      <c r="A55" s="20">
        <v>54</v>
      </c>
      <c r="B55" s="31" t="s">
        <v>706</v>
      </c>
      <c r="C55" s="26">
        <v>10506</v>
      </c>
      <c r="D55" s="43" t="s">
        <v>707</v>
      </c>
      <c r="E55" s="392" t="s">
        <v>703</v>
      </c>
      <c r="F55" s="393"/>
      <c r="G55" s="394"/>
    </row>
    <row r="56" spans="1:7" x14ac:dyDescent="0.3">
      <c r="A56" s="20">
        <v>55</v>
      </c>
      <c r="B56" s="31" t="s">
        <v>708</v>
      </c>
      <c r="C56" s="26">
        <v>10507</v>
      </c>
      <c r="D56" s="43" t="s">
        <v>709</v>
      </c>
      <c r="E56" s="392" t="s">
        <v>323</v>
      </c>
      <c r="F56" s="393"/>
      <c r="G56" s="394"/>
    </row>
    <row r="57" spans="1:7" x14ac:dyDescent="0.3">
      <c r="A57" s="20">
        <v>56</v>
      </c>
      <c r="B57" s="31" t="s">
        <v>710</v>
      </c>
      <c r="C57" s="26">
        <v>10508</v>
      </c>
      <c r="D57" s="43" t="s">
        <v>711</v>
      </c>
      <c r="E57" s="392" t="s">
        <v>712</v>
      </c>
      <c r="F57" s="393"/>
      <c r="G57" s="394"/>
    </row>
    <row r="58" spans="1:7" x14ac:dyDescent="0.3">
      <c r="A58" s="20">
        <v>57</v>
      </c>
      <c r="B58" s="31" t="s">
        <v>713</v>
      </c>
      <c r="C58" s="26">
        <v>10509</v>
      </c>
      <c r="D58" s="43" t="s">
        <v>714</v>
      </c>
      <c r="E58" s="399" t="s">
        <v>487</v>
      </c>
      <c r="F58" s="399"/>
      <c r="G58" s="400"/>
    </row>
  </sheetData>
  <mergeCells count="58">
    <mergeCell ref="E55:G55"/>
    <mergeCell ref="E56:G56"/>
    <mergeCell ref="E57:G57"/>
    <mergeCell ref="E58:G58"/>
    <mergeCell ref="E49:G49"/>
    <mergeCell ref="E50:G50"/>
    <mergeCell ref="E51:G51"/>
    <mergeCell ref="E52:G52"/>
    <mergeCell ref="E53:G53"/>
    <mergeCell ref="E54:G54"/>
    <mergeCell ref="E48:G48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36:G36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24:G24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12:G12"/>
    <mergeCell ref="E1:G1"/>
    <mergeCell ref="E2:G2"/>
    <mergeCell ref="E3:G3"/>
    <mergeCell ref="E4:G4"/>
    <mergeCell ref="E5:G5"/>
    <mergeCell ref="E6:G6"/>
    <mergeCell ref="E7:G7"/>
    <mergeCell ref="E8:G8"/>
    <mergeCell ref="E9:G9"/>
    <mergeCell ref="E10:G10"/>
    <mergeCell ref="E11:G1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1"/>
  <sheetViews>
    <sheetView workbookViewId="0">
      <selection activeCell="H101" sqref="H101"/>
    </sheetView>
  </sheetViews>
  <sheetFormatPr defaultRowHeight="16.5" x14ac:dyDescent="0.3"/>
  <cols>
    <col min="2" max="2" width="15.25" bestFit="1" customWidth="1"/>
    <col min="4" max="4" width="11" bestFit="1" customWidth="1"/>
  </cols>
  <sheetData>
    <row r="1" spans="1:7" ht="17.25" thickBot="1" x14ac:dyDescent="0.35">
      <c r="A1" s="47"/>
      <c r="B1" s="45"/>
      <c r="C1" s="44" t="s">
        <v>1</v>
      </c>
      <c r="D1" s="44" t="s">
        <v>588</v>
      </c>
      <c r="E1" s="420" t="s">
        <v>3</v>
      </c>
      <c r="F1" s="420"/>
      <c r="G1" s="421"/>
    </row>
    <row r="2" spans="1:7" x14ac:dyDescent="0.3">
      <c r="A2" s="46">
        <v>1</v>
      </c>
      <c r="B2" s="39" t="s">
        <v>718</v>
      </c>
      <c r="C2" s="37">
        <v>10510</v>
      </c>
      <c r="D2" s="37" t="s">
        <v>719</v>
      </c>
      <c r="E2" s="410" t="s">
        <v>720</v>
      </c>
      <c r="F2" s="410"/>
      <c r="G2" s="411"/>
    </row>
    <row r="3" spans="1:7" x14ac:dyDescent="0.3">
      <c r="A3" s="20">
        <v>2</v>
      </c>
      <c r="B3" s="31" t="s">
        <v>721</v>
      </c>
      <c r="C3" s="37">
        <v>10511</v>
      </c>
      <c r="D3" s="26" t="s">
        <v>722</v>
      </c>
      <c r="E3" s="399" t="s">
        <v>723</v>
      </c>
      <c r="F3" s="399"/>
      <c r="G3" s="400"/>
    </row>
    <row r="4" spans="1:7" x14ac:dyDescent="0.3">
      <c r="A4" s="20">
        <v>3</v>
      </c>
      <c r="B4" s="31" t="s">
        <v>724</v>
      </c>
      <c r="C4" s="37">
        <v>10512</v>
      </c>
      <c r="D4" s="26" t="s">
        <v>725</v>
      </c>
      <c r="E4" s="399" t="s">
        <v>723</v>
      </c>
      <c r="F4" s="399"/>
      <c r="G4" s="400"/>
    </row>
    <row r="5" spans="1:7" x14ac:dyDescent="0.3">
      <c r="A5" s="20">
        <v>4</v>
      </c>
      <c r="B5" s="31" t="s">
        <v>726</v>
      </c>
      <c r="C5" s="37">
        <v>10513</v>
      </c>
      <c r="D5" s="26" t="s">
        <v>727</v>
      </c>
      <c r="E5" s="399" t="s">
        <v>728</v>
      </c>
      <c r="F5" s="399"/>
      <c r="G5" s="400"/>
    </row>
    <row r="6" spans="1:7" x14ac:dyDescent="0.3">
      <c r="A6" s="20">
        <v>5</v>
      </c>
      <c r="B6" s="31" t="s">
        <v>729</v>
      </c>
      <c r="C6" s="37">
        <v>10514</v>
      </c>
      <c r="D6" s="26" t="s">
        <v>730</v>
      </c>
      <c r="E6" s="399" t="s">
        <v>731</v>
      </c>
      <c r="F6" s="399"/>
      <c r="G6" s="400"/>
    </row>
    <row r="7" spans="1:7" x14ac:dyDescent="0.3">
      <c r="A7" s="20">
        <v>6</v>
      </c>
      <c r="B7" s="31" t="s">
        <v>732</v>
      </c>
      <c r="C7" s="37">
        <v>10515</v>
      </c>
      <c r="D7" s="26" t="s">
        <v>733</v>
      </c>
      <c r="E7" s="399" t="s">
        <v>723</v>
      </c>
      <c r="F7" s="399"/>
      <c r="G7" s="400"/>
    </row>
    <row r="8" spans="1:7" x14ac:dyDescent="0.3">
      <c r="A8" s="20">
        <v>7</v>
      </c>
      <c r="B8" s="31" t="s">
        <v>734</v>
      </c>
      <c r="C8" s="37">
        <v>10516</v>
      </c>
      <c r="D8" s="26" t="s">
        <v>735</v>
      </c>
      <c r="E8" s="399" t="s">
        <v>723</v>
      </c>
      <c r="F8" s="399"/>
      <c r="G8" s="400"/>
    </row>
    <row r="9" spans="1:7" x14ac:dyDescent="0.3">
      <c r="A9" s="20">
        <v>8</v>
      </c>
      <c r="B9" s="31" t="s">
        <v>736</v>
      </c>
      <c r="C9" s="37">
        <v>10517</v>
      </c>
      <c r="D9" s="26" t="s">
        <v>737</v>
      </c>
      <c r="E9" s="399" t="s">
        <v>723</v>
      </c>
      <c r="F9" s="399"/>
      <c r="G9" s="400"/>
    </row>
    <row r="10" spans="1:7" x14ac:dyDescent="0.3">
      <c r="A10" s="20">
        <v>9</v>
      </c>
      <c r="B10" s="31" t="s">
        <v>738</v>
      </c>
      <c r="C10" s="37">
        <v>10518</v>
      </c>
      <c r="D10" s="26" t="s">
        <v>739</v>
      </c>
      <c r="E10" s="399" t="s">
        <v>723</v>
      </c>
      <c r="F10" s="399"/>
      <c r="G10" s="400"/>
    </row>
    <row r="11" spans="1:7" x14ac:dyDescent="0.3">
      <c r="A11" s="20">
        <v>10</v>
      </c>
      <c r="B11" s="31" t="s">
        <v>740</v>
      </c>
      <c r="C11" s="37">
        <v>10519</v>
      </c>
      <c r="D11" s="26" t="s">
        <v>741</v>
      </c>
      <c r="E11" s="399" t="s">
        <v>728</v>
      </c>
      <c r="F11" s="399"/>
      <c r="G11" s="400"/>
    </row>
    <row r="12" spans="1:7" x14ac:dyDescent="0.3">
      <c r="A12" s="20">
        <v>11</v>
      </c>
      <c r="B12" s="31" t="s">
        <v>742</v>
      </c>
      <c r="C12" s="37">
        <v>10520</v>
      </c>
      <c r="D12" s="26" t="s">
        <v>743</v>
      </c>
      <c r="E12" s="399" t="s">
        <v>723</v>
      </c>
      <c r="F12" s="399"/>
      <c r="G12" s="400"/>
    </row>
    <row r="13" spans="1:7" x14ac:dyDescent="0.3">
      <c r="A13" s="20">
        <v>12</v>
      </c>
      <c r="B13" s="31" t="s">
        <v>744</v>
      </c>
      <c r="C13" s="37">
        <v>10521</v>
      </c>
      <c r="D13" s="26" t="s">
        <v>745</v>
      </c>
      <c r="E13" s="399" t="s">
        <v>746</v>
      </c>
      <c r="F13" s="399"/>
      <c r="G13" s="400"/>
    </row>
    <row r="14" spans="1:7" x14ac:dyDescent="0.3">
      <c r="A14" s="20">
        <v>13</v>
      </c>
      <c r="B14" s="31" t="s">
        <v>740</v>
      </c>
      <c r="C14" s="37">
        <v>10523</v>
      </c>
      <c r="D14" s="26" t="s">
        <v>747</v>
      </c>
      <c r="E14" s="399" t="s">
        <v>746</v>
      </c>
      <c r="F14" s="399"/>
      <c r="G14" s="400"/>
    </row>
    <row r="15" spans="1:7" x14ac:dyDescent="0.3">
      <c r="A15" s="20">
        <v>14</v>
      </c>
      <c r="B15" s="31" t="s">
        <v>748</v>
      </c>
      <c r="C15" s="37">
        <v>10524</v>
      </c>
      <c r="D15" s="26" t="s">
        <v>749</v>
      </c>
      <c r="E15" s="399" t="s">
        <v>723</v>
      </c>
      <c r="F15" s="399"/>
      <c r="G15" s="400"/>
    </row>
    <row r="16" spans="1:7" x14ac:dyDescent="0.3">
      <c r="A16" s="20">
        <v>15</v>
      </c>
      <c r="B16" s="31" t="s">
        <v>750</v>
      </c>
      <c r="C16" s="37">
        <v>10525</v>
      </c>
      <c r="D16" s="26" t="s">
        <v>751</v>
      </c>
      <c r="E16" s="399" t="s">
        <v>723</v>
      </c>
      <c r="F16" s="399"/>
      <c r="G16" s="400"/>
    </row>
    <row r="17" spans="1:7" x14ac:dyDescent="0.3">
      <c r="A17" s="20">
        <v>16</v>
      </c>
      <c r="B17" s="31" t="s">
        <v>752</v>
      </c>
      <c r="C17" s="37">
        <v>10526</v>
      </c>
      <c r="D17" s="26" t="s">
        <v>753</v>
      </c>
      <c r="E17" s="399" t="s">
        <v>723</v>
      </c>
      <c r="F17" s="399"/>
      <c r="G17" s="400"/>
    </row>
    <row r="18" spans="1:7" x14ac:dyDescent="0.3">
      <c r="A18" s="20">
        <v>17</v>
      </c>
      <c r="B18" s="31" t="s">
        <v>754</v>
      </c>
      <c r="C18" s="37">
        <v>10527</v>
      </c>
      <c r="D18" s="26" t="s">
        <v>755</v>
      </c>
      <c r="E18" s="399" t="s">
        <v>728</v>
      </c>
      <c r="F18" s="399"/>
      <c r="G18" s="400"/>
    </row>
    <row r="19" spans="1:7" x14ac:dyDescent="0.3">
      <c r="A19" s="20">
        <v>18</v>
      </c>
      <c r="B19" s="31" t="s">
        <v>756</v>
      </c>
      <c r="C19" s="37">
        <v>10528</v>
      </c>
      <c r="D19" s="26" t="s">
        <v>757</v>
      </c>
      <c r="E19" s="399" t="s">
        <v>723</v>
      </c>
      <c r="F19" s="399"/>
      <c r="G19" s="400"/>
    </row>
    <row r="20" spans="1:7" x14ac:dyDescent="0.3">
      <c r="A20" s="20">
        <v>19</v>
      </c>
      <c r="B20" s="31" t="s">
        <v>758</v>
      </c>
      <c r="C20" s="37">
        <v>10529</v>
      </c>
      <c r="D20" s="26" t="s">
        <v>759</v>
      </c>
      <c r="E20" s="399" t="s">
        <v>728</v>
      </c>
      <c r="F20" s="399"/>
      <c r="G20" s="400"/>
    </row>
    <row r="21" spans="1:7" x14ac:dyDescent="0.3">
      <c r="A21" s="20">
        <v>20</v>
      </c>
      <c r="B21" s="31" t="s">
        <v>760</v>
      </c>
      <c r="C21" s="37">
        <v>10530</v>
      </c>
      <c r="D21" s="26" t="s">
        <v>761</v>
      </c>
      <c r="E21" s="399" t="s">
        <v>762</v>
      </c>
      <c r="F21" s="399"/>
      <c r="G21" s="400"/>
    </row>
    <row r="22" spans="1:7" x14ac:dyDescent="0.3">
      <c r="A22" s="20">
        <v>21</v>
      </c>
      <c r="B22" s="31" t="s">
        <v>763</v>
      </c>
      <c r="C22" s="37">
        <v>10531</v>
      </c>
      <c r="D22" s="26" t="s">
        <v>764</v>
      </c>
      <c r="E22" s="399" t="s">
        <v>746</v>
      </c>
      <c r="F22" s="399"/>
      <c r="G22" s="400"/>
    </row>
    <row r="23" spans="1:7" x14ac:dyDescent="0.3">
      <c r="A23" s="20">
        <v>22</v>
      </c>
      <c r="B23" s="31" t="s">
        <v>765</v>
      </c>
      <c r="C23" s="37">
        <v>10532</v>
      </c>
      <c r="D23" s="26" t="s">
        <v>766</v>
      </c>
      <c r="E23" s="399" t="s">
        <v>728</v>
      </c>
      <c r="F23" s="399"/>
      <c r="G23" s="400"/>
    </row>
    <row r="24" spans="1:7" x14ac:dyDescent="0.3">
      <c r="A24" s="20">
        <v>23</v>
      </c>
      <c r="B24" s="31" t="s">
        <v>767</v>
      </c>
      <c r="C24" s="37">
        <v>10533</v>
      </c>
      <c r="D24" s="26" t="s">
        <v>768</v>
      </c>
      <c r="E24" s="399" t="s">
        <v>746</v>
      </c>
      <c r="F24" s="399"/>
      <c r="G24" s="400"/>
    </row>
    <row r="25" spans="1:7" x14ac:dyDescent="0.3">
      <c r="A25" s="20">
        <v>24</v>
      </c>
      <c r="B25" s="31" t="s">
        <v>769</v>
      </c>
      <c r="C25" s="37">
        <v>10534</v>
      </c>
      <c r="D25" s="26" t="s">
        <v>770</v>
      </c>
      <c r="E25" s="399" t="s">
        <v>746</v>
      </c>
      <c r="F25" s="399"/>
      <c r="G25" s="400"/>
    </row>
    <row r="26" spans="1:7" x14ac:dyDescent="0.3">
      <c r="A26" s="20">
        <v>25</v>
      </c>
      <c r="B26" s="31" t="s">
        <v>771</v>
      </c>
      <c r="C26" s="37">
        <v>10535</v>
      </c>
      <c r="D26" s="26" t="s">
        <v>772</v>
      </c>
      <c r="E26" s="399" t="s">
        <v>773</v>
      </c>
      <c r="F26" s="399"/>
      <c r="G26" s="400"/>
    </row>
    <row r="27" spans="1:7" x14ac:dyDescent="0.3">
      <c r="A27" s="20">
        <v>26</v>
      </c>
      <c r="B27" s="31" t="s">
        <v>774</v>
      </c>
      <c r="C27" s="37">
        <v>10536</v>
      </c>
      <c r="D27" s="26" t="s">
        <v>775</v>
      </c>
      <c r="E27" s="399" t="s">
        <v>723</v>
      </c>
      <c r="F27" s="399"/>
      <c r="G27" s="400"/>
    </row>
    <row r="28" spans="1:7" x14ac:dyDescent="0.3">
      <c r="A28" s="20">
        <v>27</v>
      </c>
      <c r="B28" s="31" t="s">
        <v>776</v>
      </c>
      <c r="C28" s="37">
        <v>10537</v>
      </c>
      <c r="D28" s="26" t="s">
        <v>777</v>
      </c>
      <c r="E28" s="399" t="s">
        <v>723</v>
      </c>
      <c r="F28" s="399"/>
      <c r="G28" s="400"/>
    </row>
    <row r="29" spans="1:7" x14ac:dyDescent="0.3">
      <c r="A29" s="20">
        <v>28</v>
      </c>
      <c r="B29" s="31" t="s">
        <v>778</v>
      </c>
      <c r="C29" s="37">
        <v>10538</v>
      </c>
      <c r="D29" s="26" t="s">
        <v>779</v>
      </c>
      <c r="E29" s="399" t="s">
        <v>723</v>
      </c>
      <c r="F29" s="399"/>
      <c r="G29" s="400"/>
    </row>
    <row r="30" spans="1:7" x14ac:dyDescent="0.3">
      <c r="A30" s="20">
        <v>29</v>
      </c>
      <c r="B30" s="31" t="s">
        <v>780</v>
      </c>
      <c r="C30" s="37">
        <v>10539</v>
      </c>
      <c r="D30" s="26" t="s">
        <v>781</v>
      </c>
      <c r="E30" s="399" t="s">
        <v>723</v>
      </c>
      <c r="F30" s="399"/>
      <c r="G30" s="400"/>
    </row>
    <row r="31" spans="1:7" x14ac:dyDescent="0.3">
      <c r="A31" s="20">
        <v>30</v>
      </c>
      <c r="B31" s="31" t="s">
        <v>782</v>
      </c>
      <c r="C31" s="37">
        <v>10540</v>
      </c>
      <c r="D31" s="26" t="s">
        <v>783</v>
      </c>
      <c r="E31" s="399" t="s">
        <v>723</v>
      </c>
      <c r="F31" s="399"/>
      <c r="G31" s="400"/>
    </row>
    <row r="32" spans="1:7" x14ac:dyDescent="0.3">
      <c r="A32" s="20">
        <v>31</v>
      </c>
      <c r="B32" s="31" t="s">
        <v>784</v>
      </c>
      <c r="C32" s="37">
        <v>10541</v>
      </c>
      <c r="D32" s="26" t="s">
        <v>785</v>
      </c>
      <c r="E32" s="399" t="s">
        <v>723</v>
      </c>
      <c r="F32" s="399"/>
      <c r="G32" s="400"/>
    </row>
    <row r="33" spans="1:7" x14ac:dyDescent="0.3">
      <c r="A33" s="20">
        <v>32</v>
      </c>
      <c r="B33" s="31" t="s">
        <v>786</v>
      </c>
      <c r="C33" s="37">
        <v>10542</v>
      </c>
      <c r="D33" s="26" t="s">
        <v>787</v>
      </c>
      <c r="E33" s="399" t="s">
        <v>746</v>
      </c>
      <c r="F33" s="399"/>
      <c r="G33" s="400"/>
    </row>
    <row r="34" spans="1:7" x14ac:dyDescent="0.3">
      <c r="A34" s="20">
        <v>33</v>
      </c>
      <c r="B34" s="31" t="s">
        <v>788</v>
      </c>
      <c r="C34" s="37">
        <v>10543</v>
      </c>
      <c r="D34" s="26" t="s">
        <v>789</v>
      </c>
      <c r="E34" s="399" t="s">
        <v>746</v>
      </c>
      <c r="F34" s="399"/>
      <c r="G34" s="400"/>
    </row>
    <row r="35" spans="1:7" x14ac:dyDescent="0.3">
      <c r="A35" s="20">
        <v>34</v>
      </c>
      <c r="B35" s="31" t="s">
        <v>790</v>
      </c>
      <c r="C35" s="37">
        <v>10544</v>
      </c>
      <c r="D35" s="26" t="s">
        <v>791</v>
      </c>
      <c r="E35" s="399" t="s">
        <v>723</v>
      </c>
      <c r="F35" s="399"/>
      <c r="G35" s="400"/>
    </row>
    <row r="36" spans="1:7" x14ac:dyDescent="0.3">
      <c r="A36" s="20">
        <v>35</v>
      </c>
      <c r="B36" s="31" t="s">
        <v>792</v>
      </c>
      <c r="C36" s="37">
        <v>10545</v>
      </c>
      <c r="D36" s="26" t="s">
        <v>764</v>
      </c>
      <c r="E36" s="399" t="s">
        <v>773</v>
      </c>
      <c r="F36" s="399"/>
      <c r="G36" s="400"/>
    </row>
    <row r="37" spans="1:7" x14ac:dyDescent="0.3">
      <c r="A37" s="20">
        <v>36</v>
      </c>
      <c r="B37" s="31" t="s">
        <v>793</v>
      </c>
      <c r="C37" s="37">
        <v>10546</v>
      </c>
      <c r="D37" s="26" t="s">
        <v>794</v>
      </c>
      <c r="E37" s="399" t="s">
        <v>720</v>
      </c>
      <c r="F37" s="399"/>
      <c r="G37" s="400"/>
    </row>
    <row r="38" spans="1:7" x14ac:dyDescent="0.3">
      <c r="A38" s="20">
        <v>37</v>
      </c>
      <c r="B38" s="31" t="s">
        <v>795</v>
      </c>
      <c r="C38" s="37">
        <v>10547</v>
      </c>
      <c r="D38" s="26" t="s">
        <v>796</v>
      </c>
      <c r="E38" s="399" t="s">
        <v>723</v>
      </c>
      <c r="F38" s="399"/>
      <c r="G38" s="400"/>
    </row>
    <row r="39" spans="1:7" x14ac:dyDescent="0.3">
      <c r="A39" s="20">
        <v>38</v>
      </c>
      <c r="B39" s="31" t="s">
        <v>797</v>
      </c>
      <c r="C39" s="37">
        <v>10548</v>
      </c>
      <c r="D39" s="26" t="s">
        <v>798</v>
      </c>
      <c r="E39" s="399" t="s">
        <v>723</v>
      </c>
      <c r="F39" s="399"/>
      <c r="G39" s="400"/>
    </row>
    <row r="40" spans="1:7" x14ac:dyDescent="0.3">
      <c r="A40" s="20">
        <v>39</v>
      </c>
      <c r="B40" s="31" t="s">
        <v>799</v>
      </c>
      <c r="C40" s="37">
        <v>10549</v>
      </c>
      <c r="D40" s="26" t="s">
        <v>800</v>
      </c>
      <c r="E40" s="399" t="s">
        <v>720</v>
      </c>
      <c r="F40" s="399"/>
      <c r="G40" s="400"/>
    </row>
    <row r="41" spans="1:7" x14ac:dyDescent="0.3">
      <c r="A41" s="20">
        <v>40</v>
      </c>
      <c r="B41" s="31" t="s">
        <v>801</v>
      </c>
      <c r="C41" s="51">
        <v>10550</v>
      </c>
      <c r="D41" s="52" t="s">
        <v>802</v>
      </c>
      <c r="E41" s="425" t="s">
        <v>728</v>
      </c>
      <c r="F41" s="425"/>
      <c r="G41" s="426"/>
    </row>
    <row r="42" spans="1:7" x14ac:dyDescent="0.3">
      <c r="A42" s="20">
        <v>41</v>
      </c>
      <c r="B42" s="31" t="s">
        <v>803</v>
      </c>
      <c r="C42" s="37">
        <v>10551</v>
      </c>
      <c r="D42" s="26" t="s">
        <v>804</v>
      </c>
      <c r="E42" s="399" t="s">
        <v>723</v>
      </c>
      <c r="F42" s="399"/>
      <c r="G42" s="400"/>
    </row>
    <row r="43" spans="1:7" x14ac:dyDescent="0.3">
      <c r="A43" s="20">
        <v>42</v>
      </c>
      <c r="B43" s="31" t="s">
        <v>805</v>
      </c>
      <c r="C43" s="37">
        <v>10552</v>
      </c>
      <c r="D43" s="26" t="s">
        <v>806</v>
      </c>
      <c r="E43" s="399" t="s">
        <v>723</v>
      </c>
      <c r="F43" s="399"/>
      <c r="G43" s="400"/>
    </row>
    <row r="44" spans="1:7" x14ac:dyDescent="0.3">
      <c r="A44" s="20">
        <v>43</v>
      </c>
      <c r="B44" s="31" t="s">
        <v>807</v>
      </c>
      <c r="C44" s="37">
        <v>10553</v>
      </c>
      <c r="D44" s="26" t="s">
        <v>808</v>
      </c>
      <c r="E44" s="399" t="s">
        <v>720</v>
      </c>
      <c r="F44" s="399"/>
      <c r="G44" s="400"/>
    </row>
    <row r="45" spans="1:7" x14ac:dyDescent="0.3">
      <c r="A45" s="20">
        <v>44</v>
      </c>
      <c r="B45" s="31" t="s">
        <v>809</v>
      </c>
      <c r="C45" s="37">
        <v>10554</v>
      </c>
      <c r="D45" s="26" t="s">
        <v>810</v>
      </c>
      <c r="E45" s="399" t="s">
        <v>813</v>
      </c>
      <c r="F45" s="399"/>
      <c r="G45" s="400"/>
    </row>
    <row r="46" spans="1:7" x14ac:dyDescent="0.3">
      <c r="A46" s="20">
        <v>45</v>
      </c>
      <c r="B46" s="31" t="s">
        <v>811</v>
      </c>
      <c r="C46" s="37">
        <v>10555</v>
      </c>
      <c r="D46" s="26" t="s">
        <v>812</v>
      </c>
      <c r="E46" s="399" t="s">
        <v>63</v>
      </c>
      <c r="F46" s="399"/>
      <c r="G46" s="400"/>
    </row>
    <row r="47" spans="1:7" x14ac:dyDescent="0.3">
      <c r="A47" s="20">
        <v>46</v>
      </c>
      <c r="B47" s="31" t="s">
        <v>814</v>
      </c>
      <c r="C47" s="37">
        <v>10556</v>
      </c>
      <c r="D47" s="26" t="s">
        <v>815</v>
      </c>
      <c r="E47" s="399" t="s">
        <v>628</v>
      </c>
      <c r="F47" s="399"/>
      <c r="G47" s="400"/>
    </row>
    <row r="48" spans="1:7" x14ac:dyDescent="0.3">
      <c r="A48" s="20">
        <v>47</v>
      </c>
      <c r="B48" s="31" t="s">
        <v>816</v>
      </c>
      <c r="C48" s="37">
        <v>10557</v>
      </c>
      <c r="D48" s="26" t="s">
        <v>817</v>
      </c>
      <c r="E48" s="399" t="s">
        <v>818</v>
      </c>
      <c r="F48" s="399"/>
      <c r="G48" s="400"/>
    </row>
    <row r="49" spans="1:7" x14ac:dyDescent="0.3">
      <c r="A49" s="20">
        <v>48</v>
      </c>
      <c r="B49" s="31" t="s">
        <v>819</v>
      </c>
      <c r="C49" s="37">
        <v>10558</v>
      </c>
      <c r="D49" s="26" t="s">
        <v>820</v>
      </c>
      <c r="E49" s="399" t="s">
        <v>818</v>
      </c>
      <c r="F49" s="399"/>
      <c r="G49" s="400"/>
    </row>
    <row r="50" spans="1:7" x14ac:dyDescent="0.3">
      <c r="A50" s="20">
        <v>49</v>
      </c>
      <c r="B50" s="31" t="s">
        <v>821</v>
      </c>
      <c r="C50" s="37">
        <v>10559</v>
      </c>
      <c r="D50" s="26" t="s">
        <v>822</v>
      </c>
      <c r="E50" s="399" t="s">
        <v>823</v>
      </c>
      <c r="F50" s="399"/>
      <c r="G50" s="400"/>
    </row>
    <row r="51" spans="1:7" x14ac:dyDescent="0.3">
      <c r="A51" s="20">
        <v>50</v>
      </c>
      <c r="B51" s="31" t="s">
        <v>824</v>
      </c>
      <c r="C51" s="37">
        <v>10560</v>
      </c>
      <c r="D51" s="26" t="s">
        <v>825</v>
      </c>
      <c r="E51" s="392" t="s">
        <v>63</v>
      </c>
      <c r="F51" s="393"/>
      <c r="G51" s="394"/>
    </row>
    <row r="52" spans="1:7" x14ac:dyDescent="0.3">
      <c r="A52" s="20">
        <v>51</v>
      </c>
      <c r="B52" s="31" t="s">
        <v>826</v>
      </c>
      <c r="C52" s="37">
        <v>10561</v>
      </c>
      <c r="D52" s="26" t="s">
        <v>827</v>
      </c>
      <c r="E52" s="392" t="s">
        <v>63</v>
      </c>
      <c r="F52" s="393"/>
      <c r="G52" s="394"/>
    </row>
    <row r="53" spans="1:7" x14ac:dyDescent="0.3">
      <c r="A53" s="20">
        <v>52</v>
      </c>
      <c r="B53" s="31" t="s">
        <v>828</v>
      </c>
      <c r="C53" s="37">
        <v>10562</v>
      </c>
      <c r="D53" s="26" t="s">
        <v>829</v>
      </c>
      <c r="E53" s="401" t="s">
        <v>720</v>
      </c>
      <c r="F53" s="402"/>
      <c r="G53" s="403"/>
    </row>
    <row r="54" spans="1:7" x14ac:dyDescent="0.3">
      <c r="A54" s="20">
        <v>53</v>
      </c>
      <c r="B54" s="31" t="s">
        <v>830</v>
      </c>
      <c r="C54" s="37">
        <v>10563</v>
      </c>
      <c r="D54" s="43" t="s">
        <v>831</v>
      </c>
      <c r="E54" s="392" t="s">
        <v>63</v>
      </c>
      <c r="F54" s="393"/>
      <c r="G54" s="394"/>
    </row>
    <row r="55" spans="1:7" x14ac:dyDescent="0.3">
      <c r="A55" s="20">
        <v>54</v>
      </c>
      <c r="B55" s="31" t="s">
        <v>832</v>
      </c>
      <c r="C55" s="37">
        <v>10564</v>
      </c>
      <c r="D55" s="43" t="s">
        <v>833</v>
      </c>
      <c r="E55" s="392" t="s">
        <v>823</v>
      </c>
      <c r="F55" s="393"/>
      <c r="G55" s="394"/>
    </row>
    <row r="56" spans="1:7" x14ac:dyDescent="0.3">
      <c r="A56" s="20">
        <v>55</v>
      </c>
      <c r="B56" s="31" t="s">
        <v>834</v>
      </c>
      <c r="C56" s="37">
        <v>10565</v>
      </c>
      <c r="D56" s="43" t="s">
        <v>835</v>
      </c>
      <c r="E56" s="392" t="s">
        <v>63</v>
      </c>
      <c r="F56" s="393"/>
      <c r="G56" s="394"/>
    </row>
    <row r="57" spans="1:7" x14ac:dyDescent="0.3">
      <c r="A57" s="53">
        <v>56</v>
      </c>
      <c r="B57" s="31" t="s">
        <v>836</v>
      </c>
      <c r="C57" s="37">
        <v>10566</v>
      </c>
      <c r="D57" s="43" t="s">
        <v>837</v>
      </c>
      <c r="E57" s="404" t="s">
        <v>818</v>
      </c>
      <c r="F57" s="404"/>
      <c r="G57" s="405"/>
    </row>
    <row r="58" spans="1:7" x14ac:dyDescent="0.3">
      <c r="A58" s="20">
        <v>57</v>
      </c>
      <c r="B58" s="31" t="s">
        <v>838</v>
      </c>
      <c r="C58" s="26">
        <v>10568</v>
      </c>
      <c r="D58" s="43" t="s">
        <v>839</v>
      </c>
      <c r="E58" s="392" t="s">
        <v>63</v>
      </c>
      <c r="F58" s="393"/>
      <c r="G58" s="394"/>
    </row>
    <row r="59" spans="1:7" x14ac:dyDescent="0.3">
      <c r="A59" s="20">
        <v>58</v>
      </c>
      <c r="B59" s="31" t="s">
        <v>840</v>
      </c>
      <c r="C59" s="26">
        <v>10569</v>
      </c>
      <c r="D59" s="43" t="s">
        <v>841</v>
      </c>
      <c r="E59" s="392" t="s">
        <v>63</v>
      </c>
      <c r="F59" s="393"/>
      <c r="G59" s="394"/>
    </row>
    <row r="60" spans="1:7" x14ac:dyDescent="0.3">
      <c r="A60" s="20">
        <v>59</v>
      </c>
      <c r="B60" s="31" t="s">
        <v>842</v>
      </c>
      <c r="C60" s="26">
        <v>10570</v>
      </c>
      <c r="D60" s="43" t="s">
        <v>843</v>
      </c>
      <c r="E60" s="392" t="s">
        <v>63</v>
      </c>
      <c r="F60" s="393"/>
      <c r="G60" s="394"/>
    </row>
    <row r="61" spans="1:7" x14ac:dyDescent="0.3">
      <c r="A61" s="20">
        <v>60</v>
      </c>
      <c r="B61" s="31" t="s">
        <v>844</v>
      </c>
      <c r="C61" s="26">
        <v>10571</v>
      </c>
      <c r="D61" s="43" t="s">
        <v>845</v>
      </c>
      <c r="E61" s="392" t="s">
        <v>823</v>
      </c>
      <c r="F61" s="393"/>
      <c r="G61" s="394"/>
    </row>
    <row r="62" spans="1:7" x14ac:dyDescent="0.3">
      <c r="A62" s="20">
        <v>61</v>
      </c>
      <c r="B62" s="31" t="s">
        <v>846</v>
      </c>
      <c r="C62" s="26">
        <v>10572</v>
      </c>
      <c r="D62" s="43" t="s">
        <v>847</v>
      </c>
      <c r="E62" s="417" t="s">
        <v>818</v>
      </c>
      <c r="F62" s="418"/>
      <c r="G62" s="424"/>
    </row>
    <row r="63" spans="1:7" x14ac:dyDescent="0.3">
      <c r="A63" s="20">
        <v>62</v>
      </c>
      <c r="B63" s="31" t="s">
        <v>811</v>
      </c>
      <c r="C63" s="26">
        <v>10573</v>
      </c>
      <c r="D63" s="43" t="s">
        <v>848</v>
      </c>
      <c r="E63" s="392" t="s">
        <v>849</v>
      </c>
      <c r="F63" s="393"/>
      <c r="G63" s="394"/>
    </row>
    <row r="64" spans="1:7" x14ac:dyDescent="0.3">
      <c r="A64" s="20">
        <v>63</v>
      </c>
      <c r="B64" s="31" t="s">
        <v>850</v>
      </c>
      <c r="C64" s="26">
        <v>10574</v>
      </c>
      <c r="D64" s="43" t="s">
        <v>851</v>
      </c>
      <c r="E64" s="417" t="s">
        <v>852</v>
      </c>
      <c r="F64" s="418"/>
      <c r="G64" s="424"/>
    </row>
    <row r="65" spans="1:7" x14ac:dyDescent="0.3">
      <c r="A65" s="20">
        <v>64</v>
      </c>
      <c r="B65" s="31" t="s">
        <v>853</v>
      </c>
      <c r="C65" s="26">
        <v>10575</v>
      </c>
      <c r="D65" s="43" t="s">
        <v>854</v>
      </c>
      <c r="E65" s="392" t="s">
        <v>63</v>
      </c>
      <c r="F65" s="393"/>
      <c r="G65" s="394"/>
    </row>
    <row r="66" spans="1:7" x14ac:dyDescent="0.3">
      <c r="A66" s="20">
        <v>65</v>
      </c>
      <c r="B66" s="31" t="s">
        <v>855</v>
      </c>
      <c r="C66" s="26">
        <v>10576</v>
      </c>
      <c r="D66" s="43" t="s">
        <v>856</v>
      </c>
      <c r="E66" s="417" t="s">
        <v>63</v>
      </c>
      <c r="F66" s="418"/>
      <c r="G66" s="424"/>
    </row>
    <row r="67" spans="1:7" x14ac:dyDescent="0.3">
      <c r="A67" s="20">
        <v>66</v>
      </c>
      <c r="B67" s="31" t="s">
        <v>857</v>
      </c>
      <c r="C67" s="26">
        <v>10577</v>
      </c>
      <c r="D67" s="43" t="s">
        <v>858</v>
      </c>
      <c r="E67" s="392" t="s">
        <v>63</v>
      </c>
      <c r="F67" s="393"/>
      <c r="G67" s="394"/>
    </row>
    <row r="68" spans="1:7" x14ac:dyDescent="0.3">
      <c r="A68" s="20">
        <v>67</v>
      </c>
      <c r="B68" s="31" t="s">
        <v>859</v>
      </c>
      <c r="C68" s="26">
        <v>10578</v>
      </c>
      <c r="D68" s="43" t="s">
        <v>860</v>
      </c>
      <c r="E68" s="417" t="s">
        <v>192</v>
      </c>
      <c r="F68" s="418"/>
      <c r="G68" s="424"/>
    </row>
    <row r="69" spans="1:7" x14ac:dyDescent="0.3">
      <c r="A69" s="20">
        <v>68</v>
      </c>
      <c r="B69" s="31" t="s">
        <v>861</v>
      </c>
      <c r="C69" s="26">
        <v>10579</v>
      </c>
      <c r="D69" s="43" t="s">
        <v>862</v>
      </c>
      <c r="E69" s="392" t="s">
        <v>63</v>
      </c>
      <c r="F69" s="393"/>
      <c r="G69" s="394"/>
    </row>
    <row r="70" spans="1:7" x14ac:dyDescent="0.3">
      <c r="A70" s="20">
        <v>69</v>
      </c>
      <c r="B70" s="31" t="s">
        <v>863</v>
      </c>
      <c r="C70" s="26">
        <v>10580</v>
      </c>
      <c r="D70" s="43" t="s">
        <v>864</v>
      </c>
      <c r="E70" s="392" t="s">
        <v>63</v>
      </c>
      <c r="F70" s="393"/>
      <c r="G70" s="394"/>
    </row>
    <row r="71" spans="1:7" x14ac:dyDescent="0.3">
      <c r="A71" s="20">
        <v>70</v>
      </c>
      <c r="B71" s="31" t="s">
        <v>865</v>
      </c>
      <c r="C71" s="26">
        <v>10581</v>
      </c>
      <c r="D71" s="43" t="s">
        <v>866</v>
      </c>
      <c r="E71" s="417" t="s">
        <v>63</v>
      </c>
      <c r="F71" s="418"/>
      <c r="G71" s="424"/>
    </row>
    <row r="72" spans="1:7" x14ac:dyDescent="0.3">
      <c r="A72" s="20">
        <v>71</v>
      </c>
      <c r="B72" s="31" t="s">
        <v>867</v>
      </c>
      <c r="C72" s="26">
        <v>10582</v>
      </c>
      <c r="D72" s="43" t="s">
        <v>868</v>
      </c>
      <c r="E72" s="392" t="s">
        <v>869</v>
      </c>
      <c r="F72" s="393"/>
      <c r="G72" s="394"/>
    </row>
    <row r="73" spans="1:7" x14ac:dyDescent="0.3">
      <c r="A73" s="20">
        <v>72</v>
      </c>
      <c r="B73" s="31" t="s">
        <v>870</v>
      </c>
      <c r="C73" s="26">
        <v>10583</v>
      </c>
      <c r="D73" s="43" t="s">
        <v>871</v>
      </c>
      <c r="E73" s="417" t="s">
        <v>872</v>
      </c>
      <c r="F73" s="418"/>
      <c r="G73" s="424"/>
    </row>
    <row r="74" spans="1:7" x14ac:dyDescent="0.3">
      <c r="A74" s="20">
        <v>73</v>
      </c>
      <c r="B74" s="31" t="s">
        <v>873</v>
      </c>
      <c r="C74" s="26">
        <v>10584</v>
      </c>
      <c r="D74" s="43" t="s">
        <v>874</v>
      </c>
      <c r="E74" s="392" t="s">
        <v>63</v>
      </c>
      <c r="F74" s="393"/>
      <c r="G74" s="394"/>
    </row>
    <row r="75" spans="1:7" x14ac:dyDescent="0.3">
      <c r="A75" s="20">
        <v>74</v>
      </c>
      <c r="B75" s="31" t="s">
        <v>875</v>
      </c>
      <c r="C75" s="26">
        <v>10585</v>
      </c>
      <c r="D75" s="43" t="s">
        <v>876</v>
      </c>
      <c r="E75" s="417" t="s">
        <v>63</v>
      </c>
      <c r="F75" s="418"/>
      <c r="G75" s="424"/>
    </row>
    <row r="76" spans="1:7" x14ac:dyDescent="0.3">
      <c r="A76" s="20">
        <v>75</v>
      </c>
      <c r="B76" s="31" t="s">
        <v>877</v>
      </c>
      <c r="C76" s="26">
        <v>10586</v>
      </c>
      <c r="D76" s="43" t="s">
        <v>878</v>
      </c>
      <c r="E76" s="392" t="s">
        <v>63</v>
      </c>
      <c r="F76" s="393"/>
      <c r="G76" s="394"/>
    </row>
    <row r="77" spans="1:7" x14ac:dyDescent="0.3">
      <c r="A77" s="20">
        <v>76</v>
      </c>
      <c r="B77" s="31" t="s">
        <v>879</v>
      </c>
      <c r="C77" s="26">
        <v>10587</v>
      </c>
      <c r="D77" s="43" t="s">
        <v>880</v>
      </c>
      <c r="E77" s="417" t="s">
        <v>63</v>
      </c>
      <c r="F77" s="418"/>
      <c r="G77" s="424"/>
    </row>
    <row r="78" spans="1:7" x14ac:dyDescent="0.3">
      <c r="A78" s="20">
        <v>77</v>
      </c>
      <c r="B78" s="31" t="s">
        <v>881</v>
      </c>
      <c r="C78" s="26">
        <v>10588</v>
      </c>
      <c r="D78" s="43" t="s">
        <v>882</v>
      </c>
      <c r="E78" s="417" t="s">
        <v>883</v>
      </c>
      <c r="F78" s="418"/>
      <c r="G78" s="424"/>
    </row>
    <row r="79" spans="1:7" x14ac:dyDescent="0.3">
      <c r="A79" s="20">
        <v>78</v>
      </c>
      <c r="B79" s="31" t="s">
        <v>884</v>
      </c>
      <c r="C79" s="26">
        <v>10589</v>
      </c>
      <c r="D79" s="43" t="s">
        <v>885</v>
      </c>
      <c r="E79" s="417" t="s">
        <v>63</v>
      </c>
      <c r="F79" s="418"/>
      <c r="G79" s="424"/>
    </row>
    <row r="80" spans="1:7" x14ac:dyDescent="0.3">
      <c r="A80" s="20">
        <v>79</v>
      </c>
      <c r="B80" s="31" t="s">
        <v>886</v>
      </c>
      <c r="C80" s="26">
        <v>10590</v>
      </c>
      <c r="D80" s="43" t="s">
        <v>887</v>
      </c>
      <c r="E80" s="417" t="s">
        <v>63</v>
      </c>
      <c r="F80" s="418"/>
      <c r="G80" s="424"/>
    </row>
    <row r="81" spans="1:7" x14ac:dyDescent="0.3">
      <c r="A81" s="20">
        <v>80</v>
      </c>
      <c r="B81" s="31" t="s">
        <v>888</v>
      </c>
      <c r="C81" s="26">
        <v>10591</v>
      </c>
      <c r="D81" s="43" t="s">
        <v>889</v>
      </c>
      <c r="E81" s="417" t="s">
        <v>63</v>
      </c>
      <c r="F81" s="418"/>
      <c r="G81" s="424"/>
    </row>
    <row r="82" spans="1:7" x14ac:dyDescent="0.3">
      <c r="A82" s="20">
        <v>81</v>
      </c>
      <c r="B82" s="31" t="s">
        <v>890</v>
      </c>
      <c r="C82" s="26">
        <v>10592</v>
      </c>
      <c r="D82" s="43" t="s">
        <v>891</v>
      </c>
      <c r="E82" s="417" t="s">
        <v>63</v>
      </c>
      <c r="F82" s="418"/>
      <c r="G82" s="424"/>
    </row>
    <row r="83" spans="1:7" x14ac:dyDescent="0.3">
      <c r="A83" s="20">
        <v>82</v>
      </c>
      <c r="B83" s="31" t="s">
        <v>892</v>
      </c>
      <c r="C83" s="26">
        <v>10593</v>
      </c>
      <c r="D83" s="43" t="s">
        <v>893</v>
      </c>
      <c r="E83" s="417" t="s">
        <v>63</v>
      </c>
      <c r="F83" s="418"/>
      <c r="G83" s="424"/>
    </row>
    <row r="84" spans="1:7" x14ac:dyDescent="0.3">
      <c r="A84" s="20">
        <v>83</v>
      </c>
      <c r="B84" s="31" t="s">
        <v>894</v>
      </c>
      <c r="C84" s="26">
        <v>10594</v>
      </c>
      <c r="D84" s="43" t="s">
        <v>895</v>
      </c>
      <c r="E84" s="417" t="s">
        <v>63</v>
      </c>
      <c r="F84" s="418"/>
      <c r="G84" s="424"/>
    </row>
    <row r="85" spans="1:7" x14ac:dyDescent="0.3">
      <c r="A85" s="20">
        <v>84</v>
      </c>
      <c r="B85" s="31" t="s">
        <v>896</v>
      </c>
      <c r="C85" s="26">
        <v>10595</v>
      </c>
      <c r="D85" s="43" t="s">
        <v>897</v>
      </c>
      <c r="E85" s="417" t="s">
        <v>898</v>
      </c>
      <c r="F85" s="418"/>
      <c r="G85" s="424"/>
    </row>
    <row r="86" spans="1:7" x14ac:dyDescent="0.3">
      <c r="A86" s="20">
        <v>85</v>
      </c>
      <c r="B86" s="31" t="s">
        <v>900</v>
      </c>
      <c r="C86" s="26">
        <v>10596</v>
      </c>
      <c r="D86" s="43" t="s">
        <v>899</v>
      </c>
      <c r="E86" s="417" t="s">
        <v>63</v>
      </c>
      <c r="F86" s="418"/>
      <c r="G86" s="424"/>
    </row>
    <row r="87" spans="1:7" x14ac:dyDescent="0.3">
      <c r="A87" s="20">
        <v>86</v>
      </c>
      <c r="B87" s="31" t="s">
        <v>901</v>
      </c>
      <c r="C87" s="26">
        <v>10597</v>
      </c>
      <c r="D87" s="43" t="s">
        <v>902</v>
      </c>
      <c r="E87" s="417" t="s">
        <v>63</v>
      </c>
      <c r="F87" s="418"/>
      <c r="G87" s="424"/>
    </row>
    <row r="88" spans="1:7" x14ac:dyDescent="0.3">
      <c r="A88" s="20">
        <v>87</v>
      </c>
      <c r="B88" s="31" t="s">
        <v>903</v>
      </c>
      <c r="C88" s="26">
        <v>10598</v>
      </c>
      <c r="D88" s="43" t="s">
        <v>904</v>
      </c>
      <c r="E88" s="417" t="s">
        <v>720</v>
      </c>
      <c r="F88" s="418"/>
      <c r="G88" s="424"/>
    </row>
    <row r="89" spans="1:7" x14ac:dyDescent="0.3">
      <c r="A89" s="20">
        <v>88</v>
      </c>
      <c r="B89" s="31" t="s">
        <v>905</v>
      </c>
      <c r="C89" s="26">
        <v>10599</v>
      </c>
      <c r="D89" s="43" t="s">
        <v>906</v>
      </c>
      <c r="E89" s="417" t="s">
        <v>869</v>
      </c>
      <c r="F89" s="418"/>
      <c r="G89" s="424"/>
    </row>
    <row r="90" spans="1:7" x14ac:dyDescent="0.3">
      <c r="A90" s="20">
        <v>89</v>
      </c>
      <c r="B90" s="31" t="s">
        <v>907</v>
      </c>
      <c r="C90" s="26">
        <v>10600</v>
      </c>
      <c r="D90" s="43" t="s">
        <v>908</v>
      </c>
      <c r="E90" s="417" t="s">
        <v>63</v>
      </c>
      <c r="F90" s="418"/>
      <c r="G90" s="424"/>
    </row>
    <row r="91" spans="1:7" x14ac:dyDescent="0.3">
      <c r="A91" s="20">
        <v>90</v>
      </c>
      <c r="B91" s="31" t="s">
        <v>909</v>
      </c>
      <c r="C91" s="26">
        <v>10601</v>
      </c>
      <c r="D91" s="43" t="s">
        <v>910</v>
      </c>
      <c r="E91" s="417" t="s">
        <v>192</v>
      </c>
      <c r="F91" s="418"/>
      <c r="G91" s="424"/>
    </row>
  </sheetData>
  <mergeCells count="91">
    <mergeCell ref="E88:G88"/>
    <mergeCell ref="E89:G89"/>
    <mergeCell ref="E90:G90"/>
    <mergeCell ref="E91:G91"/>
    <mergeCell ref="E83:G83"/>
    <mergeCell ref="E84:G84"/>
    <mergeCell ref="E85:G85"/>
    <mergeCell ref="E86:G86"/>
    <mergeCell ref="E87:G87"/>
    <mergeCell ref="E78:G78"/>
    <mergeCell ref="E79:G79"/>
    <mergeCell ref="E80:G80"/>
    <mergeCell ref="E81:G81"/>
    <mergeCell ref="E82:G82"/>
    <mergeCell ref="E12:G12"/>
    <mergeCell ref="E1:G1"/>
    <mergeCell ref="E2:G2"/>
    <mergeCell ref="E3:G3"/>
    <mergeCell ref="E4:G4"/>
    <mergeCell ref="E5:G5"/>
    <mergeCell ref="E6:G6"/>
    <mergeCell ref="E7:G7"/>
    <mergeCell ref="E8:G8"/>
    <mergeCell ref="E9:G9"/>
    <mergeCell ref="E10:G10"/>
    <mergeCell ref="E11:G11"/>
    <mergeCell ref="E23:G23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35:G35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47:G47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54:G54"/>
    <mergeCell ref="E55:G55"/>
    <mergeCell ref="E56:G56"/>
    <mergeCell ref="E57:G57"/>
    <mergeCell ref="E48:G48"/>
    <mergeCell ref="E49:G49"/>
    <mergeCell ref="E50:G50"/>
    <mergeCell ref="E51:G51"/>
    <mergeCell ref="E52:G52"/>
    <mergeCell ref="E53:G53"/>
    <mergeCell ref="E58:G58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76:G76"/>
    <mergeCell ref="E77:G77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7"/>
  <sheetViews>
    <sheetView topLeftCell="A73" workbookViewId="0">
      <selection activeCell="E115" sqref="E115"/>
    </sheetView>
  </sheetViews>
  <sheetFormatPr defaultRowHeight="16.5" x14ac:dyDescent="0.3"/>
  <cols>
    <col min="2" max="2" width="15.25" bestFit="1" customWidth="1"/>
    <col min="4" max="4" width="11" bestFit="1" customWidth="1"/>
    <col min="7" max="7" width="9.75" customWidth="1"/>
  </cols>
  <sheetData>
    <row r="1" spans="1:7" ht="17.25" thickBot="1" x14ac:dyDescent="0.35">
      <c r="A1" s="47"/>
      <c r="B1" s="45" t="s">
        <v>911</v>
      </c>
      <c r="C1" s="44" t="s">
        <v>1</v>
      </c>
      <c r="D1" s="44" t="s">
        <v>588</v>
      </c>
      <c r="E1" s="420" t="s">
        <v>3</v>
      </c>
      <c r="F1" s="420"/>
      <c r="G1" s="421"/>
    </row>
    <row r="2" spans="1:7" x14ac:dyDescent="0.3">
      <c r="A2" s="46">
        <v>1</v>
      </c>
      <c r="B2" s="39" t="s">
        <v>912</v>
      </c>
      <c r="C2" s="37">
        <v>10602</v>
      </c>
      <c r="D2" s="37" t="s">
        <v>913</v>
      </c>
      <c r="E2" s="410" t="s">
        <v>914</v>
      </c>
      <c r="F2" s="410"/>
      <c r="G2" s="411"/>
    </row>
    <row r="3" spans="1:7" x14ac:dyDescent="0.3">
      <c r="A3" s="20">
        <v>2</v>
      </c>
      <c r="B3" s="31" t="s">
        <v>915</v>
      </c>
      <c r="C3" s="37">
        <v>10603</v>
      </c>
      <c r="D3" s="26" t="s">
        <v>916</v>
      </c>
      <c r="E3" s="399" t="s">
        <v>914</v>
      </c>
      <c r="F3" s="399"/>
      <c r="G3" s="400"/>
    </row>
    <row r="4" spans="1:7" x14ac:dyDescent="0.3">
      <c r="A4" s="20">
        <v>3</v>
      </c>
      <c r="B4" s="31" t="s">
        <v>917</v>
      </c>
      <c r="C4" s="37">
        <v>10604</v>
      </c>
      <c r="D4" s="26" t="s">
        <v>918</v>
      </c>
      <c r="E4" s="399" t="s">
        <v>914</v>
      </c>
      <c r="F4" s="399"/>
      <c r="G4" s="400"/>
    </row>
    <row r="5" spans="1:7" x14ac:dyDescent="0.3">
      <c r="A5" s="20">
        <v>4</v>
      </c>
      <c r="B5" s="31" t="s">
        <v>919</v>
      </c>
      <c r="C5" s="37">
        <v>10605</v>
      </c>
      <c r="D5" s="26" t="s">
        <v>920</v>
      </c>
      <c r="E5" s="399" t="s">
        <v>921</v>
      </c>
      <c r="F5" s="399"/>
      <c r="G5" s="400"/>
    </row>
    <row r="6" spans="1:7" x14ac:dyDescent="0.3">
      <c r="A6" s="20">
        <v>5</v>
      </c>
      <c r="B6" s="31" t="s">
        <v>922</v>
      </c>
      <c r="C6" s="37">
        <v>10606</v>
      </c>
      <c r="D6" s="26" t="s">
        <v>923</v>
      </c>
      <c r="E6" s="399" t="s">
        <v>914</v>
      </c>
      <c r="F6" s="399"/>
      <c r="G6" s="400"/>
    </row>
    <row r="7" spans="1:7" x14ac:dyDescent="0.3">
      <c r="A7" s="20">
        <v>6</v>
      </c>
      <c r="B7" s="31" t="s">
        <v>925</v>
      </c>
      <c r="C7" s="37">
        <v>10607</v>
      </c>
      <c r="D7" s="26" t="s">
        <v>924</v>
      </c>
      <c r="E7" s="399" t="s">
        <v>914</v>
      </c>
      <c r="F7" s="399"/>
      <c r="G7" s="400"/>
    </row>
    <row r="8" spans="1:7" x14ac:dyDescent="0.3">
      <c r="A8" s="20">
        <v>7</v>
      </c>
      <c r="B8" s="31" t="s">
        <v>926</v>
      </c>
      <c r="C8" s="37">
        <v>10608</v>
      </c>
      <c r="D8" s="26" t="s">
        <v>927</v>
      </c>
      <c r="E8" s="399" t="s">
        <v>914</v>
      </c>
      <c r="F8" s="399"/>
      <c r="G8" s="400"/>
    </row>
    <row r="9" spans="1:7" x14ac:dyDescent="0.3">
      <c r="A9" s="20">
        <v>8</v>
      </c>
      <c r="B9" s="31" t="s">
        <v>928</v>
      </c>
      <c r="C9" s="37">
        <v>10609</v>
      </c>
      <c r="D9" s="26" t="s">
        <v>929</v>
      </c>
      <c r="E9" s="399" t="s">
        <v>914</v>
      </c>
      <c r="F9" s="399"/>
      <c r="G9" s="400"/>
    </row>
    <row r="10" spans="1:7" x14ac:dyDescent="0.3">
      <c r="A10" s="20">
        <v>9</v>
      </c>
      <c r="B10" s="31" t="s">
        <v>930</v>
      </c>
      <c r="C10" s="37">
        <v>10610</v>
      </c>
      <c r="D10" s="26" t="s">
        <v>931</v>
      </c>
      <c r="E10" s="399" t="s">
        <v>914</v>
      </c>
      <c r="F10" s="399"/>
      <c r="G10" s="400"/>
    </row>
    <row r="11" spans="1:7" x14ac:dyDescent="0.3">
      <c r="A11" s="20">
        <v>10</v>
      </c>
      <c r="B11" s="31" t="s">
        <v>932</v>
      </c>
      <c r="C11" s="37">
        <v>10611</v>
      </c>
      <c r="D11" s="26" t="s">
        <v>933</v>
      </c>
      <c r="E11" s="399" t="s">
        <v>914</v>
      </c>
      <c r="F11" s="399"/>
      <c r="G11" s="400"/>
    </row>
    <row r="12" spans="1:7" x14ac:dyDescent="0.3">
      <c r="A12" s="20">
        <v>11</v>
      </c>
      <c r="B12" s="31" t="s">
        <v>934</v>
      </c>
      <c r="C12" s="37">
        <v>10612</v>
      </c>
      <c r="D12" s="26" t="s">
        <v>935</v>
      </c>
      <c r="E12" s="399" t="s">
        <v>936</v>
      </c>
      <c r="F12" s="399"/>
      <c r="G12" s="400"/>
    </row>
    <row r="13" spans="1:7" x14ac:dyDescent="0.3">
      <c r="A13" s="20">
        <v>12</v>
      </c>
      <c r="B13" s="31" t="s">
        <v>937</v>
      </c>
      <c r="C13" s="37">
        <v>10613</v>
      </c>
      <c r="D13" s="26" t="s">
        <v>938</v>
      </c>
      <c r="E13" s="399" t="s">
        <v>914</v>
      </c>
      <c r="F13" s="399"/>
      <c r="G13" s="400"/>
    </row>
    <row r="14" spans="1:7" x14ac:dyDescent="0.3">
      <c r="A14" s="20">
        <v>13</v>
      </c>
      <c r="B14" s="31" t="s">
        <v>939</v>
      </c>
      <c r="C14" s="37">
        <v>10614</v>
      </c>
      <c r="D14" s="26" t="s">
        <v>940</v>
      </c>
      <c r="E14" s="399" t="s">
        <v>914</v>
      </c>
      <c r="F14" s="399"/>
      <c r="G14" s="400"/>
    </row>
    <row r="15" spans="1:7" x14ac:dyDescent="0.3">
      <c r="A15" s="20">
        <v>14</v>
      </c>
      <c r="B15" s="31" t="s">
        <v>941</v>
      </c>
      <c r="C15" s="37">
        <v>10615</v>
      </c>
      <c r="D15" s="26" t="s">
        <v>942</v>
      </c>
      <c r="E15" s="399" t="s">
        <v>936</v>
      </c>
      <c r="F15" s="399"/>
      <c r="G15" s="400"/>
    </row>
    <row r="16" spans="1:7" x14ac:dyDescent="0.3">
      <c r="A16" s="20">
        <v>15</v>
      </c>
      <c r="B16" s="31" t="s">
        <v>943</v>
      </c>
      <c r="C16" s="37">
        <v>10616</v>
      </c>
      <c r="D16" s="26" t="s">
        <v>944</v>
      </c>
      <c r="E16" s="399" t="s">
        <v>914</v>
      </c>
      <c r="F16" s="399"/>
      <c r="G16" s="400"/>
    </row>
    <row r="17" spans="1:7" x14ac:dyDescent="0.3">
      <c r="A17" s="20">
        <v>16</v>
      </c>
      <c r="B17" s="31" t="s">
        <v>945</v>
      </c>
      <c r="C17" s="37">
        <v>10617</v>
      </c>
      <c r="D17" s="26" t="s">
        <v>946</v>
      </c>
      <c r="E17" s="399" t="s">
        <v>914</v>
      </c>
      <c r="F17" s="399"/>
      <c r="G17" s="400"/>
    </row>
    <row r="18" spans="1:7" x14ac:dyDescent="0.3">
      <c r="A18" s="20">
        <v>17</v>
      </c>
      <c r="B18" s="31" t="s">
        <v>947</v>
      </c>
      <c r="C18" s="37">
        <v>10618</v>
      </c>
      <c r="D18" s="26" t="s">
        <v>948</v>
      </c>
      <c r="E18" s="399" t="s">
        <v>914</v>
      </c>
      <c r="F18" s="399"/>
      <c r="G18" s="400"/>
    </row>
    <row r="19" spans="1:7" x14ac:dyDescent="0.3">
      <c r="A19" s="20">
        <v>18</v>
      </c>
      <c r="B19" s="31" t="s">
        <v>949</v>
      </c>
      <c r="C19" s="37">
        <v>10619</v>
      </c>
      <c r="D19" s="26" t="s">
        <v>950</v>
      </c>
      <c r="E19" s="399" t="s">
        <v>914</v>
      </c>
      <c r="F19" s="399"/>
      <c r="G19" s="400"/>
    </row>
    <row r="20" spans="1:7" x14ac:dyDescent="0.3">
      <c r="A20" s="20">
        <v>19</v>
      </c>
      <c r="B20" s="31" t="s">
        <v>951</v>
      </c>
      <c r="C20" s="37">
        <v>10620</v>
      </c>
      <c r="D20" s="26" t="s">
        <v>952</v>
      </c>
      <c r="E20" s="399" t="s">
        <v>914</v>
      </c>
      <c r="F20" s="399"/>
      <c r="G20" s="400"/>
    </row>
    <row r="21" spans="1:7" x14ac:dyDescent="0.3">
      <c r="A21" s="20">
        <v>20</v>
      </c>
      <c r="B21" s="31" t="s">
        <v>913</v>
      </c>
      <c r="C21" s="37">
        <v>10621</v>
      </c>
      <c r="D21" s="26" t="s">
        <v>953</v>
      </c>
      <c r="E21" s="399" t="s">
        <v>954</v>
      </c>
      <c r="F21" s="399"/>
      <c r="G21" s="400"/>
    </row>
    <row r="22" spans="1:7" x14ac:dyDescent="0.3">
      <c r="A22" s="20">
        <v>21</v>
      </c>
      <c r="B22" s="31" t="s">
        <v>955</v>
      </c>
      <c r="C22" s="37">
        <v>10622</v>
      </c>
      <c r="D22" s="26" t="s">
        <v>956</v>
      </c>
      <c r="E22" s="399" t="s">
        <v>914</v>
      </c>
      <c r="F22" s="399"/>
      <c r="G22" s="400"/>
    </row>
    <row r="23" spans="1:7" x14ac:dyDescent="0.3">
      <c r="A23" s="20">
        <v>22</v>
      </c>
      <c r="B23" s="31" t="s">
        <v>957</v>
      </c>
      <c r="C23" s="37">
        <v>10623</v>
      </c>
      <c r="D23" s="26" t="s">
        <v>958</v>
      </c>
      <c r="E23" s="399" t="s">
        <v>914</v>
      </c>
      <c r="F23" s="399"/>
      <c r="G23" s="400"/>
    </row>
    <row r="24" spans="1:7" x14ac:dyDescent="0.3">
      <c r="A24" s="20">
        <v>23</v>
      </c>
      <c r="B24" s="31" t="s">
        <v>959</v>
      </c>
      <c r="C24" s="37">
        <v>10624</v>
      </c>
      <c r="D24" s="26" t="s">
        <v>960</v>
      </c>
      <c r="E24" s="399" t="s">
        <v>961</v>
      </c>
      <c r="F24" s="399"/>
      <c r="G24" s="400"/>
    </row>
    <row r="25" spans="1:7" x14ac:dyDescent="0.3">
      <c r="A25" s="20">
        <v>24</v>
      </c>
      <c r="B25" s="31" t="s">
        <v>962</v>
      </c>
      <c r="C25" s="37">
        <v>10625</v>
      </c>
      <c r="D25" s="26" t="s">
        <v>963</v>
      </c>
      <c r="E25" s="399" t="s">
        <v>954</v>
      </c>
      <c r="F25" s="399"/>
      <c r="G25" s="400"/>
    </row>
    <row r="26" spans="1:7" x14ac:dyDescent="0.3">
      <c r="A26" s="20">
        <v>25</v>
      </c>
      <c r="B26" s="31" t="s">
        <v>943</v>
      </c>
      <c r="C26" s="37">
        <v>10626</v>
      </c>
      <c r="D26" s="26" t="s">
        <v>964</v>
      </c>
      <c r="E26" s="399" t="s">
        <v>914</v>
      </c>
      <c r="F26" s="399"/>
      <c r="G26" s="400"/>
    </row>
    <row r="27" spans="1:7" x14ac:dyDescent="0.3">
      <c r="A27" s="20">
        <v>26</v>
      </c>
      <c r="B27" s="31" t="s">
        <v>965</v>
      </c>
      <c r="C27" s="37">
        <v>10627</v>
      </c>
      <c r="D27" s="26" t="s">
        <v>966</v>
      </c>
      <c r="E27" s="399" t="s">
        <v>914</v>
      </c>
      <c r="F27" s="399"/>
      <c r="G27" s="400"/>
    </row>
    <row r="28" spans="1:7" x14ac:dyDescent="0.3">
      <c r="A28" s="20">
        <v>27</v>
      </c>
      <c r="B28" s="31" t="s">
        <v>967</v>
      </c>
      <c r="C28" s="37">
        <v>10628</v>
      </c>
      <c r="D28" s="26" t="s">
        <v>968</v>
      </c>
      <c r="E28" s="399" t="s">
        <v>969</v>
      </c>
      <c r="F28" s="399"/>
      <c r="G28" s="400"/>
    </row>
    <row r="29" spans="1:7" x14ac:dyDescent="0.3">
      <c r="A29" s="20">
        <v>28</v>
      </c>
      <c r="B29" s="31" t="s">
        <v>970</v>
      </c>
      <c r="C29" s="37">
        <v>10629</v>
      </c>
      <c r="D29" s="26" t="s">
        <v>971</v>
      </c>
      <c r="E29" s="399" t="s">
        <v>914</v>
      </c>
      <c r="F29" s="399"/>
      <c r="G29" s="400"/>
    </row>
    <row r="30" spans="1:7" x14ac:dyDescent="0.3">
      <c r="A30" s="20">
        <v>29</v>
      </c>
      <c r="B30" s="31" t="s">
        <v>972</v>
      </c>
      <c r="C30" s="37">
        <v>10630</v>
      </c>
      <c r="D30" s="26" t="s">
        <v>973</v>
      </c>
      <c r="E30" s="399" t="s">
        <v>969</v>
      </c>
      <c r="F30" s="399"/>
      <c r="G30" s="400"/>
    </row>
    <row r="31" spans="1:7" x14ac:dyDescent="0.3">
      <c r="A31" s="20">
        <v>30</v>
      </c>
      <c r="B31" s="31" t="s">
        <v>974</v>
      </c>
      <c r="C31" s="37">
        <v>10631</v>
      </c>
      <c r="D31" s="26" t="s">
        <v>975</v>
      </c>
      <c r="E31" s="399" t="s">
        <v>914</v>
      </c>
      <c r="F31" s="399"/>
      <c r="G31" s="400"/>
    </row>
    <row r="32" spans="1:7" x14ac:dyDescent="0.3">
      <c r="A32" s="20">
        <v>31</v>
      </c>
      <c r="B32" s="31" t="s">
        <v>976</v>
      </c>
      <c r="C32" s="37">
        <v>10632</v>
      </c>
      <c r="D32" s="26" t="s">
        <v>977</v>
      </c>
      <c r="E32" s="399" t="s">
        <v>969</v>
      </c>
      <c r="F32" s="399"/>
      <c r="G32" s="400"/>
    </row>
    <row r="33" spans="1:7" x14ac:dyDescent="0.3">
      <c r="A33" s="20">
        <v>32</v>
      </c>
      <c r="B33" s="31" t="s">
        <v>978</v>
      </c>
      <c r="C33" s="37">
        <v>10633</v>
      </c>
      <c r="D33" s="26" t="s">
        <v>979</v>
      </c>
      <c r="E33" s="399" t="s">
        <v>914</v>
      </c>
      <c r="F33" s="399"/>
      <c r="G33" s="400"/>
    </row>
    <row r="34" spans="1:7" x14ac:dyDescent="0.3">
      <c r="A34" s="20">
        <v>33</v>
      </c>
      <c r="B34" s="31" t="s">
        <v>980</v>
      </c>
      <c r="C34" s="37">
        <v>10634</v>
      </c>
      <c r="D34" s="26" t="s">
        <v>981</v>
      </c>
      <c r="E34" s="399" t="s">
        <v>936</v>
      </c>
      <c r="F34" s="399"/>
      <c r="G34" s="400"/>
    </row>
    <row r="35" spans="1:7" x14ac:dyDescent="0.3">
      <c r="A35" s="20">
        <v>34</v>
      </c>
      <c r="B35" s="31" t="s">
        <v>982</v>
      </c>
      <c r="C35" s="37">
        <v>10635</v>
      </c>
      <c r="D35" s="26" t="s">
        <v>983</v>
      </c>
      <c r="E35" s="399" t="s">
        <v>969</v>
      </c>
      <c r="F35" s="399"/>
      <c r="G35" s="400"/>
    </row>
    <row r="36" spans="1:7" x14ac:dyDescent="0.3">
      <c r="A36" s="20">
        <v>35</v>
      </c>
      <c r="B36" s="31" t="s">
        <v>984</v>
      </c>
      <c r="C36" s="37">
        <v>10636</v>
      </c>
      <c r="D36" s="26" t="s">
        <v>985</v>
      </c>
      <c r="E36" s="399" t="s">
        <v>936</v>
      </c>
      <c r="F36" s="399"/>
      <c r="G36" s="400"/>
    </row>
    <row r="37" spans="1:7" x14ac:dyDescent="0.3">
      <c r="A37" s="20">
        <v>36</v>
      </c>
      <c r="B37" s="31" t="s">
        <v>986</v>
      </c>
      <c r="C37" s="37">
        <v>10637</v>
      </c>
      <c r="D37" s="26" t="s">
        <v>987</v>
      </c>
      <c r="E37" s="399" t="s">
        <v>988</v>
      </c>
      <c r="F37" s="399"/>
      <c r="G37" s="400"/>
    </row>
    <row r="38" spans="1:7" x14ac:dyDescent="0.3">
      <c r="A38" s="20">
        <v>37</v>
      </c>
      <c r="B38" s="31" t="s">
        <v>989</v>
      </c>
      <c r="C38" s="37">
        <v>10638</v>
      </c>
      <c r="D38" s="26" t="s">
        <v>990</v>
      </c>
      <c r="E38" s="399" t="s">
        <v>914</v>
      </c>
      <c r="F38" s="399"/>
      <c r="G38" s="400"/>
    </row>
    <row r="39" spans="1:7" x14ac:dyDescent="0.3">
      <c r="A39" s="20">
        <v>38</v>
      </c>
      <c r="B39" s="31" t="s">
        <v>991</v>
      </c>
      <c r="C39" s="37">
        <v>10639</v>
      </c>
      <c r="D39" s="26" t="s">
        <v>992</v>
      </c>
      <c r="E39" s="399" t="s">
        <v>993</v>
      </c>
      <c r="F39" s="399"/>
      <c r="G39" s="400"/>
    </row>
    <row r="40" spans="1:7" x14ac:dyDescent="0.3">
      <c r="A40" s="20">
        <v>39</v>
      </c>
      <c r="B40" s="31" t="s">
        <v>994</v>
      </c>
      <c r="C40" s="37">
        <v>10640</v>
      </c>
      <c r="D40" s="26" t="s">
        <v>995</v>
      </c>
      <c r="E40" s="399" t="s">
        <v>914</v>
      </c>
      <c r="F40" s="399"/>
      <c r="G40" s="400"/>
    </row>
    <row r="41" spans="1:7" x14ac:dyDescent="0.3">
      <c r="A41" s="20">
        <v>40</v>
      </c>
      <c r="B41" s="31" t="s">
        <v>996</v>
      </c>
      <c r="C41" s="37">
        <v>10641</v>
      </c>
      <c r="D41" s="52" t="s">
        <v>997</v>
      </c>
      <c r="E41" s="425" t="s">
        <v>969</v>
      </c>
      <c r="F41" s="425"/>
      <c r="G41" s="426"/>
    </row>
    <row r="42" spans="1:7" x14ac:dyDescent="0.3">
      <c r="A42" s="20"/>
      <c r="B42" s="31" t="s">
        <v>1015</v>
      </c>
      <c r="C42" s="37">
        <v>10642</v>
      </c>
      <c r="D42" s="52" t="s">
        <v>1016</v>
      </c>
      <c r="E42" s="427" t="s">
        <v>914</v>
      </c>
      <c r="F42" s="428"/>
      <c r="G42" s="429"/>
    </row>
    <row r="43" spans="1:7" x14ac:dyDescent="0.3">
      <c r="A43" s="20">
        <v>41</v>
      </c>
      <c r="B43" s="31" t="s">
        <v>998</v>
      </c>
      <c r="C43" s="37">
        <v>10643</v>
      </c>
      <c r="D43" s="26" t="s">
        <v>999</v>
      </c>
      <c r="E43" s="399" t="s">
        <v>914</v>
      </c>
      <c r="F43" s="399"/>
      <c r="G43" s="400"/>
    </row>
    <row r="44" spans="1:7" x14ac:dyDescent="0.3">
      <c r="A44" s="20">
        <v>42</v>
      </c>
      <c r="B44" s="31" t="s">
        <v>1000</v>
      </c>
      <c r="C44" s="37">
        <v>10644</v>
      </c>
      <c r="D44" s="26" t="s">
        <v>1001</v>
      </c>
      <c r="E44" s="399" t="s">
        <v>914</v>
      </c>
      <c r="F44" s="399"/>
      <c r="G44" s="400"/>
    </row>
    <row r="45" spans="1:7" x14ac:dyDescent="0.3">
      <c r="A45" s="20">
        <v>43</v>
      </c>
      <c r="B45" s="31" t="s">
        <v>1002</v>
      </c>
      <c r="C45" s="37">
        <v>10645</v>
      </c>
      <c r="D45" s="26" t="s">
        <v>1003</v>
      </c>
      <c r="E45" s="399" t="s">
        <v>914</v>
      </c>
      <c r="F45" s="399"/>
      <c r="G45" s="400"/>
    </row>
    <row r="46" spans="1:7" x14ac:dyDescent="0.3">
      <c r="A46" s="20">
        <v>44</v>
      </c>
      <c r="B46" s="31" t="s">
        <v>1004</v>
      </c>
      <c r="C46" s="37">
        <v>10646</v>
      </c>
      <c r="D46" s="26" t="s">
        <v>1005</v>
      </c>
      <c r="E46" s="399" t="s">
        <v>936</v>
      </c>
      <c r="F46" s="399"/>
      <c r="G46" s="400"/>
    </row>
    <row r="47" spans="1:7" x14ac:dyDescent="0.3">
      <c r="A47" s="20">
        <v>45</v>
      </c>
      <c r="B47" s="31" t="s">
        <v>1006</v>
      </c>
      <c r="C47" s="37">
        <v>10647</v>
      </c>
      <c r="D47" s="26" t="s">
        <v>1007</v>
      </c>
      <c r="E47" s="399" t="s">
        <v>914</v>
      </c>
      <c r="F47" s="399"/>
      <c r="G47" s="400"/>
    </row>
    <row r="48" spans="1:7" x14ac:dyDescent="0.3">
      <c r="A48" s="20">
        <v>46</v>
      </c>
      <c r="B48" s="31" t="s">
        <v>1008</v>
      </c>
      <c r="C48" s="37">
        <v>10648</v>
      </c>
      <c r="D48" s="26" t="s">
        <v>1009</v>
      </c>
      <c r="E48" s="399" t="s">
        <v>1010</v>
      </c>
      <c r="F48" s="399"/>
      <c r="G48" s="400"/>
    </row>
    <row r="49" spans="1:7" x14ac:dyDescent="0.3">
      <c r="A49" s="20">
        <v>47</v>
      </c>
      <c r="B49" s="31" t="s">
        <v>1011</v>
      </c>
      <c r="C49" s="37">
        <v>10649</v>
      </c>
      <c r="D49" s="26" t="s">
        <v>1012</v>
      </c>
      <c r="E49" s="399" t="s">
        <v>914</v>
      </c>
      <c r="F49" s="399"/>
      <c r="G49" s="400"/>
    </row>
    <row r="50" spans="1:7" x14ac:dyDescent="0.3">
      <c r="A50" s="20">
        <v>48</v>
      </c>
      <c r="B50" s="31" t="s">
        <v>1013</v>
      </c>
      <c r="C50" s="37">
        <v>10650</v>
      </c>
      <c r="D50" s="26" t="s">
        <v>1014</v>
      </c>
      <c r="E50" s="399" t="s">
        <v>914</v>
      </c>
      <c r="F50" s="399"/>
      <c r="G50" s="400"/>
    </row>
    <row r="51" spans="1:7" x14ac:dyDescent="0.3">
      <c r="A51" s="20">
        <v>49</v>
      </c>
      <c r="B51" s="31" t="s">
        <v>1017</v>
      </c>
      <c r="C51" s="37">
        <v>10651</v>
      </c>
      <c r="D51" s="26" t="s">
        <v>1018</v>
      </c>
      <c r="E51" s="399" t="s">
        <v>1019</v>
      </c>
      <c r="F51" s="399"/>
      <c r="G51" s="400"/>
    </row>
    <row r="52" spans="1:7" x14ac:dyDescent="0.3">
      <c r="A52" s="20">
        <v>50</v>
      </c>
      <c r="B52" s="31" t="s">
        <v>1020</v>
      </c>
      <c r="C52" s="37">
        <v>10652</v>
      </c>
      <c r="D52" s="26" t="s">
        <v>1021</v>
      </c>
      <c r="E52" s="392" t="s">
        <v>63</v>
      </c>
      <c r="F52" s="393"/>
      <c r="G52" s="394"/>
    </row>
    <row r="53" spans="1:7" x14ac:dyDescent="0.3">
      <c r="A53" s="20">
        <v>51</v>
      </c>
      <c r="B53" s="31" t="s">
        <v>1023</v>
      </c>
      <c r="C53" s="37">
        <v>10653</v>
      </c>
      <c r="D53" s="26" t="s">
        <v>1022</v>
      </c>
      <c r="E53" s="392" t="s">
        <v>1024</v>
      </c>
      <c r="F53" s="393"/>
      <c r="G53" s="394"/>
    </row>
    <row r="54" spans="1:7" x14ac:dyDescent="0.3">
      <c r="A54" s="20">
        <v>52</v>
      </c>
      <c r="B54" s="31" t="s">
        <v>1025</v>
      </c>
      <c r="C54" s="37">
        <v>10654</v>
      </c>
      <c r="D54" s="26" t="s">
        <v>1026</v>
      </c>
      <c r="E54" s="401" t="s">
        <v>1027</v>
      </c>
      <c r="F54" s="402"/>
      <c r="G54" s="403"/>
    </row>
    <row r="55" spans="1:7" x14ac:dyDescent="0.3">
      <c r="A55" s="20">
        <v>53</v>
      </c>
      <c r="B55" s="31" t="s">
        <v>1028</v>
      </c>
      <c r="C55" s="37">
        <v>10655</v>
      </c>
      <c r="D55" s="43" t="s">
        <v>1029</v>
      </c>
      <c r="E55" s="392" t="s">
        <v>1030</v>
      </c>
      <c r="F55" s="393"/>
      <c r="G55" s="394"/>
    </row>
    <row r="56" spans="1:7" x14ac:dyDescent="0.3">
      <c r="A56" s="20">
        <v>54</v>
      </c>
      <c r="B56" s="31" t="s">
        <v>1031</v>
      </c>
      <c r="C56" s="37">
        <v>10656</v>
      </c>
      <c r="D56" s="43" t="s">
        <v>1032</v>
      </c>
      <c r="E56" s="392" t="s">
        <v>63</v>
      </c>
      <c r="F56" s="393"/>
      <c r="G56" s="394"/>
    </row>
    <row r="57" spans="1:7" x14ac:dyDescent="0.3">
      <c r="A57" s="20">
        <v>55</v>
      </c>
      <c r="B57" s="31" t="s">
        <v>1033</v>
      </c>
      <c r="C57" s="37">
        <v>10657</v>
      </c>
      <c r="D57" s="43" t="s">
        <v>1034</v>
      </c>
      <c r="E57" s="392" t="s">
        <v>63</v>
      </c>
      <c r="F57" s="393"/>
      <c r="G57" s="394"/>
    </row>
    <row r="58" spans="1:7" x14ac:dyDescent="0.3">
      <c r="A58" s="53">
        <v>56</v>
      </c>
      <c r="B58" s="31" t="s">
        <v>1035</v>
      </c>
      <c r="C58" s="37">
        <v>10658</v>
      </c>
      <c r="D58" s="43" t="s">
        <v>1036</v>
      </c>
      <c r="E58" s="404" t="s">
        <v>1037</v>
      </c>
      <c r="F58" s="404"/>
      <c r="G58" s="405"/>
    </row>
    <row r="59" spans="1:7" x14ac:dyDescent="0.3">
      <c r="A59" s="20">
        <v>57</v>
      </c>
      <c r="B59" s="31" t="s">
        <v>1038</v>
      </c>
      <c r="C59" s="37">
        <v>10659</v>
      </c>
      <c r="D59" s="43" t="s">
        <v>1039</v>
      </c>
      <c r="E59" s="392" t="s">
        <v>63</v>
      </c>
      <c r="F59" s="393"/>
      <c r="G59" s="394"/>
    </row>
    <row r="60" spans="1:7" x14ac:dyDescent="0.3">
      <c r="A60" s="20">
        <v>58</v>
      </c>
      <c r="B60" s="31" t="s">
        <v>1040</v>
      </c>
      <c r="C60" s="37">
        <v>10660</v>
      </c>
      <c r="D60" s="43" t="s">
        <v>1041</v>
      </c>
      <c r="E60" s="392" t="s">
        <v>63</v>
      </c>
      <c r="F60" s="393"/>
      <c r="G60" s="394"/>
    </row>
    <row r="61" spans="1:7" x14ac:dyDescent="0.3">
      <c r="A61" s="20">
        <v>59</v>
      </c>
      <c r="B61" s="31" t="s">
        <v>1042</v>
      </c>
      <c r="C61" s="37">
        <v>10661</v>
      </c>
      <c r="D61" s="43" t="s">
        <v>1043</v>
      </c>
      <c r="E61" s="392" t="s">
        <v>63</v>
      </c>
      <c r="F61" s="393"/>
      <c r="G61" s="394"/>
    </row>
    <row r="62" spans="1:7" x14ac:dyDescent="0.3">
      <c r="A62" s="20">
        <v>60</v>
      </c>
      <c r="B62" s="31" t="s">
        <v>1044</v>
      </c>
      <c r="C62" s="37">
        <v>10662</v>
      </c>
      <c r="D62" s="43" t="s">
        <v>1045</v>
      </c>
      <c r="E62" s="392" t="s">
        <v>63</v>
      </c>
      <c r="F62" s="393"/>
      <c r="G62" s="394"/>
    </row>
    <row r="63" spans="1:7" x14ac:dyDescent="0.3">
      <c r="A63" s="20">
        <v>61</v>
      </c>
      <c r="B63" s="31" t="s">
        <v>1046</v>
      </c>
      <c r="C63" s="37">
        <v>10663</v>
      </c>
      <c r="D63" s="43" t="s">
        <v>1047</v>
      </c>
      <c r="E63" s="417" t="s">
        <v>1024</v>
      </c>
      <c r="F63" s="418"/>
      <c r="G63" s="424"/>
    </row>
    <row r="64" spans="1:7" x14ac:dyDescent="0.3">
      <c r="A64" s="20">
        <v>62</v>
      </c>
      <c r="B64" s="31" t="s">
        <v>1048</v>
      </c>
      <c r="C64" s="37">
        <v>10664</v>
      </c>
      <c r="D64" s="43" t="s">
        <v>1049</v>
      </c>
      <c r="E64" s="392" t="s">
        <v>1027</v>
      </c>
      <c r="F64" s="393"/>
      <c r="G64" s="394"/>
    </row>
    <row r="65" spans="1:7" x14ac:dyDescent="0.3">
      <c r="A65" s="20">
        <v>63</v>
      </c>
      <c r="B65" s="31" t="s">
        <v>1050</v>
      </c>
      <c r="C65" s="37">
        <v>10665</v>
      </c>
      <c r="D65" s="43" t="s">
        <v>1051</v>
      </c>
      <c r="E65" s="417" t="s">
        <v>63</v>
      </c>
      <c r="F65" s="418"/>
      <c r="G65" s="424"/>
    </row>
    <row r="66" spans="1:7" x14ac:dyDescent="0.3">
      <c r="A66" s="20">
        <v>64</v>
      </c>
      <c r="B66" s="31" t="s">
        <v>1052</v>
      </c>
      <c r="C66" s="37">
        <v>10666</v>
      </c>
      <c r="D66" s="43" t="s">
        <v>1053</v>
      </c>
      <c r="E66" s="392" t="s">
        <v>63</v>
      </c>
      <c r="F66" s="393"/>
      <c r="G66" s="394"/>
    </row>
    <row r="67" spans="1:7" x14ac:dyDescent="0.3">
      <c r="A67" s="20">
        <v>65</v>
      </c>
      <c r="B67" s="31" t="s">
        <v>1054</v>
      </c>
      <c r="C67" s="37">
        <v>10667</v>
      </c>
      <c r="D67" s="43" t="s">
        <v>1055</v>
      </c>
      <c r="E67" s="417" t="s">
        <v>63</v>
      </c>
      <c r="F67" s="418"/>
      <c r="G67" s="424"/>
    </row>
    <row r="68" spans="1:7" x14ac:dyDescent="0.3">
      <c r="A68" s="20">
        <v>66</v>
      </c>
      <c r="B68" s="31" t="s">
        <v>1056</v>
      </c>
      <c r="C68" s="37">
        <v>10668</v>
      </c>
      <c r="D68" s="43" t="s">
        <v>1057</v>
      </c>
      <c r="E68" s="392" t="s">
        <v>1058</v>
      </c>
      <c r="F68" s="393"/>
      <c r="G68" s="394"/>
    </row>
    <row r="69" spans="1:7" x14ac:dyDescent="0.3">
      <c r="A69" s="20">
        <v>67</v>
      </c>
      <c r="B69" s="31" t="s">
        <v>1059</v>
      </c>
      <c r="C69" s="37">
        <v>10669</v>
      </c>
      <c r="D69" s="43" t="s">
        <v>1060</v>
      </c>
      <c r="E69" s="417" t="s">
        <v>63</v>
      </c>
      <c r="F69" s="418"/>
      <c r="G69" s="424"/>
    </row>
    <row r="70" spans="1:7" x14ac:dyDescent="0.3">
      <c r="A70" s="20">
        <v>68</v>
      </c>
      <c r="B70" s="31" t="s">
        <v>1061</v>
      </c>
      <c r="C70" s="37">
        <v>10670</v>
      </c>
      <c r="D70" s="43" t="s">
        <v>1062</v>
      </c>
      <c r="E70" s="392" t="s">
        <v>63</v>
      </c>
      <c r="F70" s="393"/>
      <c r="G70" s="394"/>
    </row>
    <row r="71" spans="1:7" x14ac:dyDescent="0.3">
      <c r="A71" s="20">
        <v>69</v>
      </c>
      <c r="B71" s="31" t="s">
        <v>1063</v>
      </c>
      <c r="C71" s="37">
        <v>10671</v>
      </c>
      <c r="D71" s="43" t="s">
        <v>1064</v>
      </c>
      <c r="E71" s="392" t="s">
        <v>63</v>
      </c>
      <c r="F71" s="393"/>
      <c r="G71" s="394"/>
    </row>
    <row r="72" spans="1:7" x14ac:dyDescent="0.3">
      <c r="A72" s="20">
        <v>70</v>
      </c>
      <c r="B72" s="31" t="s">
        <v>1065</v>
      </c>
      <c r="C72" s="37">
        <v>10672</v>
      </c>
      <c r="D72" s="43" t="s">
        <v>1066</v>
      </c>
      <c r="E72" s="417" t="s">
        <v>63</v>
      </c>
      <c r="F72" s="418"/>
      <c r="G72" s="424"/>
    </row>
    <row r="73" spans="1:7" x14ac:dyDescent="0.3">
      <c r="A73" s="20">
        <v>71</v>
      </c>
      <c r="B73" s="31" t="s">
        <v>1067</v>
      </c>
      <c r="C73" s="37">
        <v>10673</v>
      </c>
      <c r="D73" s="43" t="s">
        <v>1068</v>
      </c>
      <c r="E73" s="392" t="s">
        <v>63</v>
      </c>
      <c r="F73" s="393"/>
      <c r="G73" s="394"/>
    </row>
    <row r="74" spans="1:7" x14ac:dyDescent="0.3">
      <c r="A74" s="20">
        <v>72</v>
      </c>
      <c r="B74" s="31" t="s">
        <v>1069</v>
      </c>
      <c r="C74" s="37">
        <v>10674</v>
      </c>
      <c r="D74" s="43" t="s">
        <v>1070</v>
      </c>
      <c r="E74" s="417" t="s">
        <v>1019</v>
      </c>
      <c r="F74" s="418"/>
      <c r="G74" s="424"/>
    </row>
    <row r="75" spans="1:7" x14ac:dyDescent="0.3">
      <c r="A75" s="20">
        <v>73</v>
      </c>
      <c r="B75" s="31" t="s">
        <v>659</v>
      </c>
      <c r="C75" s="37">
        <v>10675</v>
      </c>
      <c r="D75" s="43" t="s">
        <v>1071</v>
      </c>
      <c r="E75" s="392" t="s">
        <v>63</v>
      </c>
      <c r="F75" s="393"/>
      <c r="G75" s="394"/>
    </row>
    <row r="76" spans="1:7" x14ac:dyDescent="0.3">
      <c r="A76" s="20">
        <v>74</v>
      </c>
      <c r="B76" s="31" t="s">
        <v>544</v>
      </c>
      <c r="C76" s="37">
        <v>10676</v>
      </c>
      <c r="D76" s="43" t="s">
        <v>1080</v>
      </c>
      <c r="E76" s="417" t="s">
        <v>63</v>
      </c>
      <c r="F76" s="418"/>
      <c r="G76" s="424"/>
    </row>
    <row r="77" spans="1:7" x14ac:dyDescent="0.3">
      <c r="A77" s="20">
        <v>75</v>
      </c>
      <c r="B77" s="31" t="s">
        <v>861</v>
      </c>
      <c r="C77" s="37">
        <v>10677</v>
      </c>
      <c r="D77" s="43" t="s">
        <v>1079</v>
      </c>
      <c r="E77" s="392" t="s">
        <v>63</v>
      </c>
      <c r="F77" s="393"/>
      <c r="G77" s="394"/>
    </row>
    <row r="78" spans="1:7" x14ac:dyDescent="0.3">
      <c r="A78" s="20">
        <v>76</v>
      </c>
      <c r="B78" s="31" t="s">
        <v>967</v>
      </c>
      <c r="C78" s="37">
        <v>10678</v>
      </c>
      <c r="D78" s="43" t="s">
        <v>1078</v>
      </c>
      <c r="E78" s="417" t="s">
        <v>192</v>
      </c>
      <c r="F78" s="418"/>
      <c r="G78" s="424"/>
    </row>
    <row r="79" spans="1:7" x14ac:dyDescent="0.3">
      <c r="A79" s="20">
        <v>77</v>
      </c>
      <c r="B79" s="31" t="s">
        <v>1076</v>
      </c>
      <c r="C79" s="37">
        <v>10679</v>
      </c>
      <c r="D79" s="43" t="s">
        <v>1077</v>
      </c>
      <c r="E79" s="417" t="s">
        <v>192</v>
      </c>
      <c r="F79" s="418"/>
      <c r="G79" s="424"/>
    </row>
    <row r="80" spans="1:7" x14ac:dyDescent="0.3">
      <c r="A80" s="20">
        <v>78</v>
      </c>
      <c r="B80" s="31" t="s">
        <v>64</v>
      </c>
      <c r="C80" s="37">
        <v>10680</v>
      </c>
      <c r="D80" s="43" t="s">
        <v>1075</v>
      </c>
      <c r="E80" s="417" t="s">
        <v>63</v>
      </c>
      <c r="F80" s="418"/>
      <c r="G80" s="424"/>
    </row>
    <row r="81" spans="1:7" x14ac:dyDescent="0.3">
      <c r="A81" s="20">
        <v>79</v>
      </c>
      <c r="B81" s="31" t="s">
        <v>1081</v>
      </c>
      <c r="C81" s="37">
        <v>10681</v>
      </c>
      <c r="D81" s="43" t="s">
        <v>1082</v>
      </c>
      <c r="E81" s="417" t="s">
        <v>954</v>
      </c>
      <c r="F81" s="418"/>
      <c r="G81" s="424"/>
    </row>
    <row r="82" spans="1:7" x14ac:dyDescent="0.3">
      <c r="A82" s="20">
        <v>80</v>
      </c>
      <c r="B82" s="31" t="s">
        <v>318</v>
      </c>
      <c r="C82" s="37">
        <v>10682</v>
      </c>
      <c r="D82" s="43" t="s">
        <v>1083</v>
      </c>
      <c r="E82" s="417" t="s">
        <v>63</v>
      </c>
      <c r="F82" s="418"/>
      <c r="G82" s="424"/>
    </row>
    <row r="83" spans="1:7" x14ac:dyDescent="0.3">
      <c r="A83" s="20">
        <v>81</v>
      </c>
      <c r="B83" s="31" t="s">
        <v>1074</v>
      </c>
      <c r="C83" s="37">
        <v>10683</v>
      </c>
      <c r="D83" s="43" t="s">
        <v>694</v>
      </c>
      <c r="E83" s="417" t="s">
        <v>63</v>
      </c>
      <c r="F83" s="418"/>
      <c r="G83" s="424"/>
    </row>
    <row r="84" spans="1:7" x14ac:dyDescent="0.3">
      <c r="A84" s="20">
        <v>82</v>
      </c>
      <c r="B84" s="31" t="s">
        <v>1072</v>
      </c>
      <c r="C84" s="37">
        <v>10684</v>
      </c>
      <c r="D84" s="43" t="s">
        <v>1073</v>
      </c>
      <c r="E84" s="417" t="s">
        <v>63</v>
      </c>
      <c r="F84" s="418"/>
      <c r="G84" s="424"/>
    </row>
    <row r="85" spans="1:7" x14ac:dyDescent="0.3">
      <c r="A85" s="20">
        <v>83</v>
      </c>
      <c r="B85" s="31" t="s">
        <v>1084</v>
      </c>
      <c r="C85" s="37">
        <v>10685</v>
      </c>
      <c r="D85" s="43" t="s">
        <v>1085</v>
      </c>
      <c r="E85" s="417" t="s">
        <v>63</v>
      </c>
      <c r="F85" s="418"/>
      <c r="G85" s="424"/>
    </row>
    <row r="86" spans="1:7" x14ac:dyDescent="0.3">
      <c r="A86" s="20">
        <v>84</v>
      </c>
      <c r="B86" s="31" t="s">
        <v>1086</v>
      </c>
      <c r="C86" s="37">
        <v>10686</v>
      </c>
      <c r="D86" s="43" t="s">
        <v>1087</v>
      </c>
      <c r="E86" s="417" t="s">
        <v>192</v>
      </c>
      <c r="F86" s="418"/>
      <c r="G86" s="424"/>
    </row>
    <row r="87" spans="1:7" x14ac:dyDescent="0.3">
      <c r="A87" s="20">
        <v>85</v>
      </c>
      <c r="B87" s="31" t="s">
        <v>1084</v>
      </c>
      <c r="C87" s="37">
        <v>10687</v>
      </c>
      <c r="D87" s="43" t="s">
        <v>1088</v>
      </c>
      <c r="E87" s="417" t="s">
        <v>63</v>
      </c>
      <c r="F87" s="418"/>
      <c r="G87" s="424"/>
    </row>
    <row r="88" spans="1:7" x14ac:dyDescent="0.3">
      <c r="A88" s="20">
        <v>86</v>
      </c>
      <c r="B88" s="31" t="s">
        <v>1090</v>
      </c>
      <c r="C88" s="37">
        <v>10688</v>
      </c>
      <c r="D88" s="43" t="s">
        <v>1089</v>
      </c>
      <c r="E88" s="417" t="s">
        <v>63</v>
      </c>
      <c r="F88" s="418"/>
      <c r="G88" s="424"/>
    </row>
    <row r="89" spans="1:7" x14ac:dyDescent="0.3">
      <c r="A89" s="20">
        <v>87</v>
      </c>
      <c r="B89" s="31" t="s">
        <v>763</v>
      </c>
      <c r="C89" s="37">
        <v>10689</v>
      </c>
      <c r="D89" s="43" t="s">
        <v>1091</v>
      </c>
      <c r="E89" s="417" t="s">
        <v>284</v>
      </c>
      <c r="F89" s="418"/>
      <c r="G89" s="424"/>
    </row>
    <row r="90" spans="1:7" x14ac:dyDescent="0.3">
      <c r="A90" s="20">
        <v>88</v>
      </c>
      <c r="B90" s="31" t="s">
        <v>1092</v>
      </c>
      <c r="C90" s="37">
        <v>10690</v>
      </c>
      <c r="D90" s="43" t="s">
        <v>1093</v>
      </c>
      <c r="E90" s="417" t="s">
        <v>63</v>
      </c>
      <c r="F90" s="418"/>
      <c r="G90" s="424"/>
    </row>
    <row r="91" spans="1:7" x14ac:dyDescent="0.3">
      <c r="A91" s="20">
        <v>89</v>
      </c>
      <c r="B91" s="31" t="s">
        <v>1094</v>
      </c>
      <c r="C91" s="37">
        <v>10691</v>
      </c>
      <c r="D91" s="43" t="s">
        <v>1095</v>
      </c>
      <c r="E91" s="417" t="s">
        <v>1096</v>
      </c>
      <c r="F91" s="418"/>
      <c r="G91" s="424"/>
    </row>
    <row r="92" spans="1:7" x14ac:dyDescent="0.3">
      <c r="A92" s="20">
        <v>90</v>
      </c>
      <c r="B92" s="31" t="s">
        <v>1097</v>
      </c>
      <c r="C92" s="37">
        <v>10692</v>
      </c>
      <c r="D92" s="43" t="s">
        <v>1098</v>
      </c>
      <c r="E92" s="417" t="s">
        <v>1099</v>
      </c>
      <c r="F92" s="418"/>
      <c r="G92" s="424"/>
    </row>
    <row r="93" spans="1:7" x14ac:dyDescent="0.3">
      <c r="A93" s="20">
        <v>91</v>
      </c>
      <c r="B93" s="31" t="s">
        <v>1100</v>
      </c>
      <c r="C93" s="37">
        <v>10693</v>
      </c>
      <c r="D93" s="43" t="s">
        <v>1101</v>
      </c>
      <c r="E93" s="417" t="s">
        <v>1102</v>
      </c>
      <c r="F93" s="418"/>
      <c r="G93" s="424"/>
    </row>
    <row r="94" spans="1:7" x14ac:dyDescent="0.3">
      <c r="A94" s="20">
        <v>92</v>
      </c>
      <c r="B94" s="31" t="s">
        <v>198</v>
      </c>
      <c r="C94" s="37">
        <v>10694</v>
      </c>
      <c r="D94" s="43" t="s">
        <v>1103</v>
      </c>
      <c r="E94" s="417" t="s">
        <v>1104</v>
      </c>
      <c r="F94" s="418"/>
      <c r="G94" s="424"/>
    </row>
    <row r="95" spans="1:7" x14ac:dyDescent="0.3">
      <c r="A95" s="20">
        <v>93</v>
      </c>
      <c r="B95" s="31" t="s">
        <v>1106</v>
      </c>
      <c r="C95" s="37">
        <v>10695</v>
      </c>
      <c r="D95" s="43" t="s">
        <v>1105</v>
      </c>
      <c r="E95" s="417" t="s">
        <v>1102</v>
      </c>
      <c r="F95" s="418"/>
      <c r="G95" s="424"/>
    </row>
    <row r="96" spans="1:7" x14ac:dyDescent="0.3">
      <c r="A96" s="20">
        <v>94</v>
      </c>
      <c r="B96" s="31" t="s">
        <v>1107</v>
      </c>
      <c r="C96" s="37">
        <v>10696</v>
      </c>
      <c r="D96" s="43" t="s">
        <v>1108</v>
      </c>
      <c r="E96" s="417" t="s">
        <v>1096</v>
      </c>
      <c r="F96" s="418"/>
      <c r="G96" s="424"/>
    </row>
    <row r="97" spans="1:7" x14ac:dyDescent="0.3">
      <c r="A97" s="20">
        <v>95</v>
      </c>
      <c r="B97" s="31" t="s">
        <v>1109</v>
      </c>
      <c r="C97" s="37">
        <v>10697</v>
      </c>
      <c r="D97" s="43" t="s">
        <v>1110</v>
      </c>
      <c r="E97" s="417" t="s">
        <v>1102</v>
      </c>
      <c r="F97" s="418"/>
      <c r="G97" s="424"/>
    </row>
  </sheetData>
  <mergeCells count="97">
    <mergeCell ref="E93:G93"/>
    <mergeCell ref="E94:G94"/>
    <mergeCell ref="E95:G95"/>
    <mergeCell ref="E96:G96"/>
    <mergeCell ref="E97:G97"/>
    <mergeCell ref="E92:G92"/>
    <mergeCell ref="E86:G86"/>
    <mergeCell ref="E87:G87"/>
    <mergeCell ref="E88:G88"/>
    <mergeCell ref="E89:G89"/>
    <mergeCell ref="E90:G90"/>
    <mergeCell ref="E91:G91"/>
    <mergeCell ref="E85:G85"/>
    <mergeCell ref="E74:G74"/>
    <mergeCell ref="E75:G75"/>
    <mergeCell ref="E76:G76"/>
    <mergeCell ref="E77:G77"/>
    <mergeCell ref="E78:G78"/>
    <mergeCell ref="E79:G79"/>
    <mergeCell ref="E80:G80"/>
    <mergeCell ref="E81:G81"/>
    <mergeCell ref="E82:G82"/>
    <mergeCell ref="E83:G83"/>
    <mergeCell ref="E84:G84"/>
    <mergeCell ref="E73:G73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E61:G61"/>
    <mergeCell ref="E50:G50"/>
    <mergeCell ref="E51:G51"/>
    <mergeCell ref="E52:G52"/>
    <mergeCell ref="E53:G53"/>
    <mergeCell ref="E54:G54"/>
    <mergeCell ref="E55:G55"/>
    <mergeCell ref="E56:G56"/>
    <mergeCell ref="E57:G57"/>
    <mergeCell ref="E58:G58"/>
    <mergeCell ref="E59:G59"/>
    <mergeCell ref="E60:G60"/>
    <mergeCell ref="E49:G49"/>
    <mergeCell ref="E37:G37"/>
    <mergeCell ref="E38:G38"/>
    <mergeCell ref="E39:G39"/>
    <mergeCell ref="E40:G40"/>
    <mergeCell ref="E41:G41"/>
    <mergeCell ref="E43:G43"/>
    <mergeCell ref="E42:G42"/>
    <mergeCell ref="E44:G44"/>
    <mergeCell ref="E45:G45"/>
    <mergeCell ref="E46:G46"/>
    <mergeCell ref="E47:G47"/>
    <mergeCell ref="E48:G48"/>
    <mergeCell ref="E36:G36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24:G24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12:G12"/>
    <mergeCell ref="E1:G1"/>
    <mergeCell ref="E2:G2"/>
    <mergeCell ref="E3:G3"/>
    <mergeCell ref="E4:G4"/>
    <mergeCell ref="E5:G5"/>
    <mergeCell ref="E6:G6"/>
    <mergeCell ref="E7:G7"/>
    <mergeCell ref="E8:G8"/>
    <mergeCell ref="E9:G9"/>
    <mergeCell ref="E10:G10"/>
    <mergeCell ref="E11:G1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7"/>
  <sheetViews>
    <sheetView workbookViewId="0">
      <selection activeCell="M57" sqref="M57"/>
    </sheetView>
  </sheetViews>
  <sheetFormatPr defaultRowHeight="16.5" x14ac:dyDescent="0.3"/>
  <cols>
    <col min="2" max="2" width="15.25" bestFit="1" customWidth="1"/>
    <col min="4" max="4" width="11" bestFit="1" customWidth="1"/>
    <col min="7" max="7" width="9.75" customWidth="1"/>
  </cols>
  <sheetData>
    <row r="1" spans="1:7" ht="17.25" thickBot="1" x14ac:dyDescent="0.35">
      <c r="A1" s="47"/>
      <c r="B1" s="45" t="s">
        <v>911</v>
      </c>
      <c r="C1" s="44" t="s">
        <v>1</v>
      </c>
      <c r="D1" s="44" t="s">
        <v>588</v>
      </c>
      <c r="E1" s="420" t="s">
        <v>3</v>
      </c>
      <c r="F1" s="420"/>
      <c r="G1" s="421"/>
    </row>
    <row r="2" spans="1:7" x14ac:dyDescent="0.3">
      <c r="A2" s="46">
        <v>1</v>
      </c>
      <c r="B2" s="39" t="s">
        <v>1111</v>
      </c>
      <c r="C2" s="37">
        <v>10698</v>
      </c>
      <c r="D2" s="37" t="s">
        <v>1112</v>
      </c>
      <c r="E2" s="410" t="s">
        <v>1113</v>
      </c>
      <c r="F2" s="410"/>
      <c r="G2" s="411"/>
    </row>
    <row r="3" spans="1:7" x14ac:dyDescent="0.3">
      <c r="A3" s="20">
        <v>2</v>
      </c>
      <c r="B3" s="31" t="s">
        <v>1114</v>
      </c>
      <c r="C3" s="37">
        <v>10699</v>
      </c>
      <c r="D3" s="26" t="s">
        <v>1115</v>
      </c>
      <c r="E3" s="399" t="s">
        <v>1116</v>
      </c>
      <c r="F3" s="399"/>
      <c r="G3" s="400"/>
    </row>
    <row r="4" spans="1:7" x14ac:dyDescent="0.3">
      <c r="A4" s="20">
        <v>3</v>
      </c>
      <c r="B4" s="31" t="s">
        <v>1117</v>
      </c>
      <c r="C4" s="37">
        <v>10700</v>
      </c>
      <c r="D4" s="26" t="s">
        <v>1118</v>
      </c>
      <c r="E4" s="399" t="s">
        <v>1119</v>
      </c>
      <c r="F4" s="399"/>
      <c r="G4" s="400"/>
    </row>
    <row r="5" spans="1:7" x14ac:dyDescent="0.3">
      <c r="A5" s="20">
        <v>4</v>
      </c>
      <c r="B5" s="31" t="s">
        <v>1120</v>
      </c>
      <c r="C5" s="37">
        <v>10701</v>
      </c>
      <c r="D5" s="26" t="s">
        <v>1121</v>
      </c>
      <c r="E5" s="399" t="s">
        <v>1116</v>
      </c>
      <c r="F5" s="399"/>
      <c r="G5" s="400"/>
    </row>
    <row r="6" spans="1:7" x14ac:dyDescent="0.3">
      <c r="A6" s="20">
        <v>5</v>
      </c>
      <c r="B6" s="31" t="s">
        <v>1122</v>
      </c>
      <c r="C6" s="37">
        <v>10702</v>
      </c>
      <c r="D6" s="26" t="s">
        <v>1123</v>
      </c>
      <c r="E6" s="399" t="s">
        <v>1116</v>
      </c>
      <c r="F6" s="399"/>
      <c r="G6" s="400"/>
    </row>
    <row r="7" spans="1:7" x14ac:dyDescent="0.3">
      <c r="A7" s="20">
        <v>6</v>
      </c>
      <c r="B7" s="31" t="s">
        <v>1124</v>
      </c>
      <c r="C7" s="37">
        <v>10703</v>
      </c>
      <c r="D7" s="26" t="s">
        <v>1125</v>
      </c>
      <c r="E7" s="399" t="s">
        <v>1116</v>
      </c>
      <c r="F7" s="399"/>
      <c r="G7" s="400"/>
    </row>
    <row r="8" spans="1:7" x14ac:dyDescent="0.3">
      <c r="A8" s="20">
        <v>7</v>
      </c>
      <c r="B8" s="31" t="s">
        <v>1126</v>
      </c>
      <c r="C8" s="37">
        <v>10704</v>
      </c>
      <c r="D8" s="26" t="s">
        <v>1127</v>
      </c>
      <c r="E8" s="399" t="s">
        <v>1116</v>
      </c>
      <c r="F8" s="399"/>
      <c r="G8" s="400"/>
    </row>
    <row r="9" spans="1:7" x14ac:dyDescent="0.3">
      <c r="A9" s="20">
        <v>8</v>
      </c>
      <c r="B9" s="31" t="s">
        <v>1128</v>
      </c>
      <c r="C9" s="37">
        <v>10705</v>
      </c>
      <c r="D9" s="26" t="s">
        <v>1129</v>
      </c>
      <c r="E9" s="399" t="s">
        <v>1113</v>
      </c>
      <c r="F9" s="399"/>
      <c r="G9" s="400"/>
    </row>
    <row r="10" spans="1:7" x14ac:dyDescent="0.3">
      <c r="A10" s="20">
        <v>9</v>
      </c>
      <c r="B10" s="31" t="s">
        <v>1133</v>
      </c>
      <c r="C10" s="37">
        <v>10706</v>
      </c>
      <c r="D10" s="26" t="s">
        <v>1132</v>
      </c>
      <c r="E10" s="399" t="s">
        <v>1116</v>
      </c>
      <c r="F10" s="399"/>
      <c r="G10" s="400"/>
    </row>
    <row r="11" spans="1:7" x14ac:dyDescent="0.3">
      <c r="A11" s="20">
        <v>10</v>
      </c>
      <c r="B11" s="31" t="s">
        <v>1130</v>
      </c>
      <c r="C11" s="37">
        <v>10707</v>
      </c>
      <c r="D11" s="26" t="s">
        <v>1131</v>
      </c>
      <c r="E11" s="399" t="s">
        <v>1119</v>
      </c>
      <c r="F11" s="399"/>
      <c r="G11" s="400"/>
    </row>
    <row r="12" spans="1:7" x14ac:dyDescent="0.3">
      <c r="A12" s="20">
        <v>11</v>
      </c>
      <c r="B12" s="31" t="s">
        <v>1134</v>
      </c>
      <c r="C12" s="37">
        <v>10708</v>
      </c>
      <c r="D12" s="26" t="s">
        <v>1135</v>
      </c>
      <c r="E12" s="399" t="s">
        <v>1136</v>
      </c>
      <c r="F12" s="399"/>
      <c r="G12" s="400"/>
    </row>
    <row r="13" spans="1:7" x14ac:dyDescent="0.3">
      <c r="A13" s="20">
        <v>12</v>
      </c>
      <c r="B13" s="31" t="s">
        <v>1137</v>
      </c>
      <c r="C13" s="37">
        <v>10709</v>
      </c>
      <c r="D13" s="26" t="s">
        <v>1138</v>
      </c>
      <c r="E13" s="399" t="s">
        <v>1116</v>
      </c>
      <c r="F13" s="399"/>
      <c r="G13" s="400"/>
    </row>
    <row r="14" spans="1:7" x14ac:dyDescent="0.3">
      <c r="A14" s="20">
        <v>13</v>
      </c>
      <c r="B14" s="31" t="s">
        <v>1139</v>
      </c>
      <c r="C14" s="37">
        <v>10710</v>
      </c>
      <c r="D14" s="26" t="s">
        <v>1140</v>
      </c>
      <c r="E14" s="399" t="s">
        <v>1119</v>
      </c>
      <c r="F14" s="399"/>
      <c r="G14" s="400"/>
    </row>
    <row r="15" spans="1:7" x14ac:dyDescent="0.3">
      <c r="A15" s="20">
        <v>14</v>
      </c>
      <c r="B15" s="31" t="s">
        <v>1141</v>
      </c>
      <c r="C15" s="37">
        <v>10711</v>
      </c>
      <c r="D15" s="26" t="s">
        <v>1142</v>
      </c>
      <c r="E15" s="399" t="s">
        <v>1113</v>
      </c>
      <c r="F15" s="399"/>
      <c r="G15" s="400"/>
    </row>
    <row r="16" spans="1:7" x14ac:dyDescent="0.3">
      <c r="A16" s="20">
        <v>15</v>
      </c>
      <c r="B16" s="31" t="s">
        <v>1143</v>
      </c>
      <c r="C16" s="37">
        <v>10712</v>
      </c>
      <c r="D16" s="26" t="s">
        <v>1144</v>
      </c>
      <c r="E16" s="399" t="s">
        <v>1113</v>
      </c>
      <c r="F16" s="399"/>
      <c r="G16" s="400"/>
    </row>
    <row r="17" spans="1:7" x14ac:dyDescent="0.3">
      <c r="A17" s="20">
        <v>16</v>
      </c>
      <c r="B17" s="31" t="s">
        <v>1145</v>
      </c>
      <c r="C17" s="37">
        <v>10713</v>
      </c>
      <c r="D17" s="26" t="s">
        <v>1146</v>
      </c>
      <c r="E17" s="399" t="s">
        <v>1147</v>
      </c>
      <c r="F17" s="399"/>
      <c r="G17" s="400"/>
    </row>
    <row r="18" spans="1:7" x14ac:dyDescent="0.3">
      <c r="A18" s="20">
        <v>17</v>
      </c>
      <c r="B18" s="31" t="s">
        <v>1148</v>
      </c>
      <c r="C18" s="37">
        <v>10714</v>
      </c>
      <c r="D18" s="26" t="s">
        <v>1149</v>
      </c>
      <c r="E18" s="399" t="s">
        <v>1116</v>
      </c>
      <c r="F18" s="399"/>
      <c r="G18" s="400"/>
    </row>
    <row r="19" spans="1:7" x14ac:dyDescent="0.3">
      <c r="A19" s="20">
        <v>18</v>
      </c>
      <c r="B19" s="31" t="s">
        <v>1150</v>
      </c>
      <c r="C19" s="37">
        <v>10715</v>
      </c>
      <c r="D19" s="26" t="s">
        <v>1151</v>
      </c>
      <c r="E19" s="399" t="s">
        <v>1119</v>
      </c>
      <c r="F19" s="399"/>
      <c r="G19" s="400"/>
    </row>
    <row r="20" spans="1:7" x14ac:dyDescent="0.3">
      <c r="A20" s="20">
        <v>19</v>
      </c>
      <c r="B20" s="31" t="s">
        <v>1152</v>
      </c>
      <c r="C20" s="37">
        <v>10716</v>
      </c>
      <c r="D20" s="26" t="s">
        <v>1153</v>
      </c>
      <c r="E20" s="399" t="s">
        <v>1119</v>
      </c>
      <c r="F20" s="399"/>
      <c r="G20" s="400"/>
    </row>
    <row r="21" spans="1:7" x14ac:dyDescent="0.3">
      <c r="A21" s="20">
        <v>20</v>
      </c>
      <c r="B21" s="31" t="s">
        <v>1152</v>
      </c>
      <c r="C21" s="37">
        <v>10717</v>
      </c>
      <c r="D21" s="26" t="s">
        <v>1154</v>
      </c>
      <c r="E21" s="399" t="s">
        <v>1116</v>
      </c>
      <c r="F21" s="399"/>
      <c r="G21" s="400"/>
    </row>
    <row r="22" spans="1:7" x14ac:dyDescent="0.3">
      <c r="A22" s="20">
        <v>21</v>
      </c>
      <c r="B22" s="31" t="s">
        <v>1155</v>
      </c>
      <c r="C22" s="37">
        <v>10718</v>
      </c>
      <c r="D22" s="26" t="s">
        <v>1156</v>
      </c>
      <c r="E22" s="399" t="s">
        <v>1157</v>
      </c>
      <c r="F22" s="399"/>
      <c r="G22" s="400"/>
    </row>
    <row r="23" spans="1:7" x14ac:dyDescent="0.3">
      <c r="A23" s="20">
        <v>22</v>
      </c>
      <c r="B23" s="31" t="s">
        <v>1158</v>
      </c>
      <c r="C23" s="37">
        <v>10719</v>
      </c>
      <c r="D23" s="26" t="s">
        <v>1159</v>
      </c>
      <c r="E23" s="399" t="s">
        <v>1136</v>
      </c>
      <c r="F23" s="399"/>
      <c r="G23" s="400"/>
    </row>
    <row r="24" spans="1:7" x14ac:dyDescent="0.3">
      <c r="A24" s="20">
        <v>23</v>
      </c>
      <c r="B24" s="31" t="s">
        <v>1160</v>
      </c>
      <c r="C24" s="37">
        <v>10720</v>
      </c>
      <c r="D24" s="26" t="s">
        <v>1161</v>
      </c>
      <c r="E24" s="399" t="s">
        <v>1116</v>
      </c>
      <c r="F24" s="399"/>
      <c r="G24" s="400"/>
    </row>
    <row r="25" spans="1:7" x14ac:dyDescent="0.3">
      <c r="A25" s="20">
        <v>24</v>
      </c>
      <c r="B25" s="31" t="s">
        <v>1162</v>
      </c>
      <c r="C25" s="37">
        <v>10721</v>
      </c>
      <c r="D25" s="26" t="s">
        <v>1163</v>
      </c>
      <c r="E25" s="399" t="s">
        <v>1116</v>
      </c>
      <c r="F25" s="399"/>
      <c r="G25" s="400"/>
    </row>
    <row r="26" spans="1:7" x14ac:dyDescent="0.3">
      <c r="A26" s="20">
        <v>25</v>
      </c>
      <c r="B26" s="31" t="s">
        <v>1165</v>
      </c>
      <c r="C26" s="37">
        <v>10722</v>
      </c>
      <c r="D26" s="26" t="s">
        <v>1164</v>
      </c>
      <c r="E26" s="399" t="s">
        <v>1119</v>
      </c>
      <c r="F26" s="399"/>
      <c r="G26" s="400"/>
    </row>
    <row r="27" spans="1:7" x14ac:dyDescent="0.3">
      <c r="A27" s="20">
        <v>26</v>
      </c>
      <c r="B27" s="31" t="s">
        <v>1166</v>
      </c>
      <c r="C27" s="37">
        <v>10723</v>
      </c>
      <c r="D27" s="26" t="s">
        <v>1167</v>
      </c>
      <c r="E27" s="399" t="s">
        <v>1113</v>
      </c>
      <c r="F27" s="399"/>
      <c r="G27" s="400"/>
    </row>
    <row r="28" spans="1:7" x14ac:dyDescent="0.3">
      <c r="A28" s="20">
        <v>27</v>
      </c>
      <c r="B28" s="31" t="s">
        <v>1168</v>
      </c>
      <c r="C28" s="37">
        <v>10724</v>
      </c>
      <c r="D28" s="26" t="s">
        <v>1169</v>
      </c>
      <c r="E28" s="399" t="s">
        <v>1157</v>
      </c>
      <c r="F28" s="399"/>
      <c r="G28" s="400"/>
    </row>
    <row r="29" spans="1:7" x14ac:dyDescent="0.3">
      <c r="A29" s="20">
        <v>28</v>
      </c>
      <c r="B29" s="31" t="s">
        <v>1170</v>
      </c>
      <c r="C29" s="37">
        <v>10725</v>
      </c>
      <c r="D29" s="26" t="s">
        <v>1171</v>
      </c>
      <c r="E29" s="399" t="s">
        <v>1113</v>
      </c>
      <c r="F29" s="399"/>
      <c r="G29" s="400"/>
    </row>
    <row r="30" spans="1:7" x14ac:dyDescent="0.3">
      <c r="A30" s="20">
        <v>29</v>
      </c>
      <c r="B30" s="31" t="s">
        <v>1172</v>
      </c>
      <c r="C30" s="37">
        <v>10726</v>
      </c>
      <c r="D30" s="26" t="s">
        <v>1173</v>
      </c>
      <c r="E30" s="399" t="s">
        <v>1116</v>
      </c>
      <c r="F30" s="399"/>
      <c r="G30" s="400"/>
    </row>
    <row r="31" spans="1:7" x14ac:dyDescent="0.3">
      <c r="A31" s="20">
        <v>30</v>
      </c>
      <c r="B31" s="31" t="s">
        <v>1174</v>
      </c>
      <c r="C31" s="37">
        <v>10727</v>
      </c>
      <c r="D31" s="26" t="s">
        <v>1175</v>
      </c>
      <c r="E31" s="399" t="s">
        <v>1116</v>
      </c>
      <c r="F31" s="399"/>
      <c r="G31" s="400"/>
    </row>
    <row r="32" spans="1:7" x14ac:dyDescent="0.3">
      <c r="A32" s="20">
        <v>31</v>
      </c>
      <c r="B32" s="31" t="s">
        <v>1176</v>
      </c>
      <c r="C32" s="37">
        <v>10728</v>
      </c>
      <c r="D32" s="26" t="s">
        <v>1177</v>
      </c>
      <c r="E32" s="399" t="s">
        <v>1116</v>
      </c>
      <c r="F32" s="399"/>
      <c r="G32" s="400"/>
    </row>
    <row r="33" spans="1:7" x14ac:dyDescent="0.3">
      <c r="A33" s="20">
        <v>32</v>
      </c>
      <c r="B33" s="31" t="s">
        <v>1178</v>
      </c>
      <c r="C33" s="37">
        <v>10729</v>
      </c>
      <c r="D33" s="26" t="s">
        <v>1179</v>
      </c>
      <c r="E33" s="399" t="s">
        <v>1116</v>
      </c>
      <c r="F33" s="399"/>
      <c r="G33" s="400"/>
    </row>
    <row r="34" spans="1:7" x14ac:dyDescent="0.3">
      <c r="A34" s="20">
        <v>33</v>
      </c>
      <c r="B34" s="31" t="s">
        <v>1180</v>
      </c>
      <c r="C34" s="37">
        <v>10730</v>
      </c>
      <c r="D34" s="26" t="s">
        <v>1181</v>
      </c>
      <c r="E34" s="399" t="s">
        <v>1113</v>
      </c>
      <c r="F34" s="399"/>
      <c r="G34" s="400"/>
    </row>
    <row r="35" spans="1:7" x14ac:dyDescent="0.3">
      <c r="A35" s="20">
        <v>34</v>
      </c>
      <c r="B35" s="31" t="s">
        <v>1182</v>
      </c>
      <c r="C35" s="37">
        <v>10731</v>
      </c>
      <c r="D35" s="26" t="s">
        <v>1183</v>
      </c>
      <c r="E35" s="399" t="s">
        <v>1116</v>
      </c>
      <c r="F35" s="399"/>
      <c r="G35" s="400"/>
    </row>
    <row r="36" spans="1:7" x14ac:dyDescent="0.3">
      <c r="A36" s="20">
        <v>35</v>
      </c>
      <c r="B36" s="31" t="s">
        <v>1184</v>
      </c>
      <c r="C36" s="37">
        <v>10732</v>
      </c>
      <c r="D36" s="26" t="s">
        <v>1185</v>
      </c>
      <c r="E36" s="399" t="s">
        <v>1116</v>
      </c>
      <c r="F36" s="399"/>
      <c r="G36" s="400"/>
    </row>
    <row r="37" spans="1:7" x14ac:dyDescent="0.3">
      <c r="A37" s="20">
        <v>36</v>
      </c>
      <c r="B37" s="31" t="s">
        <v>1186</v>
      </c>
      <c r="C37" s="37">
        <v>10733</v>
      </c>
      <c r="D37" s="26" t="s">
        <v>1187</v>
      </c>
      <c r="E37" s="399" t="s">
        <v>63</v>
      </c>
      <c r="F37" s="399"/>
      <c r="G37" s="400"/>
    </row>
    <row r="38" spans="1:7" x14ac:dyDescent="0.3">
      <c r="A38" s="20">
        <v>37</v>
      </c>
      <c r="B38" s="31" t="s">
        <v>1188</v>
      </c>
      <c r="C38" s="37">
        <v>10734</v>
      </c>
      <c r="D38" s="26" t="s">
        <v>1189</v>
      </c>
      <c r="E38" s="399" t="s">
        <v>1190</v>
      </c>
      <c r="F38" s="399"/>
      <c r="G38" s="400"/>
    </row>
    <row r="39" spans="1:7" x14ac:dyDescent="0.3">
      <c r="A39" s="20">
        <v>38</v>
      </c>
      <c r="B39" s="31" t="s">
        <v>1191</v>
      </c>
      <c r="C39" s="37">
        <v>10735</v>
      </c>
      <c r="D39" s="26" t="s">
        <v>1192</v>
      </c>
      <c r="E39" s="399" t="s">
        <v>1190</v>
      </c>
      <c r="F39" s="399"/>
      <c r="G39" s="400"/>
    </row>
    <row r="40" spans="1:7" x14ac:dyDescent="0.3">
      <c r="A40" s="20">
        <v>39</v>
      </c>
      <c r="B40" s="31" t="s">
        <v>1193</v>
      </c>
      <c r="C40" s="37">
        <v>10736</v>
      </c>
      <c r="D40" s="26" t="s">
        <v>1194</v>
      </c>
      <c r="E40" s="399" t="s">
        <v>1190</v>
      </c>
      <c r="F40" s="399"/>
      <c r="G40" s="400"/>
    </row>
    <row r="41" spans="1:7" x14ac:dyDescent="0.3">
      <c r="A41" s="20">
        <v>40</v>
      </c>
      <c r="B41" s="31" t="s">
        <v>1195</v>
      </c>
      <c r="C41" s="37">
        <v>10737</v>
      </c>
      <c r="D41" s="52" t="s">
        <v>1196</v>
      </c>
      <c r="E41" s="425" t="s">
        <v>63</v>
      </c>
      <c r="F41" s="425"/>
      <c r="G41" s="426"/>
    </row>
    <row r="42" spans="1:7" x14ac:dyDescent="0.3">
      <c r="A42" s="20"/>
      <c r="B42" s="31" t="s">
        <v>1197</v>
      </c>
      <c r="C42" s="37">
        <v>10738</v>
      </c>
      <c r="D42" s="52" t="s">
        <v>1198</v>
      </c>
      <c r="E42" s="427" t="s">
        <v>63</v>
      </c>
      <c r="F42" s="428"/>
      <c r="G42" s="429"/>
    </row>
    <row r="43" spans="1:7" x14ac:dyDescent="0.3">
      <c r="A43" s="20">
        <v>41</v>
      </c>
      <c r="B43" s="31" t="s">
        <v>1199</v>
      </c>
      <c r="C43" s="37">
        <v>10739</v>
      </c>
      <c r="D43" s="26" t="s">
        <v>1200</v>
      </c>
      <c r="E43" s="399" t="s">
        <v>63</v>
      </c>
      <c r="F43" s="399"/>
      <c r="G43" s="400"/>
    </row>
    <row r="44" spans="1:7" x14ac:dyDescent="0.3">
      <c r="A44" s="20">
        <v>42</v>
      </c>
      <c r="B44" s="31" t="s">
        <v>1201</v>
      </c>
      <c r="C44" s="37">
        <v>10740</v>
      </c>
      <c r="D44" s="26" t="s">
        <v>1202</v>
      </c>
      <c r="E44" s="399" t="s">
        <v>63</v>
      </c>
      <c r="F44" s="399"/>
      <c r="G44" s="400"/>
    </row>
    <row r="45" spans="1:7" x14ac:dyDescent="0.3">
      <c r="A45" s="20">
        <v>43</v>
      </c>
      <c r="B45" s="31" t="s">
        <v>1203</v>
      </c>
      <c r="C45" s="37">
        <v>10741</v>
      </c>
      <c r="D45" s="26" t="s">
        <v>1204</v>
      </c>
      <c r="E45" s="399" t="s">
        <v>1190</v>
      </c>
      <c r="F45" s="399"/>
      <c r="G45" s="400"/>
    </row>
    <row r="46" spans="1:7" x14ac:dyDescent="0.3">
      <c r="A46" s="20">
        <v>44</v>
      </c>
      <c r="B46" s="31" t="s">
        <v>1205</v>
      </c>
      <c r="C46" s="37">
        <v>10742</v>
      </c>
      <c r="D46" s="26" t="s">
        <v>1206</v>
      </c>
      <c r="E46" s="399" t="s">
        <v>63</v>
      </c>
      <c r="F46" s="399"/>
      <c r="G46" s="400"/>
    </row>
    <row r="47" spans="1:7" x14ac:dyDescent="0.3">
      <c r="A47" s="20">
        <v>45</v>
      </c>
      <c r="B47" s="31" t="s">
        <v>1207</v>
      </c>
      <c r="C47" s="37">
        <v>10743</v>
      </c>
      <c r="D47" s="26" t="s">
        <v>1208</v>
      </c>
      <c r="E47" s="399" t="s">
        <v>63</v>
      </c>
      <c r="F47" s="399"/>
      <c r="G47" s="400"/>
    </row>
    <row r="48" spans="1:7" x14ac:dyDescent="0.3">
      <c r="A48" s="20">
        <v>46</v>
      </c>
      <c r="B48" s="31" t="s">
        <v>1209</v>
      </c>
      <c r="C48" s="37">
        <v>10744</v>
      </c>
      <c r="D48" s="26" t="s">
        <v>1210</v>
      </c>
      <c r="E48" s="399" t="s">
        <v>63</v>
      </c>
      <c r="F48" s="399"/>
      <c r="G48" s="400"/>
    </row>
    <row r="49" spans="1:7" x14ac:dyDescent="0.3">
      <c r="A49" s="20">
        <v>47</v>
      </c>
      <c r="B49" s="31" t="s">
        <v>1211</v>
      </c>
      <c r="C49" s="37">
        <v>10745</v>
      </c>
      <c r="D49" s="26" t="s">
        <v>1212</v>
      </c>
      <c r="E49" s="399" t="s">
        <v>323</v>
      </c>
      <c r="F49" s="399"/>
      <c r="G49" s="400"/>
    </row>
    <row r="50" spans="1:7" x14ac:dyDescent="0.3">
      <c r="A50" s="20">
        <v>48</v>
      </c>
      <c r="B50" s="31" t="s">
        <v>1213</v>
      </c>
      <c r="C50" s="37">
        <v>10746</v>
      </c>
      <c r="D50" s="26" t="s">
        <v>1214</v>
      </c>
      <c r="E50" s="399" t="s">
        <v>63</v>
      </c>
      <c r="F50" s="399"/>
      <c r="G50" s="400"/>
    </row>
    <row r="51" spans="1:7" x14ac:dyDescent="0.3">
      <c r="A51" s="20">
        <v>49</v>
      </c>
      <c r="B51" s="31" t="s">
        <v>1215</v>
      </c>
      <c r="C51" s="37">
        <v>10747</v>
      </c>
      <c r="D51" s="26" t="s">
        <v>1216</v>
      </c>
      <c r="E51" s="399" t="s">
        <v>63</v>
      </c>
      <c r="F51" s="399"/>
      <c r="G51" s="400"/>
    </row>
    <row r="52" spans="1:7" x14ac:dyDescent="0.3">
      <c r="A52" s="20">
        <v>50</v>
      </c>
      <c r="B52" s="31" t="s">
        <v>1217</v>
      </c>
      <c r="C52" s="37">
        <v>10748</v>
      </c>
      <c r="D52" s="26" t="s">
        <v>1218</v>
      </c>
      <c r="E52" s="392" t="s">
        <v>63</v>
      </c>
      <c r="F52" s="393"/>
      <c r="G52" s="394"/>
    </row>
    <row r="53" spans="1:7" x14ac:dyDescent="0.3">
      <c r="A53" s="20">
        <v>51</v>
      </c>
      <c r="B53" s="31" t="s">
        <v>1219</v>
      </c>
      <c r="C53" s="37">
        <v>10749</v>
      </c>
      <c r="D53" s="26" t="s">
        <v>1220</v>
      </c>
      <c r="E53" s="392" t="s">
        <v>63</v>
      </c>
      <c r="F53" s="393"/>
      <c r="G53" s="394"/>
    </row>
    <row r="54" spans="1:7" x14ac:dyDescent="0.3">
      <c r="A54" s="20">
        <v>52</v>
      </c>
      <c r="B54" s="31" t="s">
        <v>1221</v>
      </c>
      <c r="C54" s="37">
        <v>10750</v>
      </c>
      <c r="D54" s="26" t="s">
        <v>1222</v>
      </c>
      <c r="E54" s="401" t="s">
        <v>63</v>
      </c>
      <c r="F54" s="402"/>
      <c r="G54" s="403"/>
    </row>
    <row r="55" spans="1:7" x14ac:dyDescent="0.3">
      <c r="A55" s="20">
        <v>53</v>
      </c>
      <c r="B55" s="31" t="s">
        <v>1223</v>
      </c>
      <c r="C55" s="37">
        <v>10751</v>
      </c>
      <c r="D55" s="43" t="s">
        <v>1224</v>
      </c>
      <c r="E55" s="392" t="s">
        <v>1225</v>
      </c>
      <c r="F55" s="393"/>
      <c r="G55" s="394"/>
    </row>
    <row r="56" spans="1:7" x14ac:dyDescent="0.3">
      <c r="A56" s="20">
        <v>54</v>
      </c>
      <c r="B56" s="31" t="s">
        <v>1226</v>
      </c>
      <c r="C56" s="37">
        <v>10752</v>
      </c>
      <c r="D56" s="43" t="s">
        <v>1227</v>
      </c>
      <c r="E56" s="392" t="s">
        <v>63</v>
      </c>
      <c r="F56" s="393"/>
      <c r="G56" s="394"/>
    </row>
    <row r="57" spans="1:7" x14ac:dyDescent="0.3">
      <c r="A57" s="20">
        <v>55</v>
      </c>
      <c r="B57" s="31" t="s">
        <v>1228</v>
      </c>
      <c r="C57" s="37">
        <v>10753</v>
      </c>
      <c r="D57" s="43" t="s">
        <v>1229</v>
      </c>
      <c r="E57" s="392" t="s">
        <v>63</v>
      </c>
      <c r="F57" s="393"/>
      <c r="G57" s="394"/>
    </row>
    <row r="58" spans="1:7" x14ac:dyDescent="0.3">
      <c r="A58" s="20">
        <v>56</v>
      </c>
      <c r="B58" s="31" t="s">
        <v>1230</v>
      </c>
      <c r="C58" s="26">
        <v>10754</v>
      </c>
      <c r="D58" s="43" t="s">
        <v>1231</v>
      </c>
      <c r="E58" s="399" t="s">
        <v>63</v>
      </c>
      <c r="F58" s="399"/>
      <c r="G58" s="400"/>
    </row>
    <row r="59" spans="1:7" x14ac:dyDescent="0.3">
      <c r="B59" s="21"/>
      <c r="C59" s="21"/>
      <c r="D59" s="21"/>
      <c r="E59" s="398"/>
      <c r="F59" s="398"/>
      <c r="G59" s="398"/>
    </row>
    <row r="60" spans="1:7" x14ac:dyDescent="0.3">
      <c r="B60" s="21"/>
      <c r="C60" s="21"/>
      <c r="D60" s="21"/>
      <c r="E60" s="398"/>
      <c r="F60" s="398"/>
      <c r="G60" s="398"/>
    </row>
    <row r="61" spans="1:7" x14ac:dyDescent="0.3">
      <c r="B61" s="21"/>
      <c r="C61" s="21"/>
      <c r="D61" s="21"/>
      <c r="E61" s="398"/>
      <c r="F61" s="398"/>
      <c r="G61" s="398"/>
    </row>
    <row r="62" spans="1:7" x14ac:dyDescent="0.3">
      <c r="B62" s="21"/>
      <c r="C62" s="21"/>
      <c r="D62" s="21"/>
      <c r="E62" s="398"/>
      <c r="F62" s="398"/>
      <c r="G62" s="398"/>
    </row>
    <row r="63" spans="1:7" x14ac:dyDescent="0.3">
      <c r="B63" s="21"/>
      <c r="C63" s="21"/>
      <c r="D63" s="21"/>
      <c r="E63" s="398"/>
      <c r="F63" s="398"/>
      <c r="G63" s="398"/>
    </row>
    <row r="64" spans="1:7" x14ac:dyDescent="0.3">
      <c r="B64" s="21"/>
      <c r="C64" s="21"/>
      <c r="D64" s="21"/>
      <c r="E64" s="398"/>
      <c r="F64" s="398"/>
      <c r="G64" s="398"/>
    </row>
    <row r="65" spans="2:7" x14ac:dyDescent="0.3">
      <c r="B65" s="21"/>
      <c r="C65" s="21"/>
      <c r="D65" s="21"/>
      <c r="E65" s="398"/>
      <c r="F65" s="398"/>
      <c r="G65" s="398"/>
    </row>
    <row r="66" spans="2:7" x14ac:dyDescent="0.3">
      <c r="B66" s="21"/>
      <c r="C66" s="21"/>
      <c r="D66" s="21"/>
      <c r="E66" s="398"/>
      <c r="F66" s="398"/>
      <c r="G66" s="398"/>
    </row>
    <row r="67" spans="2:7" x14ac:dyDescent="0.3">
      <c r="B67" s="21"/>
      <c r="C67" s="21"/>
      <c r="D67" s="21"/>
      <c r="E67" s="398"/>
      <c r="F67" s="398"/>
      <c r="G67" s="398"/>
    </row>
    <row r="68" spans="2:7" x14ac:dyDescent="0.3">
      <c r="B68" s="21"/>
      <c r="C68" s="21"/>
      <c r="D68" s="21"/>
      <c r="E68" s="398"/>
      <c r="F68" s="398"/>
      <c r="G68" s="398"/>
    </row>
    <row r="69" spans="2:7" x14ac:dyDescent="0.3">
      <c r="B69" s="21"/>
      <c r="C69" s="21"/>
      <c r="D69" s="21"/>
      <c r="E69" s="398"/>
      <c r="F69" s="398"/>
      <c r="G69" s="398"/>
    </row>
    <row r="70" spans="2:7" x14ac:dyDescent="0.3">
      <c r="B70" s="21"/>
      <c r="C70" s="21"/>
      <c r="D70" s="21"/>
      <c r="E70" s="398"/>
      <c r="F70" s="398"/>
      <c r="G70" s="398"/>
    </row>
    <row r="71" spans="2:7" x14ac:dyDescent="0.3">
      <c r="B71" s="21"/>
      <c r="C71" s="21"/>
      <c r="D71" s="21"/>
      <c r="E71" s="398"/>
      <c r="F71" s="398"/>
      <c r="G71" s="398"/>
    </row>
    <row r="72" spans="2:7" x14ac:dyDescent="0.3">
      <c r="B72" s="21"/>
      <c r="C72" s="21"/>
      <c r="D72" s="21"/>
      <c r="E72" s="398"/>
      <c r="F72" s="398"/>
      <c r="G72" s="398"/>
    </row>
    <row r="73" spans="2:7" x14ac:dyDescent="0.3">
      <c r="B73" s="21"/>
      <c r="C73" s="21"/>
      <c r="D73" s="21"/>
      <c r="E73" s="398"/>
      <c r="F73" s="398"/>
      <c r="G73" s="398"/>
    </row>
    <row r="74" spans="2:7" x14ac:dyDescent="0.3">
      <c r="B74" s="21"/>
      <c r="C74" s="21"/>
      <c r="D74" s="21"/>
      <c r="E74" s="398"/>
      <c r="F74" s="398"/>
      <c r="G74" s="398"/>
    </row>
    <row r="75" spans="2:7" x14ac:dyDescent="0.3">
      <c r="B75" s="21"/>
      <c r="C75" s="21"/>
      <c r="D75" s="21"/>
      <c r="E75" s="398"/>
      <c r="F75" s="398"/>
      <c r="G75" s="398"/>
    </row>
    <row r="76" spans="2:7" x14ac:dyDescent="0.3">
      <c r="B76" s="21"/>
      <c r="C76" s="21"/>
      <c r="D76" s="21"/>
      <c r="E76" s="398"/>
      <c r="F76" s="398"/>
      <c r="G76" s="398"/>
    </row>
    <row r="77" spans="2:7" x14ac:dyDescent="0.3">
      <c r="B77" s="21"/>
      <c r="C77" s="21"/>
      <c r="D77" s="21"/>
      <c r="E77" s="398"/>
      <c r="F77" s="398"/>
      <c r="G77" s="398"/>
    </row>
    <row r="78" spans="2:7" x14ac:dyDescent="0.3">
      <c r="B78" s="21"/>
      <c r="C78" s="21"/>
      <c r="D78" s="21"/>
      <c r="E78" s="398"/>
      <c r="F78" s="398"/>
      <c r="G78" s="398"/>
    </row>
    <row r="79" spans="2:7" x14ac:dyDescent="0.3">
      <c r="B79" s="21"/>
      <c r="C79" s="21"/>
      <c r="D79" s="21"/>
      <c r="E79" s="398"/>
      <c r="F79" s="398"/>
      <c r="G79" s="398"/>
    </row>
    <row r="80" spans="2:7" x14ac:dyDescent="0.3">
      <c r="B80" s="21"/>
      <c r="C80" s="21"/>
      <c r="D80" s="21"/>
      <c r="E80" s="398"/>
      <c r="F80" s="398"/>
      <c r="G80" s="398"/>
    </row>
    <row r="81" spans="2:7" x14ac:dyDescent="0.3">
      <c r="B81" s="21"/>
      <c r="C81" s="21"/>
      <c r="D81" s="21"/>
      <c r="E81" s="398"/>
      <c r="F81" s="398"/>
      <c r="G81" s="398"/>
    </row>
    <row r="82" spans="2:7" x14ac:dyDescent="0.3">
      <c r="B82" s="21"/>
      <c r="C82" s="21"/>
      <c r="D82" s="21"/>
      <c r="E82" s="398"/>
      <c r="F82" s="398"/>
      <c r="G82" s="398"/>
    </row>
    <row r="83" spans="2:7" x14ac:dyDescent="0.3">
      <c r="B83" s="21"/>
      <c r="C83" s="21"/>
      <c r="D83" s="21"/>
      <c r="E83" s="398"/>
      <c r="F83" s="398"/>
      <c r="G83" s="398"/>
    </row>
    <row r="84" spans="2:7" x14ac:dyDescent="0.3">
      <c r="B84" s="21"/>
      <c r="C84" s="21"/>
      <c r="D84" s="21"/>
      <c r="E84" s="398"/>
      <c r="F84" s="398"/>
      <c r="G84" s="398"/>
    </row>
    <row r="85" spans="2:7" x14ac:dyDescent="0.3">
      <c r="B85" s="21"/>
      <c r="C85" s="21"/>
      <c r="D85" s="21"/>
      <c r="E85" s="398"/>
      <c r="F85" s="398"/>
      <c r="G85" s="398"/>
    </row>
    <row r="86" spans="2:7" x14ac:dyDescent="0.3">
      <c r="B86" s="21"/>
      <c r="C86" s="21"/>
      <c r="D86" s="21"/>
      <c r="E86" s="398"/>
      <c r="F86" s="398"/>
      <c r="G86" s="398"/>
    </row>
    <row r="87" spans="2:7" x14ac:dyDescent="0.3">
      <c r="B87" s="21"/>
      <c r="C87" s="21"/>
      <c r="D87" s="21"/>
      <c r="E87" s="398"/>
      <c r="F87" s="398"/>
      <c r="G87" s="398"/>
    </row>
    <row r="88" spans="2:7" x14ac:dyDescent="0.3">
      <c r="B88" s="21"/>
      <c r="C88" s="21"/>
      <c r="D88" s="21"/>
      <c r="E88" s="398"/>
      <c r="F88" s="398"/>
      <c r="G88" s="398"/>
    </row>
    <row r="89" spans="2:7" x14ac:dyDescent="0.3">
      <c r="B89" s="21"/>
      <c r="C89" s="21"/>
      <c r="D89" s="21"/>
      <c r="E89" s="398"/>
      <c r="F89" s="398"/>
      <c r="G89" s="398"/>
    </row>
    <row r="90" spans="2:7" x14ac:dyDescent="0.3">
      <c r="B90" s="21"/>
      <c r="C90" s="21"/>
      <c r="D90" s="21"/>
      <c r="E90" s="398"/>
      <c r="F90" s="398"/>
      <c r="G90" s="398"/>
    </row>
    <row r="91" spans="2:7" x14ac:dyDescent="0.3">
      <c r="B91" s="21"/>
      <c r="C91" s="21"/>
      <c r="D91" s="21"/>
      <c r="E91" s="398"/>
      <c r="F91" s="398"/>
      <c r="G91" s="398"/>
    </row>
    <row r="92" spans="2:7" x14ac:dyDescent="0.3">
      <c r="B92" s="21"/>
      <c r="C92" s="21"/>
      <c r="D92" s="21"/>
      <c r="E92" s="398"/>
      <c r="F92" s="398"/>
      <c r="G92" s="398"/>
    </row>
    <row r="93" spans="2:7" x14ac:dyDescent="0.3">
      <c r="B93" s="21"/>
      <c r="C93" s="21"/>
      <c r="D93" s="21"/>
      <c r="E93" s="398"/>
      <c r="F93" s="398"/>
      <c r="G93" s="398"/>
    </row>
    <row r="94" spans="2:7" x14ac:dyDescent="0.3">
      <c r="B94" s="21"/>
      <c r="C94" s="21"/>
      <c r="D94" s="21"/>
      <c r="E94" s="398"/>
      <c r="F94" s="398"/>
      <c r="G94" s="398"/>
    </row>
    <row r="95" spans="2:7" x14ac:dyDescent="0.3">
      <c r="B95" s="21"/>
      <c r="C95" s="21"/>
      <c r="D95" s="21"/>
      <c r="E95" s="398"/>
      <c r="F95" s="398"/>
      <c r="G95" s="398"/>
    </row>
    <row r="96" spans="2:7" x14ac:dyDescent="0.3">
      <c r="B96" s="21"/>
      <c r="C96" s="21"/>
      <c r="D96" s="21"/>
      <c r="E96" s="398"/>
      <c r="F96" s="398"/>
      <c r="G96" s="398"/>
    </row>
    <row r="97" spans="2:7" x14ac:dyDescent="0.3">
      <c r="B97" s="21"/>
      <c r="C97" s="21"/>
      <c r="D97" s="21"/>
      <c r="E97" s="398"/>
      <c r="F97" s="398"/>
      <c r="G97" s="398"/>
    </row>
  </sheetData>
  <mergeCells count="97">
    <mergeCell ref="E97:G97"/>
    <mergeCell ref="E91:G91"/>
    <mergeCell ref="E92:G92"/>
    <mergeCell ref="E93:G93"/>
    <mergeCell ref="E94:G94"/>
    <mergeCell ref="E95:G95"/>
    <mergeCell ref="E96:G96"/>
    <mergeCell ref="E90:G90"/>
    <mergeCell ref="E79:G79"/>
    <mergeCell ref="E80:G8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78:G78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76:G76"/>
    <mergeCell ref="E77:G77"/>
    <mergeCell ref="E66:G66"/>
    <mergeCell ref="E55:G55"/>
    <mergeCell ref="E56:G56"/>
    <mergeCell ref="E57:G57"/>
    <mergeCell ref="E58:G58"/>
    <mergeCell ref="E59:G59"/>
    <mergeCell ref="E60:G60"/>
    <mergeCell ref="E61:G61"/>
    <mergeCell ref="E62:G62"/>
    <mergeCell ref="E63:G63"/>
    <mergeCell ref="E64:G64"/>
    <mergeCell ref="E65:G65"/>
    <mergeCell ref="E54:G54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42:G42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30:G30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18:G18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6:G6"/>
    <mergeCell ref="E1:G1"/>
    <mergeCell ref="E2:G2"/>
    <mergeCell ref="E3:G3"/>
    <mergeCell ref="E4:G4"/>
    <mergeCell ref="E5:G5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6"/>
  <sheetViews>
    <sheetView workbookViewId="0">
      <selection activeCell="C97" sqref="C97"/>
    </sheetView>
  </sheetViews>
  <sheetFormatPr defaultRowHeight="16.5" x14ac:dyDescent="0.3"/>
  <cols>
    <col min="2" max="2" width="15.25" bestFit="1" customWidth="1"/>
    <col min="4" max="4" width="11" bestFit="1" customWidth="1"/>
    <col min="7" max="7" width="9.75" customWidth="1"/>
  </cols>
  <sheetData>
    <row r="1" spans="1:7" ht="17.25" thickBot="1" x14ac:dyDescent="0.35">
      <c r="A1" s="47"/>
      <c r="B1" s="45" t="s">
        <v>911</v>
      </c>
      <c r="C1" s="44" t="s">
        <v>1</v>
      </c>
      <c r="D1" s="44" t="s">
        <v>588</v>
      </c>
      <c r="E1" s="420" t="s">
        <v>3</v>
      </c>
      <c r="F1" s="420"/>
      <c r="G1" s="421"/>
    </row>
    <row r="2" spans="1:7" x14ac:dyDescent="0.3">
      <c r="A2" s="46">
        <v>1</v>
      </c>
      <c r="B2" s="39" t="s">
        <v>1232</v>
      </c>
      <c r="C2" s="37">
        <v>10755</v>
      </c>
      <c r="D2" s="37" t="s">
        <v>1233</v>
      </c>
      <c r="E2" s="410" t="s">
        <v>1234</v>
      </c>
      <c r="F2" s="410"/>
      <c r="G2" s="411"/>
    </row>
    <row r="3" spans="1:7" x14ac:dyDescent="0.3">
      <c r="A3" s="20">
        <v>2</v>
      </c>
      <c r="B3" s="31" t="s">
        <v>1235</v>
      </c>
      <c r="C3" s="37">
        <v>10756</v>
      </c>
      <c r="D3" s="26" t="s">
        <v>1236</v>
      </c>
      <c r="E3" s="399" t="s">
        <v>1237</v>
      </c>
      <c r="F3" s="399"/>
      <c r="G3" s="400"/>
    </row>
    <row r="4" spans="1:7" x14ac:dyDescent="0.3">
      <c r="A4" s="20">
        <v>3</v>
      </c>
      <c r="B4" s="31" t="s">
        <v>1238</v>
      </c>
      <c r="C4" s="37">
        <v>10757</v>
      </c>
      <c r="D4" s="26" t="s">
        <v>1239</v>
      </c>
      <c r="E4" s="399" t="s">
        <v>1240</v>
      </c>
      <c r="F4" s="399"/>
      <c r="G4" s="400"/>
    </row>
    <row r="5" spans="1:7" x14ac:dyDescent="0.3">
      <c r="A5" s="20">
        <v>4</v>
      </c>
      <c r="B5" s="31" t="s">
        <v>1241</v>
      </c>
      <c r="C5" s="37">
        <v>10758</v>
      </c>
      <c r="D5" s="26" t="s">
        <v>1242</v>
      </c>
      <c r="E5" s="399" t="s">
        <v>1237</v>
      </c>
      <c r="F5" s="399"/>
      <c r="G5" s="400"/>
    </row>
    <row r="6" spans="1:7" x14ac:dyDescent="0.3">
      <c r="A6" s="20">
        <v>5</v>
      </c>
      <c r="B6" s="31" t="s">
        <v>1243</v>
      </c>
      <c r="C6" s="37">
        <v>10759</v>
      </c>
      <c r="D6" s="26" t="s">
        <v>1244</v>
      </c>
      <c r="E6" s="399" t="s">
        <v>1237</v>
      </c>
      <c r="F6" s="399"/>
      <c r="G6" s="400"/>
    </row>
    <row r="7" spans="1:7" x14ac:dyDescent="0.3">
      <c r="A7" s="20">
        <v>6</v>
      </c>
      <c r="B7" s="31" t="s">
        <v>1245</v>
      </c>
      <c r="C7" s="37">
        <v>10760</v>
      </c>
      <c r="D7" s="26" t="s">
        <v>1246</v>
      </c>
      <c r="E7" s="399" t="s">
        <v>1247</v>
      </c>
      <c r="F7" s="399"/>
      <c r="G7" s="400"/>
    </row>
    <row r="8" spans="1:7" x14ac:dyDescent="0.3">
      <c r="A8" s="20">
        <v>7</v>
      </c>
      <c r="B8" s="31" t="s">
        <v>1248</v>
      </c>
      <c r="C8" s="37">
        <v>10761</v>
      </c>
      <c r="D8" s="26" t="s">
        <v>1249</v>
      </c>
      <c r="E8" s="399" t="s">
        <v>1234</v>
      </c>
      <c r="F8" s="399"/>
      <c r="G8" s="400"/>
    </row>
    <row r="9" spans="1:7" x14ac:dyDescent="0.3">
      <c r="A9" s="20">
        <v>8</v>
      </c>
      <c r="B9" s="31" t="s">
        <v>1250</v>
      </c>
      <c r="C9" s="37">
        <v>10762</v>
      </c>
      <c r="D9" s="26" t="s">
        <v>1251</v>
      </c>
      <c r="E9" s="399" t="s">
        <v>1234</v>
      </c>
      <c r="F9" s="399"/>
      <c r="G9" s="400"/>
    </row>
    <row r="10" spans="1:7" x14ac:dyDescent="0.3">
      <c r="A10" s="20">
        <v>9</v>
      </c>
      <c r="B10" s="31" t="s">
        <v>1252</v>
      </c>
      <c r="C10" s="37">
        <v>10763</v>
      </c>
      <c r="D10" s="26" t="s">
        <v>1253</v>
      </c>
      <c r="E10" s="399" t="s">
        <v>1247</v>
      </c>
      <c r="F10" s="399"/>
      <c r="G10" s="400"/>
    </row>
    <row r="11" spans="1:7" x14ac:dyDescent="0.3">
      <c r="A11" s="20">
        <v>10</v>
      </c>
      <c r="B11" s="31" t="s">
        <v>1254</v>
      </c>
      <c r="C11" s="37">
        <v>10764</v>
      </c>
      <c r="D11" s="26" t="s">
        <v>1255</v>
      </c>
      <c r="E11" s="399" t="s">
        <v>1237</v>
      </c>
      <c r="F11" s="399"/>
      <c r="G11" s="400"/>
    </row>
    <row r="12" spans="1:7" x14ac:dyDescent="0.3">
      <c r="A12" s="20">
        <v>11</v>
      </c>
      <c r="B12" s="31" t="s">
        <v>1256</v>
      </c>
      <c r="C12" s="37">
        <v>10765</v>
      </c>
      <c r="D12" s="26" t="s">
        <v>1257</v>
      </c>
      <c r="E12" s="399" t="s">
        <v>1258</v>
      </c>
      <c r="F12" s="399"/>
      <c r="G12" s="400"/>
    </row>
    <row r="13" spans="1:7" x14ac:dyDescent="0.3">
      <c r="A13" s="20">
        <v>12</v>
      </c>
      <c r="B13" s="31" t="s">
        <v>1259</v>
      </c>
      <c r="C13" s="37">
        <v>10766</v>
      </c>
      <c r="D13" s="26" t="s">
        <v>1260</v>
      </c>
      <c r="E13" s="399" t="s">
        <v>1234</v>
      </c>
      <c r="F13" s="399"/>
      <c r="G13" s="400"/>
    </row>
    <row r="14" spans="1:7" x14ac:dyDescent="0.3">
      <c r="A14" s="20">
        <v>13</v>
      </c>
      <c r="B14" s="31" t="s">
        <v>1261</v>
      </c>
      <c r="C14" s="37">
        <v>10767</v>
      </c>
      <c r="D14" s="26" t="s">
        <v>1262</v>
      </c>
      <c r="E14" s="399" t="s">
        <v>1263</v>
      </c>
      <c r="F14" s="399"/>
      <c r="G14" s="400"/>
    </row>
    <row r="15" spans="1:7" x14ac:dyDescent="0.3">
      <c r="A15" s="20">
        <v>14</v>
      </c>
      <c r="B15" s="31" t="s">
        <v>1264</v>
      </c>
      <c r="C15" s="37">
        <v>10768</v>
      </c>
      <c r="D15" s="26" t="s">
        <v>1265</v>
      </c>
      <c r="E15" s="399" t="s">
        <v>1266</v>
      </c>
      <c r="F15" s="399"/>
      <c r="G15" s="400"/>
    </row>
    <row r="16" spans="1:7" x14ac:dyDescent="0.3">
      <c r="A16" s="20">
        <v>15</v>
      </c>
      <c r="B16" s="31" t="s">
        <v>1267</v>
      </c>
      <c r="C16" s="37">
        <v>10769</v>
      </c>
      <c r="D16" s="26" t="s">
        <v>1268</v>
      </c>
      <c r="E16" s="399" t="s">
        <v>1269</v>
      </c>
      <c r="F16" s="399"/>
      <c r="G16" s="400"/>
    </row>
    <row r="17" spans="1:7" x14ac:dyDescent="0.3">
      <c r="A17" s="20">
        <v>16</v>
      </c>
      <c r="B17" s="31" t="s">
        <v>1270</v>
      </c>
      <c r="C17" s="37">
        <v>10770</v>
      </c>
      <c r="D17" s="26" t="s">
        <v>1271</v>
      </c>
      <c r="E17" s="399" t="s">
        <v>1272</v>
      </c>
      <c r="F17" s="399"/>
      <c r="G17" s="400"/>
    </row>
    <row r="18" spans="1:7" x14ac:dyDescent="0.3">
      <c r="A18" s="20">
        <v>17</v>
      </c>
      <c r="B18" s="31" t="s">
        <v>1319</v>
      </c>
      <c r="C18" s="37">
        <v>10771</v>
      </c>
      <c r="D18" s="26" t="s">
        <v>1273</v>
      </c>
      <c r="E18" s="399" t="s">
        <v>1344</v>
      </c>
      <c r="F18" s="399"/>
      <c r="G18" s="400"/>
    </row>
    <row r="19" spans="1:7" x14ac:dyDescent="0.3">
      <c r="A19" s="20">
        <v>18</v>
      </c>
      <c r="B19" s="31" t="s">
        <v>1276</v>
      </c>
      <c r="C19" s="37">
        <v>10772</v>
      </c>
      <c r="D19" s="26" t="s">
        <v>1274</v>
      </c>
      <c r="E19" s="399" t="s">
        <v>1275</v>
      </c>
      <c r="F19" s="399"/>
      <c r="G19" s="400"/>
    </row>
    <row r="20" spans="1:7" x14ac:dyDescent="0.3">
      <c r="A20" s="20">
        <v>19</v>
      </c>
      <c r="B20" s="31" t="s">
        <v>1277</v>
      </c>
      <c r="C20" s="37">
        <v>10773</v>
      </c>
      <c r="D20" s="26" t="s">
        <v>1278</v>
      </c>
      <c r="E20" s="399" t="s">
        <v>1275</v>
      </c>
      <c r="F20" s="399"/>
      <c r="G20" s="400"/>
    </row>
    <row r="21" spans="1:7" x14ac:dyDescent="0.3">
      <c r="A21" s="20">
        <v>20</v>
      </c>
      <c r="B21" s="31" t="s">
        <v>1279</v>
      </c>
      <c r="C21" s="37">
        <v>10774</v>
      </c>
      <c r="D21" s="26" t="s">
        <v>1280</v>
      </c>
      <c r="E21" s="399" t="s">
        <v>192</v>
      </c>
      <c r="F21" s="399"/>
      <c r="G21" s="400"/>
    </row>
    <row r="22" spans="1:7" x14ac:dyDescent="0.3">
      <c r="A22" s="20">
        <v>21</v>
      </c>
      <c r="B22" s="31" t="s">
        <v>1281</v>
      </c>
      <c r="C22" s="37">
        <v>10775</v>
      </c>
      <c r="D22" s="26" t="s">
        <v>1282</v>
      </c>
      <c r="E22" s="399" t="s">
        <v>1275</v>
      </c>
      <c r="F22" s="399"/>
      <c r="G22" s="400"/>
    </row>
    <row r="23" spans="1:7" x14ac:dyDescent="0.3">
      <c r="A23" s="20">
        <v>22</v>
      </c>
      <c r="B23" s="31" t="s">
        <v>1283</v>
      </c>
      <c r="C23" s="37">
        <v>10776</v>
      </c>
      <c r="D23" s="26" t="s">
        <v>1284</v>
      </c>
      <c r="E23" s="399" t="s">
        <v>1285</v>
      </c>
      <c r="F23" s="399"/>
      <c r="G23" s="400"/>
    </row>
    <row r="24" spans="1:7" x14ac:dyDescent="0.3">
      <c r="A24" s="20">
        <v>23</v>
      </c>
      <c r="B24" s="31" t="s">
        <v>1286</v>
      </c>
      <c r="C24" s="37">
        <v>10777</v>
      </c>
      <c r="D24" s="26" t="s">
        <v>1287</v>
      </c>
      <c r="E24" s="399" t="s">
        <v>1275</v>
      </c>
      <c r="F24" s="399"/>
      <c r="G24" s="400"/>
    </row>
    <row r="25" spans="1:7" x14ac:dyDescent="0.3">
      <c r="A25" s="20">
        <v>24</v>
      </c>
      <c r="B25" s="31" t="s">
        <v>1347</v>
      </c>
      <c r="C25" s="37">
        <v>10778</v>
      </c>
      <c r="D25" s="26" t="s">
        <v>1288</v>
      </c>
      <c r="E25" s="399" t="s">
        <v>63</v>
      </c>
      <c r="F25" s="399"/>
      <c r="G25" s="400"/>
    </row>
    <row r="26" spans="1:7" x14ac:dyDescent="0.3">
      <c r="A26" s="20">
        <v>25</v>
      </c>
      <c r="B26" s="31" t="s">
        <v>1290</v>
      </c>
      <c r="C26" s="37">
        <v>10779</v>
      </c>
      <c r="D26" s="26" t="s">
        <v>1289</v>
      </c>
      <c r="E26" s="399" t="s">
        <v>1293</v>
      </c>
      <c r="F26" s="399"/>
      <c r="G26" s="400"/>
    </row>
    <row r="27" spans="1:7" x14ac:dyDescent="0.3">
      <c r="A27" s="20">
        <v>26</v>
      </c>
      <c r="B27" s="31" t="s">
        <v>1291</v>
      </c>
      <c r="C27" s="37">
        <v>10780</v>
      </c>
      <c r="D27" s="26" t="s">
        <v>1292</v>
      </c>
      <c r="E27" s="399" t="s">
        <v>63</v>
      </c>
      <c r="F27" s="399"/>
      <c r="G27" s="400"/>
    </row>
    <row r="28" spans="1:7" x14ac:dyDescent="0.3">
      <c r="A28" s="20">
        <v>27</v>
      </c>
      <c r="B28" s="31" t="s">
        <v>1294</v>
      </c>
      <c r="C28" s="37">
        <v>10781</v>
      </c>
      <c r="D28" s="26" t="s">
        <v>1295</v>
      </c>
      <c r="E28" s="399" t="s">
        <v>1272</v>
      </c>
      <c r="F28" s="399"/>
      <c r="G28" s="400"/>
    </row>
    <row r="29" spans="1:7" x14ac:dyDescent="0.3">
      <c r="A29" s="20">
        <v>28</v>
      </c>
      <c r="B29" s="31" t="s">
        <v>1296</v>
      </c>
      <c r="C29" s="37">
        <v>10782</v>
      </c>
      <c r="D29" s="26" t="s">
        <v>1297</v>
      </c>
      <c r="E29" s="399" t="s">
        <v>1285</v>
      </c>
      <c r="F29" s="399"/>
      <c r="G29" s="400"/>
    </row>
    <row r="30" spans="1:7" x14ac:dyDescent="0.3">
      <c r="A30" s="20">
        <v>29</v>
      </c>
      <c r="B30" s="31" t="s">
        <v>1298</v>
      </c>
      <c r="C30" s="37">
        <v>10783</v>
      </c>
      <c r="D30" s="26" t="s">
        <v>1299</v>
      </c>
      <c r="E30" s="399" t="s">
        <v>1285</v>
      </c>
      <c r="F30" s="399"/>
      <c r="G30" s="400"/>
    </row>
    <row r="31" spans="1:7" x14ac:dyDescent="0.3">
      <c r="A31" s="20">
        <v>30</v>
      </c>
      <c r="B31" s="31" t="s">
        <v>1300</v>
      </c>
      <c r="C31" s="37">
        <v>10784</v>
      </c>
      <c r="D31" s="26" t="s">
        <v>1301</v>
      </c>
      <c r="E31" s="399" t="s">
        <v>1258</v>
      </c>
      <c r="F31" s="399"/>
      <c r="G31" s="400"/>
    </row>
    <row r="32" spans="1:7" x14ac:dyDescent="0.3">
      <c r="A32" s="20">
        <v>31</v>
      </c>
      <c r="B32" s="31" t="s">
        <v>1302</v>
      </c>
      <c r="C32" s="37">
        <v>10785</v>
      </c>
      <c r="D32" s="26" t="s">
        <v>1303</v>
      </c>
      <c r="E32" s="399" t="s">
        <v>1285</v>
      </c>
      <c r="F32" s="399"/>
      <c r="G32" s="400"/>
    </row>
    <row r="33" spans="1:7" x14ac:dyDescent="0.3">
      <c r="A33" s="20">
        <v>32</v>
      </c>
      <c r="B33" s="31" t="s">
        <v>1304</v>
      </c>
      <c r="C33" s="37">
        <v>10786</v>
      </c>
      <c r="D33" s="26" t="s">
        <v>1305</v>
      </c>
      <c r="E33" s="399" t="s">
        <v>63</v>
      </c>
      <c r="F33" s="399"/>
      <c r="G33" s="400"/>
    </row>
    <row r="34" spans="1:7" x14ac:dyDescent="0.3">
      <c r="A34" s="20">
        <v>33</v>
      </c>
      <c r="B34" s="31" t="s">
        <v>1306</v>
      </c>
      <c r="C34" s="37">
        <v>10787</v>
      </c>
      <c r="D34" s="26" t="s">
        <v>1307</v>
      </c>
      <c r="E34" s="399" t="s">
        <v>63</v>
      </c>
      <c r="F34" s="399"/>
      <c r="G34" s="400"/>
    </row>
    <row r="35" spans="1:7" x14ac:dyDescent="0.3">
      <c r="A35" s="20">
        <v>34</v>
      </c>
      <c r="B35" s="31" t="s">
        <v>1309</v>
      </c>
      <c r="C35" s="37">
        <v>10788</v>
      </c>
      <c r="D35" s="26" t="s">
        <v>1308</v>
      </c>
      <c r="E35" s="399" t="s">
        <v>1285</v>
      </c>
      <c r="F35" s="399"/>
      <c r="G35" s="400"/>
    </row>
    <row r="36" spans="1:7" x14ac:dyDescent="0.3">
      <c r="A36" s="20">
        <v>35</v>
      </c>
      <c r="B36" s="31" t="s">
        <v>1310</v>
      </c>
      <c r="C36" s="37">
        <v>10789</v>
      </c>
      <c r="D36" s="26" t="s">
        <v>1311</v>
      </c>
      <c r="E36" s="399" t="s">
        <v>1285</v>
      </c>
      <c r="F36" s="399"/>
      <c r="G36" s="400"/>
    </row>
    <row r="37" spans="1:7" x14ac:dyDescent="0.3">
      <c r="A37" s="20">
        <v>36</v>
      </c>
      <c r="B37" s="31" t="s">
        <v>1312</v>
      </c>
      <c r="C37" s="37">
        <v>10790</v>
      </c>
      <c r="D37" s="26" t="s">
        <v>1313</v>
      </c>
      <c r="E37" s="399" t="s">
        <v>63</v>
      </c>
      <c r="F37" s="399"/>
      <c r="G37" s="400"/>
    </row>
    <row r="38" spans="1:7" x14ac:dyDescent="0.3">
      <c r="A38" s="20">
        <v>37</v>
      </c>
      <c r="B38" s="31" t="s">
        <v>1314</v>
      </c>
      <c r="C38" s="37">
        <v>10791</v>
      </c>
      <c r="D38" s="26" t="s">
        <v>1315</v>
      </c>
      <c r="E38" s="399" t="s">
        <v>63</v>
      </c>
      <c r="F38" s="399"/>
      <c r="G38" s="400"/>
    </row>
    <row r="39" spans="1:7" x14ac:dyDescent="0.3">
      <c r="A39" s="20">
        <v>38</v>
      </c>
      <c r="B39" s="31" t="s">
        <v>1316</v>
      </c>
      <c r="C39" s="37">
        <v>10792</v>
      </c>
      <c r="D39" s="26" t="s">
        <v>1317</v>
      </c>
      <c r="E39" s="399" t="s">
        <v>63</v>
      </c>
      <c r="F39" s="399"/>
      <c r="G39" s="400"/>
    </row>
    <row r="40" spans="1:7" x14ac:dyDescent="0.3">
      <c r="A40" s="20">
        <v>39</v>
      </c>
      <c r="B40" s="31"/>
      <c r="C40" s="37">
        <v>10793</v>
      </c>
      <c r="D40" s="26"/>
      <c r="E40" s="399"/>
      <c r="F40" s="399"/>
      <c r="G40" s="400"/>
    </row>
    <row r="41" spans="1:7" x14ac:dyDescent="0.3">
      <c r="A41" s="20">
        <v>40</v>
      </c>
      <c r="B41" s="31" t="s">
        <v>1290</v>
      </c>
      <c r="C41" s="37">
        <v>10794</v>
      </c>
      <c r="D41" s="52" t="s">
        <v>1318</v>
      </c>
      <c r="E41" s="425" t="s">
        <v>63</v>
      </c>
      <c r="F41" s="425"/>
      <c r="G41" s="426"/>
    </row>
    <row r="42" spans="1:7" x14ac:dyDescent="0.3">
      <c r="A42" s="20">
        <v>41</v>
      </c>
      <c r="B42" s="31" t="s">
        <v>1319</v>
      </c>
      <c r="C42" s="37">
        <v>10795</v>
      </c>
      <c r="D42" s="52" t="s">
        <v>1320</v>
      </c>
      <c r="E42" s="427" t="s">
        <v>63</v>
      </c>
      <c r="F42" s="428"/>
      <c r="G42" s="429"/>
    </row>
    <row r="43" spans="1:7" x14ac:dyDescent="0.3">
      <c r="A43" s="20">
        <v>42</v>
      </c>
      <c r="B43" s="31" t="s">
        <v>1321</v>
      </c>
      <c r="C43" s="37">
        <v>10796</v>
      </c>
      <c r="D43" s="26" t="s">
        <v>1322</v>
      </c>
      <c r="E43" s="399" t="s">
        <v>1323</v>
      </c>
      <c r="F43" s="399"/>
      <c r="G43" s="400"/>
    </row>
    <row r="44" spans="1:7" x14ac:dyDescent="0.3">
      <c r="A44" s="20">
        <v>43</v>
      </c>
      <c r="B44" s="31" t="s">
        <v>1276</v>
      </c>
      <c r="C44" s="37">
        <v>10797</v>
      </c>
      <c r="D44" s="26" t="s">
        <v>1324</v>
      </c>
      <c r="E44" s="399" t="s">
        <v>63</v>
      </c>
      <c r="F44" s="399"/>
      <c r="G44" s="400"/>
    </row>
    <row r="45" spans="1:7" x14ac:dyDescent="0.3">
      <c r="A45" s="20">
        <v>44</v>
      </c>
      <c r="B45" s="31" t="s">
        <v>1325</v>
      </c>
      <c r="C45" s="37">
        <v>10798</v>
      </c>
      <c r="D45" s="26" t="s">
        <v>1326</v>
      </c>
      <c r="E45" s="399" t="s">
        <v>1037</v>
      </c>
      <c r="F45" s="399"/>
      <c r="G45" s="400"/>
    </row>
    <row r="46" spans="1:7" x14ac:dyDescent="0.3">
      <c r="A46" s="20">
        <v>45</v>
      </c>
      <c r="B46" s="31" t="s">
        <v>1327</v>
      </c>
      <c r="C46" s="37">
        <v>10799</v>
      </c>
      <c r="D46" s="26" t="s">
        <v>1328</v>
      </c>
      <c r="E46" s="399" t="s">
        <v>63</v>
      </c>
      <c r="F46" s="399"/>
      <c r="G46" s="400"/>
    </row>
    <row r="47" spans="1:7" x14ac:dyDescent="0.3">
      <c r="A47" s="20">
        <v>46</v>
      </c>
      <c r="B47" s="31" t="s">
        <v>1329</v>
      </c>
      <c r="C47" s="37">
        <v>10800</v>
      </c>
      <c r="D47" s="26" t="s">
        <v>1330</v>
      </c>
      <c r="E47" s="399" t="s">
        <v>63</v>
      </c>
      <c r="F47" s="399"/>
      <c r="G47" s="400"/>
    </row>
    <row r="48" spans="1:7" x14ac:dyDescent="0.3">
      <c r="A48" s="20">
        <v>47</v>
      </c>
      <c r="B48" s="31" t="s">
        <v>1459</v>
      </c>
      <c r="C48" s="37">
        <v>10801</v>
      </c>
      <c r="D48" s="26" t="s">
        <v>1331</v>
      </c>
      <c r="E48" s="399"/>
      <c r="F48" s="399"/>
      <c r="G48" s="400"/>
    </row>
    <row r="49" spans="1:7" x14ac:dyDescent="0.3">
      <c r="A49" s="20">
        <v>48</v>
      </c>
      <c r="B49" s="31" t="s">
        <v>1333</v>
      </c>
      <c r="C49" s="37">
        <v>10802</v>
      </c>
      <c r="D49" s="26" t="s">
        <v>1332</v>
      </c>
      <c r="E49" s="399" t="s">
        <v>63</v>
      </c>
      <c r="F49" s="399"/>
      <c r="G49" s="400"/>
    </row>
    <row r="50" spans="1:7" x14ac:dyDescent="0.3">
      <c r="A50" s="20">
        <v>49</v>
      </c>
      <c r="B50" s="31" t="s">
        <v>1334</v>
      </c>
      <c r="C50" s="37">
        <v>10803</v>
      </c>
      <c r="D50" s="26" t="s">
        <v>1335</v>
      </c>
      <c r="E50" s="399" t="s">
        <v>1275</v>
      </c>
      <c r="F50" s="399"/>
      <c r="G50" s="400"/>
    </row>
    <row r="51" spans="1:7" x14ac:dyDescent="0.3">
      <c r="A51" s="20">
        <v>50</v>
      </c>
      <c r="B51" s="31" t="s">
        <v>1336</v>
      </c>
      <c r="C51" s="37">
        <v>10804</v>
      </c>
      <c r="D51" s="26" t="s">
        <v>1337</v>
      </c>
      <c r="E51" s="399" t="s">
        <v>63</v>
      </c>
      <c r="F51" s="399"/>
      <c r="G51" s="400"/>
    </row>
    <row r="52" spans="1:7" x14ac:dyDescent="0.3">
      <c r="A52" s="20">
        <v>51</v>
      </c>
      <c r="B52" s="31" t="s">
        <v>1338</v>
      </c>
      <c r="C52" s="37">
        <v>10805</v>
      </c>
      <c r="D52" s="26" t="s">
        <v>1339</v>
      </c>
      <c r="E52" s="392" t="s">
        <v>63</v>
      </c>
      <c r="F52" s="393"/>
      <c r="G52" s="394"/>
    </row>
    <row r="53" spans="1:7" x14ac:dyDescent="0.3">
      <c r="A53" s="20">
        <v>52</v>
      </c>
      <c r="B53" s="31" t="s">
        <v>1340</v>
      </c>
      <c r="C53" s="37">
        <v>10806</v>
      </c>
      <c r="D53" s="26" t="s">
        <v>1341</v>
      </c>
      <c r="E53" s="392" t="s">
        <v>63</v>
      </c>
      <c r="F53" s="393"/>
      <c r="G53" s="394"/>
    </row>
    <row r="54" spans="1:7" x14ac:dyDescent="0.3">
      <c r="A54" s="20">
        <v>53</v>
      </c>
      <c r="B54" s="31" t="s">
        <v>1342</v>
      </c>
      <c r="C54" s="37">
        <v>10807</v>
      </c>
      <c r="D54" s="26" t="s">
        <v>1343</v>
      </c>
      <c r="E54" s="401" t="s">
        <v>1344</v>
      </c>
      <c r="F54" s="402"/>
      <c r="G54" s="403"/>
    </row>
    <row r="55" spans="1:7" x14ac:dyDescent="0.3">
      <c r="A55" s="20">
        <v>54</v>
      </c>
      <c r="B55" s="31" t="s">
        <v>1345</v>
      </c>
      <c r="C55" s="37">
        <v>10808</v>
      </c>
      <c r="D55" s="43" t="s">
        <v>1346</v>
      </c>
      <c r="E55" s="392" t="s">
        <v>1285</v>
      </c>
      <c r="F55" s="393"/>
      <c r="G55" s="394"/>
    </row>
    <row r="56" spans="1:7" x14ac:dyDescent="0.3">
      <c r="A56" s="20">
        <v>55</v>
      </c>
      <c r="B56" s="31" t="s">
        <v>1348</v>
      </c>
      <c r="C56" s="37">
        <v>10809</v>
      </c>
      <c r="D56" s="43" t="s">
        <v>1349</v>
      </c>
      <c r="E56" s="392" t="s">
        <v>1344</v>
      </c>
      <c r="F56" s="393"/>
      <c r="G56" s="394"/>
    </row>
    <row r="57" spans="1:7" x14ac:dyDescent="0.3">
      <c r="A57" s="20">
        <v>56</v>
      </c>
      <c r="B57" s="31" t="s">
        <v>1350</v>
      </c>
      <c r="C57" s="37">
        <v>10810</v>
      </c>
      <c r="D57" s="43" t="s">
        <v>1351</v>
      </c>
      <c r="E57" s="392" t="s">
        <v>63</v>
      </c>
      <c r="F57" s="393"/>
      <c r="G57" s="394"/>
    </row>
    <row r="58" spans="1:7" x14ac:dyDescent="0.3">
      <c r="A58" s="20">
        <v>57</v>
      </c>
      <c r="B58" s="31" t="s">
        <v>1352</v>
      </c>
      <c r="C58" s="37">
        <v>10811</v>
      </c>
      <c r="D58" s="43" t="s">
        <v>1353</v>
      </c>
      <c r="E58" s="399" t="s">
        <v>63</v>
      </c>
      <c r="F58" s="399"/>
      <c r="G58" s="400"/>
    </row>
    <row r="59" spans="1:7" x14ac:dyDescent="0.3">
      <c r="A59" s="20">
        <v>58</v>
      </c>
      <c r="B59" s="31" t="s">
        <v>1354</v>
      </c>
      <c r="C59" s="26">
        <v>10812</v>
      </c>
      <c r="D59" s="26" t="s">
        <v>1355</v>
      </c>
      <c r="E59" s="399" t="s">
        <v>1323</v>
      </c>
      <c r="F59" s="399"/>
      <c r="G59" s="399"/>
    </row>
    <row r="60" spans="1:7" x14ac:dyDescent="0.3">
      <c r="A60" s="20">
        <v>59</v>
      </c>
      <c r="B60" s="31" t="s">
        <v>1356</v>
      </c>
      <c r="C60" s="26">
        <v>10813</v>
      </c>
      <c r="D60" s="26" t="s">
        <v>1357</v>
      </c>
      <c r="E60" s="399" t="s">
        <v>63</v>
      </c>
      <c r="F60" s="399"/>
      <c r="G60" s="399"/>
    </row>
    <row r="61" spans="1:7" x14ac:dyDescent="0.3">
      <c r="A61" s="20">
        <v>60</v>
      </c>
      <c r="B61" s="31" t="s">
        <v>1358</v>
      </c>
      <c r="C61" s="26">
        <v>10814</v>
      </c>
      <c r="D61" s="26" t="s">
        <v>1359</v>
      </c>
      <c r="E61" s="399" t="s">
        <v>1360</v>
      </c>
      <c r="F61" s="399"/>
      <c r="G61" s="399"/>
    </row>
    <row r="62" spans="1:7" x14ac:dyDescent="0.3">
      <c r="A62" s="20">
        <v>61</v>
      </c>
      <c r="B62" s="31" t="s">
        <v>1361</v>
      </c>
      <c r="C62" s="26">
        <v>10815</v>
      </c>
      <c r="D62" s="26" t="s">
        <v>1362</v>
      </c>
      <c r="E62" s="399" t="s">
        <v>1363</v>
      </c>
      <c r="F62" s="399"/>
      <c r="G62" s="399"/>
    </row>
    <row r="63" spans="1:7" x14ac:dyDescent="0.3">
      <c r="A63" s="20">
        <v>62</v>
      </c>
      <c r="B63" s="31" t="s">
        <v>1364</v>
      </c>
      <c r="C63" s="26">
        <v>10816</v>
      </c>
      <c r="D63" s="26" t="s">
        <v>1365</v>
      </c>
      <c r="E63" s="399" t="s">
        <v>192</v>
      </c>
      <c r="F63" s="399"/>
      <c r="G63" s="399"/>
    </row>
    <row r="64" spans="1:7" x14ac:dyDescent="0.3">
      <c r="A64" s="20">
        <v>63</v>
      </c>
      <c r="B64" s="31" t="s">
        <v>1366</v>
      </c>
      <c r="C64" s="26">
        <v>10817</v>
      </c>
      <c r="D64" s="26" t="s">
        <v>1367</v>
      </c>
      <c r="E64" s="399" t="s">
        <v>1037</v>
      </c>
      <c r="F64" s="399"/>
      <c r="G64" s="399"/>
    </row>
    <row r="65" spans="1:7" x14ac:dyDescent="0.3">
      <c r="A65" s="20">
        <v>64</v>
      </c>
      <c r="B65" s="31" t="s">
        <v>1368</v>
      </c>
      <c r="C65" s="26">
        <v>10818</v>
      </c>
      <c r="D65" s="26" t="s">
        <v>1369</v>
      </c>
      <c r="E65" s="399" t="s">
        <v>487</v>
      </c>
      <c r="F65" s="399"/>
      <c r="G65" s="399"/>
    </row>
    <row r="66" spans="1:7" x14ac:dyDescent="0.3">
      <c r="A66" s="20">
        <v>65</v>
      </c>
      <c r="B66" s="31" t="s">
        <v>1370</v>
      </c>
      <c r="C66" s="26">
        <v>10819</v>
      </c>
      <c r="D66" s="26" t="s">
        <v>1371</v>
      </c>
      <c r="E66" s="399" t="s">
        <v>1372</v>
      </c>
      <c r="F66" s="399"/>
      <c r="G66" s="399"/>
    </row>
    <row r="67" spans="1:7" x14ac:dyDescent="0.3">
      <c r="A67" s="20">
        <v>66</v>
      </c>
      <c r="B67" s="31" t="s">
        <v>1373</v>
      </c>
      <c r="C67" s="26">
        <v>10820</v>
      </c>
      <c r="D67" s="26" t="s">
        <v>1374</v>
      </c>
      <c r="E67" s="399" t="s">
        <v>1375</v>
      </c>
      <c r="F67" s="399"/>
      <c r="G67" s="400"/>
    </row>
    <row r="68" spans="1:7" x14ac:dyDescent="0.3">
      <c r="A68" s="20">
        <v>67</v>
      </c>
      <c r="B68" s="31" t="s">
        <v>1376</v>
      </c>
      <c r="C68" s="26">
        <v>10821</v>
      </c>
      <c r="D68" s="26" t="s">
        <v>1377</v>
      </c>
      <c r="E68" s="399" t="s">
        <v>1378</v>
      </c>
      <c r="F68" s="399"/>
      <c r="G68" s="400"/>
    </row>
    <row r="69" spans="1:7" x14ac:dyDescent="0.3">
      <c r="A69" s="20">
        <v>68</v>
      </c>
      <c r="B69" s="31" t="s">
        <v>1380</v>
      </c>
      <c r="C69" s="26">
        <v>10822</v>
      </c>
      <c r="D69" s="26" t="s">
        <v>1379</v>
      </c>
      <c r="E69" s="399" t="s">
        <v>1037</v>
      </c>
      <c r="F69" s="399"/>
      <c r="G69" s="400"/>
    </row>
    <row r="70" spans="1:7" x14ac:dyDescent="0.3">
      <c r="A70" s="20">
        <v>69</v>
      </c>
      <c r="B70" s="31" t="s">
        <v>1381</v>
      </c>
      <c r="C70" s="26">
        <v>10823</v>
      </c>
      <c r="D70" s="26" t="s">
        <v>1382</v>
      </c>
      <c r="E70" s="399" t="s">
        <v>63</v>
      </c>
      <c r="F70" s="399"/>
      <c r="G70" s="400"/>
    </row>
    <row r="71" spans="1:7" x14ac:dyDescent="0.3">
      <c r="A71" s="20">
        <v>70</v>
      </c>
      <c r="B71" s="31" t="s">
        <v>1383</v>
      </c>
      <c r="C71" s="26">
        <v>10824</v>
      </c>
      <c r="D71" s="26" t="s">
        <v>1384</v>
      </c>
      <c r="E71" s="399" t="s">
        <v>1037</v>
      </c>
      <c r="F71" s="399"/>
      <c r="G71" s="400"/>
    </row>
    <row r="72" spans="1:7" x14ac:dyDescent="0.3">
      <c r="A72" s="20">
        <v>71</v>
      </c>
      <c r="B72" s="31" t="s">
        <v>1385</v>
      </c>
      <c r="C72" s="26">
        <v>10825</v>
      </c>
      <c r="D72" s="26" t="s">
        <v>1386</v>
      </c>
      <c r="E72" s="399" t="s">
        <v>63</v>
      </c>
      <c r="F72" s="399"/>
      <c r="G72" s="400"/>
    </row>
    <row r="73" spans="1:7" x14ac:dyDescent="0.3">
      <c r="A73" s="20">
        <v>72</v>
      </c>
      <c r="B73" s="31" t="s">
        <v>1388</v>
      </c>
      <c r="C73" s="26">
        <v>10826</v>
      </c>
      <c r="D73" s="52" t="s">
        <v>1387</v>
      </c>
      <c r="E73" s="425" t="s">
        <v>1389</v>
      </c>
      <c r="F73" s="425"/>
      <c r="G73" s="426"/>
    </row>
    <row r="74" spans="1:7" x14ac:dyDescent="0.3">
      <c r="A74" s="20">
        <v>73</v>
      </c>
      <c r="B74" s="31" t="s">
        <v>1390</v>
      </c>
      <c r="C74" s="26">
        <v>10827</v>
      </c>
      <c r="D74" s="52" t="s">
        <v>1391</v>
      </c>
      <c r="E74" s="427" t="s">
        <v>63</v>
      </c>
      <c r="F74" s="428"/>
      <c r="G74" s="429"/>
    </row>
    <row r="75" spans="1:7" x14ac:dyDescent="0.3">
      <c r="A75" s="20">
        <v>74</v>
      </c>
      <c r="B75" s="31" t="s">
        <v>1392</v>
      </c>
      <c r="C75" s="26">
        <v>10828</v>
      </c>
      <c r="D75" s="26" t="s">
        <v>1393</v>
      </c>
      <c r="E75" s="399" t="s">
        <v>1037</v>
      </c>
      <c r="F75" s="399"/>
      <c r="G75" s="400"/>
    </row>
    <row r="76" spans="1:7" x14ac:dyDescent="0.3">
      <c r="A76" s="20">
        <v>75</v>
      </c>
      <c r="B76" s="31" t="s">
        <v>1394</v>
      </c>
      <c r="C76" s="26">
        <v>10829</v>
      </c>
      <c r="D76" s="26" t="s">
        <v>1395</v>
      </c>
      <c r="E76" s="399" t="s">
        <v>1037</v>
      </c>
      <c r="F76" s="399"/>
      <c r="G76" s="400"/>
    </row>
    <row r="77" spans="1:7" x14ac:dyDescent="0.3">
      <c r="A77" s="20">
        <v>76</v>
      </c>
      <c r="B77" s="31" t="s">
        <v>1396</v>
      </c>
      <c r="C77" s="26">
        <v>10830</v>
      </c>
      <c r="D77" s="26" t="s">
        <v>1397</v>
      </c>
      <c r="E77" s="399" t="s">
        <v>63</v>
      </c>
      <c r="F77" s="399"/>
      <c r="G77" s="400"/>
    </row>
    <row r="78" spans="1:7" x14ac:dyDescent="0.3">
      <c r="A78" s="20">
        <v>77</v>
      </c>
      <c r="B78" s="31" t="s">
        <v>1398</v>
      </c>
      <c r="C78" s="26">
        <v>10831</v>
      </c>
      <c r="D78" s="26" t="s">
        <v>1399</v>
      </c>
      <c r="E78" s="399" t="s">
        <v>1037</v>
      </c>
      <c r="F78" s="399"/>
      <c r="G78" s="400"/>
    </row>
    <row r="79" spans="1:7" x14ac:dyDescent="0.3">
      <c r="A79" s="20">
        <v>78</v>
      </c>
      <c r="B79" s="31" t="s">
        <v>1400</v>
      </c>
      <c r="C79" s="26">
        <v>10832</v>
      </c>
      <c r="D79" s="26" t="s">
        <v>1401</v>
      </c>
      <c r="E79" s="399" t="s">
        <v>1402</v>
      </c>
      <c r="F79" s="399"/>
      <c r="G79" s="400"/>
    </row>
    <row r="80" spans="1:7" x14ac:dyDescent="0.3">
      <c r="A80" s="20">
        <v>79</v>
      </c>
      <c r="B80" s="31" t="s">
        <v>1403</v>
      </c>
      <c r="C80" s="26">
        <v>10833</v>
      </c>
      <c r="D80" s="26" t="s">
        <v>1404</v>
      </c>
      <c r="E80" s="399" t="s">
        <v>63</v>
      </c>
      <c r="F80" s="399"/>
      <c r="G80" s="400"/>
    </row>
    <row r="81" spans="1:7" x14ac:dyDescent="0.3">
      <c r="A81" s="20">
        <v>80</v>
      </c>
      <c r="B81" s="31" t="s">
        <v>1368</v>
      </c>
      <c r="C81" s="26">
        <v>10834</v>
      </c>
      <c r="D81" s="26" t="s">
        <v>1405</v>
      </c>
      <c r="E81" s="399" t="s">
        <v>63</v>
      </c>
      <c r="F81" s="399"/>
      <c r="G81" s="400"/>
    </row>
    <row r="82" spans="1:7" x14ac:dyDescent="0.3">
      <c r="A82" s="20">
        <v>81</v>
      </c>
      <c r="B82" s="31" t="s">
        <v>1407</v>
      </c>
      <c r="C82" s="26">
        <v>10835</v>
      </c>
      <c r="D82" s="26" t="s">
        <v>1408</v>
      </c>
      <c r="E82" s="399" t="s">
        <v>1037</v>
      </c>
      <c r="F82" s="399"/>
      <c r="G82" s="400"/>
    </row>
    <row r="83" spans="1:7" x14ac:dyDescent="0.3">
      <c r="A83" s="20">
        <v>82</v>
      </c>
      <c r="B83" s="31" t="s">
        <v>1406</v>
      </c>
      <c r="C83" s="26">
        <v>10836</v>
      </c>
      <c r="D83" s="26" t="s">
        <v>1409</v>
      </c>
      <c r="E83" s="399" t="s">
        <v>94</v>
      </c>
      <c r="F83" s="399"/>
      <c r="G83" s="400"/>
    </row>
    <row r="84" spans="1:7" x14ac:dyDescent="0.3">
      <c r="A84" s="20">
        <v>83</v>
      </c>
      <c r="B84" s="31" t="s">
        <v>1410</v>
      </c>
      <c r="C84" s="26">
        <v>10837</v>
      </c>
      <c r="D84" s="26" t="s">
        <v>1411</v>
      </c>
      <c r="E84" s="392" t="s">
        <v>1378</v>
      </c>
      <c r="F84" s="393"/>
      <c r="G84" s="394"/>
    </row>
    <row r="85" spans="1:7" x14ac:dyDescent="0.3">
      <c r="A85" s="20">
        <v>84</v>
      </c>
      <c r="B85" s="31" t="s">
        <v>1412</v>
      </c>
      <c r="C85" s="26">
        <v>10838</v>
      </c>
      <c r="D85" s="26" t="s">
        <v>1413</v>
      </c>
      <c r="E85" s="392" t="s">
        <v>94</v>
      </c>
      <c r="F85" s="393"/>
      <c r="G85" s="394"/>
    </row>
    <row r="86" spans="1:7" x14ac:dyDescent="0.3">
      <c r="A86" s="20">
        <v>85</v>
      </c>
      <c r="B86" s="31" t="s">
        <v>1414</v>
      </c>
      <c r="C86" s="26">
        <v>10839</v>
      </c>
      <c r="D86" s="26" t="s">
        <v>1415</v>
      </c>
      <c r="E86" s="401" t="s">
        <v>1416</v>
      </c>
      <c r="F86" s="402"/>
      <c r="G86" s="403"/>
    </row>
    <row r="87" spans="1:7" x14ac:dyDescent="0.3">
      <c r="A87" s="20">
        <v>86</v>
      </c>
      <c r="B87" s="31" t="s">
        <v>1418</v>
      </c>
      <c r="C87" s="26">
        <v>10840</v>
      </c>
      <c r="D87" s="43" t="s">
        <v>1417</v>
      </c>
      <c r="E87" s="392" t="s">
        <v>192</v>
      </c>
      <c r="F87" s="393"/>
      <c r="G87" s="394"/>
    </row>
    <row r="88" spans="1:7" x14ac:dyDescent="0.3">
      <c r="A88" s="20">
        <v>87</v>
      </c>
      <c r="B88" s="31" t="s">
        <v>1419</v>
      </c>
      <c r="C88" s="26">
        <v>10841</v>
      </c>
      <c r="D88" s="43" t="s">
        <v>1420</v>
      </c>
      <c r="E88" s="392" t="s">
        <v>1421</v>
      </c>
      <c r="F88" s="393"/>
      <c r="G88" s="394"/>
    </row>
    <row r="89" spans="1:7" x14ac:dyDescent="0.3">
      <c r="A89" s="20">
        <v>88</v>
      </c>
      <c r="B89" s="31" t="s">
        <v>1422</v>
      </c>
      <c r="C89" s="26">
        <v>10842</v>
      </c>
      <c r="D89" s="43" t="s">
        <v>1423</v>
      </c>
      <c r="E89" s="392" t="s">
        <v>1424</v>
      </c>
      <c r="F89" s="393"/>
      <c r="G89" s="394"/>
    </row>
    <row r="90" spans="1:7" x14ac:dyDescent="0.3">
      <c r="A90" s="20">
        <v>89</v>
      </c>
      <c r="B90" s="31" t="s">
        <v>1425</v>
      </c>
      <c r="C90" s="26">
        <v>10843</v>
      </c>
      <c r="D90" s="43" t="s">
        <v>1426</v>
      </c>
      <c r="E90" s="399" t="s">
        <v>1424</v>
      </c>
      <c r="F90" s="399"/>
      <c r="G90" s="400"/>
    </row>
    <row r="91" spans="1:7" x14ac:dyDescent="0.3">
      <c r="A91" s="20">
        <v>90</v>
      </c>
      <c r="B91" s="31" t="s">
        <v>1427</v>
      </c>
      <c r="C91" s="26">
        <v>10844</v>
      </c>
      <c r="D91" s="26" t="s">
        <v>1428</v>
      </c>
      <c r="E91" s="399" t="s">
        <v>487</v>
      </c>
      <c r="F91" s="399"/>
      <c r="G91" s="399"/>
    </row>
    <row r="92" spans="1:7" x14ac:dyDescent="0.3">
      <c r="A92" s="20">
        <v>91</v>
      </c>
      <c r="B92" s="31" t="s">
        <v>1429</v>
      </c>
      <c r="C92" s="26">
        <v>10845</v>
      </c>
      <c r="D92" s="26" t="s">
        <v>1430</v>
      </c>
      <c r="E92" s="399" t="s">
        <v>94</v>
      </c>
      <c r="F92" s="399"/>
      <c r="G92" s="399"/>
    </row>
    <row r="93" spans="1:7" x14ac:dyDescent="0.3">
      <c r="A93" s="20">
        <v>92</v>
      </c>
      <c r="B93" s="31" t="s">
        <v>1431</v>
      </c>
      <c r="C93" s="26">
        <v>10846</v>
      </c>
      <c r="D93" s="26" t="s">
        <v>1432</v>
      </c>
      <c r="E93" s="399" t="s">
        <v>1037</v>
      </c>
      <c r="F93" s="399"/>
      <c r="G93" s="399"/>
    </row>
    <row r="94" spans="1:7" x14ac:dyDescent="0.3">
      <c r="A94" s="20">
        <v>93</v>
      </c>
      <c r="B94" s="31" t="s">
        <v>1433</v>
      </c>
      <c r="C94" s="26">
        <v>10847</v>
      </c>
      <c r="D94" s="26" t="s">
        <v>1434</v>
      </c>
      <c r="E94" s="399" t="s">
        <v>1416</v>
      </c>
      <c r="F94" s="399"/>
      <c r="G94" s="399"/>
    </row>
    <row r="95" spans="1:7" x14ac:dyDescent="0.3">
      <c r="A95" s="20">
        <v>94</v>
      </c>
      <c r="B95" s="31" t="s">
        <v>1435</v>
      </c>
      <c r="C95" s="26">
        <v>10848</v>
      </c>
      <c r="D95" s="26" t="s">
        <v>1436</v>
      </c>
      <c r="E95" s="399" t="s">
        <v>1037</v>
      </c>
      <c r="F95" s="399"/>
      <c r="G95" s="399"/>
    </row>
    <row r="96" spans="1:7" x14ac:dyDescent="0.3">
      <c r="A96" s="20">
        <v>95</v>
      </c>
      <c r="B96" s="31" t="s">
        <v>1437</v>
      </c>
      <c r="C96" s="26">
        <v>10849</v>
      </c>
      <c r="D96" s="26" t="s">
        <v>1438</v>
      </c>
      <c r="E96" s="399" t="s">
        <v>192</v>
      </c>
      <c r="F96" s="399"/>
      <c r="G96" s="399"/>
    </row>
    <row r="97" spans="1:7" x14ac:dyDescent="0.3">
      <c r="A97" s="20">
        <v>96</v>
      </c>
      <c r="B97" s="31" t="s">
        <v>1439</v>
      </c>
      <c r="C97" s="26">
        <v>10850</v>
      </c>
      <c r="D97" s="26" t="s">
        <v>1440</v>
      </c>
      <c r="E97" s="399" t="s">
        <v>94</v>
      </c>
      <c r="F97" s="399"/>
      <c r="G97" s="399"/>
    </row>
    <row r="98" spans="1:7" x14ac:dyDescent="0.3">
      <c r="A98" s="20">
        <v>97</v>
      </c>
      <c r="B98" s="31" t="s">
        <v>1441</v>
      </c>
      <c r="C98" s="26">
        <v>10851</v>
      </c>
      <c r="D98" s="26" t="s">
        <v>1442</v>
      </c>
      <c r="E98" s="399" t="s">
        <v>94</v>
      </c>
      <c r="F98" s="399"/>
      <c r="G98" s="399"/>
    </row>
    <row r="99" spans="1:7" x14ac:dyDescent="0.3">
      <c r="A99" s="20">
        <v>98</v>
      </c>
      <c r="B99" s="31" t="s">
        <v>763</v>
      </c>
      <c r="C99" s="26">
        <v>10852</v>
      </c>
      <c r="D99" s="26" t="s">
        <v>1443</v>
      </c>
      <c r="E99" s="399" t="s">
        <v>1037</v>
      </c>
      <c r="F99" s="399"/>
      <c r="G99" s="399"/>
    </row>
    <row r="100" spans="1:7" x14ac:dyDescent="0.3">
      <c r="A100" s="20">
        <v>99</v>
      </c>
      <c r="B100" s="31"/>
      <c r="C100" s="26">
        <v>10853</v>
      </c>
      <c r="D100" s="26"/>
      <c r="E100" s="399"/>
      <c r="F100" s="399"/>
      <c r="G100" s="399"/>
    </row>
    <row r="101" spans="1:7" x14ac:dyDescent="0.3">
      <c r="A101" s="20">
        <v>100</v>
      </c>
      <c r="B101" s="31" t="s">
        <v>1480</v>
      </c>
      <c r="C101" s="26">
        <v>10854</v>
      </c>
      <c r="D101" s="26" t="s">
        <v>1481</v>
      </c>
      <c r="E101" s="399"/>
      <c r="F101" s="399"/>
      <c r="G101" s="399"/>
    </row>
    <row r="102" spans="1:7" x14ac:dyDescent="0.3">
      <c r="A102" s="20">
        <v>101</v>
      </c>
      <c r="B102" s="31" t="s">
        <v>1444</v>
      </c>
      <c r="C102" s="26">
        <v>10855</v>
      </c>
      <c r="D102" s="26" t="s">
        <v>1445</v>
      </c>
      <c r="E102" s="399" t="s">
        <v>63</v>
      </c>
      <c r="F102" s="399"/>
      <c r="G102" s="399"/>
    </row>
    <row r="103" spans="1:7" x14ac:dyDescent="0.3">
      <c r="A103" s="20">
        <v>102</v>
      </c>
      <c r="B103" s="31" t="s">
        <v>1446</v>
      </c>
      <c r="C103" s="26">
        <v>10856</v>
      </c>
      <c r="D103" s="26" t="s">
        <v>1447</v>
      </c>
      <c r="E103" s="399"/>
      <c r="F103" s="399"/>
      <c r="G103" s="399"/>
    </row>
    <row r="104" spans="1:7" x14ac:dyDescent="0.3">
      <c r="A104" s="20">
        <v>103</v>
      </c>
      <c r="B104" s="31" t="s">
        <v>1448</v>
      </c>
      <c r="C104" s="26">
        <v>10857</v>
      </c>
      <c r="D104" s="26" t="s">
        <v>1449</v>
      </c>
      <c r="E104" s="399" t="s">
        <v>1450</v>
      </c>
      <c r="F104" s="399"/>
      <c r="G104" s="399"/>
    </row>
    <row r="105" spans="1:7" x14ac:dyDescent="0.3">
      <c r="A105" s="20">
        <v>104</v>
      </c>
      <c r="B105" s="31" t="s">
        <v>1451</v>
      </c>
      <c r="C105" s="26">
        <v>10858</v>
      </c>
      <c r="D105" s="26" t="s">
        <v>1452</v>
      </c>
      <c r="E105" s="399" t="s">
        <v>581</v>
      </c>
      <c r="F105" s="399"/>
      <c r="G105" s="399"/>
    </row>
    <row r="106" spans="1:7" x14ac:dyDescent="0.3">
      <c r="A106" s="20">
        <v>105</v>
      </c>
      <c r="B106" s="31" t="s">
        <v>1453</v>
      </c>
      <c r="C106" s="26">
        <v>10859</v>
      </c>
      <c r="D106" s="26" t="s">
        <v>1454</v>
      </c>
      <c r="E106" s="399" t="s">
        <v>1037</v>
      </c>
      <c r="F106" s="399"/>
      <c r="G106" s="399"/>
    </row>
    <row r="107" spans="1:7" x14ac:dyDescent="0.3">
      <c r="A107" s="20">
        <v>106</v>
      </c>
      <c r="B107" s="31" t="s">
        <v>1455</v>
      </c>
      <c r="C107" s="26">
        <v>10860</v>
      </c>
      <c r="D107" s="26" t="s">
        <v>1456</v>
      </c>
      <c r="E107" s="399" t="s">
        <v>1037</v>
      </c>
      <c r="F107" s="399"/>
      <c r="G107" s="399"/>
    </row>
    <row r="108" spans="1:7" x14ac:dyDescent="0.3">
      <c r="A108" s="20">
        <v>107</v>
      </c>
      <c r="B108" s="31" t="s">
        <v>1457</v>
      </c>
      <c r="C108" s="26">
        <v>10861</v>
      </c>
      <c r="D108" s="26" t="s">
        <v>1458</v>
      </c>
      <c r="E108" s="399" t="s">
        <v>63</v>
      </c>
      <c r="F108" s="399"/>
      <c r="G108" s="399"/>
    </row>
    <row r="109" spans="1:7" x14ac:dyDescent="0.3">
      <c r="A109" s="20">
        <v>108</v>
      </c>
      <c r="B109" s="31" t="s">
        <v>1460</v>
      </c>
      <c r="C109" s="26">
        <v>10862</v>
      </c>
      <c r="D109" s="26" t="s">
        <v>1461</v>
      </c>
      <c r="E109" s="399" t="s">
        <v>1462</v>
      </c>
      <c r="F109" s="399"/>
      <c r="G109" s="399"/>
    </row>
    <row r="110" spans="1:7" x14ac:dyDescent="0.3">
      <c r="A110" s="20">
        <v>109</v>
      </c>
      <c r="B110" s="31" t="s">
        <v>1463</v>
      </c>
      <c r="C110" s="26">
        <v>10863</v>
      </c>
      <c r="D110" s="26" t="s">
        <v>1464</v>
      </c>
      <c r="E110" s="399" t="s">
        <v>1465</v>
      </c>
      <c r="F110" s="399"/>
      <c r="G110" s="399"/>
    </row>
    <row r="111" spans="1:7" x14ac:dyDescent="0.3">
      <c r="A111" s="20">
        <v>110</v>
      </c>
      <c r="B111" s="31" t="s">
        <v>1466</v>
      </c>
      <c r="C111" s="26">
        <v>10864</v>
      </c>
      <c r="D111" s="26" t="s">
        <v>1467</v>
      </c>
      <c r="E111" s="399" t="s">
        <v>1468</v>
      </c>
      <c r="F111" s="399"/>
      <c r="G111" s="399"/>
    </row>
    <row r="112" spans="1:7" x14ac:dyDescent="0.3">
      <c r="A112" s="20">
        <v>111</v>
      </c>
      <c r="B112" s="31" t="s">
        <v>1469</v>
      </c>
      <c r="C112" s="26">
        <v>10865</v>
      </c>
      <c r="D112" s="26" t="s">
        <v>1470</v>
      </c>
      <c r="E112" s="399" t="s">
        <v>1471</v>
      </c>
      <c r="F112" s="399"/>
      <c r="G112" s="399"/>
    </row>
    <row r="113" spans="1:7" x14ac:dyDescent="0.3">
      <c r="A113" s="20">
        <v>112</v>
      </c>
      <c r="B113" s="31" t="s">
        <v>1472</v>
      </c>
      <c r="C113" s="26">
        <v>10866</v>
      </c>
      <c r="D113" s="26" t="s">
        <v>1473</v>
      </c>
      <c r="E113" s="399" t="s">
        <v>63</v>
      </c>
      <c r="F113" s="399"/>
      <c r="G113" s="399"/>
    </row>
    <row r="114" spans="1:7" x14ac:dyDescent="0.3">
      <c r="A114" s="20">
        <v>113</v>
      </c>
      <c r="B114" s="31" t="s">
        <v>1474</v>
      </c>
      <c r="C114" s="26">
        <v>10867</v>
      </c>
      <c r="D114" s="26" t="s">
        <v>1475</v>
      </c>
      <c r="E114" s="399" t="s">
        <v>63</v>
      </c>
      <c r="F114" s="399"/>
      <c r="G114" s="399"/>
    </row>
    <row r="115" spans="1:7" x14ac:dyDescent="0.3">
      <c r="A115" s="20">
        <v>114</v>
      </c>
      <c r="B115" s="31" t="s">
        <v>1476</v>
      </c>
      <c r="C115" s="26">
        <v>10868</v>
      </c>
      <c r="D115" s="26" t="s">
        <v>1477</v>
      </c>
      <c r="E115" s="399" t="s">
        <v>63</v>
      </c>
      <c r="F115" s="399"/>
      <c r="G115" s="399"/>
    </row>
    <row r="116" spans="1:7" x14ac:dyDescent="0.3">
      <c r="A116" s="20">
        <v>115</v>
      </c>
      <c r="B116" s="31" t="s">
        <v>1479</v>
      </c>
      <c r="C116" s="26">
        <v>10869</v>
      </c>
      <c r="D116" s="26" t="s">
        <v>1478</v>
      </c>
      <c r="E116" s="399" t="s">
        <v>1462</v>
      </c>
      <c r="F116" s="399"/>
      <c r="G116" s="399"/>
    </row>
  </sheetData>
  <mergeCells count="116">
    <mergeCell ref="E6:G6"/>
    <mergeCell ref="E1:G1"/>
    <mergeCell ref="E2:G2"/>
    <mergeCell ref="E3:G3"/>
    <mergeCell ref="E4:G4"/>
    <mergeCell ref="E5:G5"/>
    <mergeCell ref="E18:G18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30:G30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42:G42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54:G54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66:G66"/>
    <mergeCell ref="E55:G55"/>
    <mergeCell ref="E56:G56"/>
    <mergeCell ref="E57:G57"/>
    <mergeCell ref="E58:G58"/>
    <mergeCell ref="E59:G59"/>
    <mergeCell ref="E60:G60"/>
    <mergeCell ref="E61:G61"/>
    <mergeCell ref="E62:G62"/>
    <mergeCell ref="E63:G63"/>
    <mergeCell ref="E64:G64"/>
    <mergeCell ref="E65:G65"/>
    <mergeCell ref="E78:G78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76:G76"/>
    <mergeCell ref="E77:G77"/>
    <mergeCell ref="E90:G90"/>
    <mergeCell ref="E79:G79"/>
    <mergeCell ref="E80:G8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9:G99"/>
    <mergeCell ref="E100:G100"/>
    <mergeCell ref="E101:G101"/>
    <mergeCell ref="E102:G102"/>
    <mergeCell ref="E103:G103"/>
    <mergeCell ref="E97:G97"/>
    <mergeCell ref="E91:G91"/>
    <mergeCell ref="E92:G92"/>
    <mergeCell ref="E93:G93"/>
    <mergeCell ref="E94:G94"/>
    <mergeCell ref="E95:G95"/>
    <mergeCell ref="E96:G96"/>
    <mergeCell ref="E98:G98"/>
    <mergeCell ref="E114:G114"/>
    <mergeCell ref="E115:G115"/>
    <mergeCell ref="E116:G116"/>
    <mergeCell ref="E109:G109"/>
    <mergeCell ref="E110:G110"/>
    <mergeCell ref="E111:G111"/>
    <mergeCell ref="E112:G112"/>
    <mergeCell ref="E113:G113"/>
    <mergeCell ref="E104:G104"/>
    <mergeCell ref="E105:G105"/>
    <mergeCell ref="E106:G106"/>
    <mergeCell ref="E107:G107"/>
    <mergeCell ref="E108:G108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16"/>
  <sheetViews>
    <sheetView topLeftCell="A63" workbookViewId="0">
      <selection activeCell="J75" sqref="J75"/>
    </sheetView>
  </sheetViews>
  <sheetFormatPr defaultRowHeight="16.5" x14ac:dyDescent="0.3"/>
  <cols>
    <col min="2" max="2" width="15.25" bestFit="1" customWidth="1"/>
    <col min="4" max="4" width="11" bestFit="1" customWidth="1"/>
    <col min="7" max="7" width="9.75" customWidth="1"/>
  </cols>
  <sheetData>
    <row r="1" spans="1:7" ht="17.25" thickBot="1" x14ac:dyDescent="0.35">
      <c r="A1" s="47"/>
      <c r="B1" s="45" t="s">
        <v>911</v>
      </c>
      <c r="C1" s="44" t="s">
        <v>1</v>
      </c>
      <c r="D1" s="44" t="s">
        <v>588</v>
      </c>
      <c r="E1" s="420" t="s">
        <v>3</v>
      </c>
      <c r="F1" s="420"/>
      <c r="G1" s="421"/>
    </row>
    <row r="2" spans="1:7" x14ac:dyDescent="0.3">
      <c r="A2" s="46">
        <v>1</v>
      </c>
      <c r="B2" s="39" t="s">
        <v>1482</v>
      </c>
      <c r="C2" s="37">
        <v>10871</v>
      </c>
      <c r="D2" s="37" t="s">
        <v>1483</v>
      </c>
      <c r="E2" s="410" t="s">
        <v>63</v>
      </c>
      <c r="F2" s="410"/>
      <c r="G2" s="411"/>
    </row>
    <row r="3" spans="1:7" x14ac:dyDescent="0.3">
      <c r="A3" s="20">
        <v>2</v>
      </c>
      <c r="B3" s="31" t="s">
        <v>352</v>
      </c>
      <c r="C3" s="37">
        <v>10872</v>
      </c>
      <c r="D3" s="26" t="s">
        <v>1484</v>
      </c>
      <c r="E3" s="399" t="s">
        <v>1037</v>
      </c>
      <c r="F3" s="399"/>
      <c r="G3" s="400"/>
    </row>
    <row r="4" spans="1:7" x14ac:dyDescent="0.3">
      <c r="A4" s="20">
        <v>3</v>
      </c>
      <c r="B4" s="31" t="s">
        <v>795</v>
      </c>
      <c r="C4" s="37">
        <v>10873</v>
      </c>
      <c r="D4" s="26" t="s">
        <v>1485</v>
      </c>
      <c r="E4" s="399" t="s">
        <v>520</v>
      </c>
      <c r="F4" s="399"/>
      <c r="G4" s="400"/>
    </row>
    <row r="5" spans="1:7" x14ac:dyDescent="0.3">
      <c r="A5" s="20">
        <v>4</v>
      </c>
      <c r="B5" s="31" t="s">
        <v>26</v>
      </c>
      <c r="C5" s="37">
        <v>10874</v>
      </c>
      <c r="D5" s="26" t="s">
        <v>1486</v>
      </c>
      <c r="E5" s="399" t="s">
        <v>284</v>
      </c>
      <c r="F5" s="399"/>
      <c r="G5" s="400"/>
    </row>
    <row r="6" spans="1:7" x14ac:dyDescent="0.3">
      <c r="A6" s="20">
        <v>5</v>
      </c>
      <c r="B6" s="31" t="s">
        <v>1487</v>
      </c>
      <c r="C6" s="37">
        <v>10875</v>
      </c>
      <c r="D6" s="26" t="s">
        <v>1488</v>
      </c>
      <c r="E6" s="399" t="s">
        <v>63</v>
      </c>
      <c r="F6" s="399"/>
      <c r="G6" s="400"/>
    </row>
    <row r="7" spans="1:7" x14ac:dyDescent="0.3">
      <c r="A7" s="20">
        <v>6</v>
      </c>
      <c r="B7" s="31" t="s">
        <v>1489</v>
      </c>
      <c r="C7" s="37">
        <v>10876</v>
      </c>
      <c r="D7" s="26" t="s">
        <v>981</v>
      </c>
      <c r="E7" s="399" t="s">
        <v>1037</v>
      </c>
      <c r="F7" s="399"/>
      <c r="G7" s="400"/>
    </row>
    <row r="8" spans="1:7" x14ac:dyDescent="0.3">
      <c r="A8" s="20">
        <v>7</v>
      </c>
      <c r="B8" s="31" t="s">
        <v>1490</v>
      </c>
      <c r="C8" s="37">
        <v>10877</v>
      </c>
      <c r="D8" s="26" t="s">
        <v>1491</v>
      </c>
      <c r="E8" s="399" t="s">
        <v>192</v>
      </c>
      <c r="F8" s="399"/>
      <c r="G8" s="400"/>
    </row>
    <row r="9" spans="1:7" x14ac:dyDescent="0.3">
      <c r="A9" s="20">
        <v>8</v>
      </c>
      <c r="B9" s="31" t="s">
        <v>1492</v>
      </c>
      <c r="C9" s="37">
        <v>10878</v>
      </c>
      <c r="D9" s="26" t="s">
        <v>1493</v>
      </c>
      <c r="E9" s="399" t="s">
        <v>284</v>
      </c>
      <c r="F9" s="399"/>
      <c r="G9" s="400"/>
    </row>
    <row r="10" spans="1:7" x14ac:dyDescent="0.3">
      <c r="A10" s="20">
        <v>9</v>
      </c>
      <c r="B10" s="31" t="s">
        <v>1494</v>
      </c>
      <c r="C10" s="37">
        <v>10879</v>
      </c>
      <c r="D10" s="26" t="s">
        <v>1495</v>
      </c>
      <c r="E10" s="399" t="s">
        <v>284</v>
      </c>
      <c r="F10" s="399"/>
      <c r="G10" s="400"/>
    </row>
    <row r="11" spans="1:7" x14ac:dyDescent="0.3">
      <c r="A11" s="20">
        <v>10</v>
      </c>
      <c r="B11" s="31" t="s">
        <v>1496</v>
      </c>
      <c r="C11" s="37">
        <v>10880</v>
      </c>
      <c r="D11" s="26" t="s">
        <v>1497</v>
      </c>
      <c r="E11" s="399" t="s">
        <v>1037</v>
      </c>
      <c r="F11" s="399"/>
      <c r="G11" s="400"/>
    </row>
    <row r="12" spans="1:7" x14ac:dyDescent="0.3">
      <c r="A12" s="20">
        <v>11</v>
      </c>
      <c r="B12" s="31" t="s">
        <v>1498</v>
      </c>
      <c r="C12" s="37">
        <v>10881</v>
      </c>
      <c r="D12" s="26" t="s">
        <v>1499</v>
      </c>
      <c r="E12" s="399" t="s">
        <v>1037</v>
      </c>
      <c r="F12" s="399"/>
      <c r="G12" s="400"/>
    </row>
    <row r="13" spans="1:7" x14ac:dyDescent="0.3">
      <c r="A13" s="20">
        <v>12</v>
      </c>
      <c r="B13" s="31" t="s">
        <v>763</v>
      </c>
      <c r="C13" s="37">
        <v>10882</v>
      </c>
      <c r="D13" s="26" t="s">
        <v>1500</v>
      </c>
      <c r="E13" s="399" t="s">
        <v>581</v>
      </c>
      <c r="F13" s="399"/>
      <c r="G13" s="400"/>
    </row>
    <row r="14" spans="1:7" x14ac:dyDescent="0.3">
      <c r="A14" s="20">
        <v>13</v>
      </c>
      <c r="B14" s="31" t="s">
        <v>1501</v>
      </c>
      <c r="C14" s="37">
        <v>10883</v>
      </c>
      <c r="D14" s="26" t="s">
        <v>1502</v>
      </c>
      <c r="E14" s="399" t="s">
        <v>63</v>
      </c>
      <c r="F14" s="399"/>
      <c r="G14" s="400"/>
    </row>
    <row r="15" spans="1:7" x14ac:dyDescent="0.3">
      <c r="A15" s="20">
        <v>14</v>
      </c>
      <c r="B15" s="31" t="s">
        <v>74</v>
      </c>
      <c r="C15" s="37">
        <v>10884</v>
      </c>
      <c r="D15" s="26" t="s">
        <v>1503</v>
      </c>
      <c r="E15" s="399" t="s">
        <v>1037</v>
      </c>
      <c r="F15" s="399"/>
      <c r="G15" s="400"/>
    </row>
    <row r="16" spans="1:7" x14ac:dyDescent="0.3">
      <c r="A16" s="20">
        <v>15</v>
      </c>
      <c r="B16" s="31" t="s">
        <v>1504</v>
      </c>
      <c r="C16" s="37">
        <v>10885</v>
      </c>
      <c r="D16" s="26" t="s">
        <v>1505</v>
      </c>
      <c r="E16" s="399" t="s">
        <v>63</v>
      </c>
      <c r="F16" s="399"/>
      <c r="G16" s="400"/>
    </row>
    <row r="17" spans="1:7" x14ac:dyDescent="0.3">
      <c r="A17" s="20">
        <v>16</v>
      </c>
      <c r="B17" s="31" t="s">
        <v>1506</v>
      </c>
      <c r="C17" s="37">
        <v>10886</v>
      </c>
      <c r="D17" s="26" t="s">
        <v>1507</v>
      </c>
      <c r="E17" s="399" t="s">
        <v>63</v>
      </c>
      <c r="F17" s="399"/>
      <c r="G17" s="400"/>
    </row>
    <row r="18" spans="1:7" x14ac:dyDescent="0.3">
      <c r="A18" s="20">
        <v>17</v>
      </c>
      <c r="B18" s="31" t="s">
        <v>1451</v>
      </c>
      <c r="C18" s="37">
        <v>10887</v>
      </c>
      <c r="D18" s="26" t="s">
        <v>1508</v>
      </c>
      <c r="E18" s="399" t="s">
        <v>1037</v>
      </c>
      <c r="F18" s="399"/>
      <c r="G18" s="400"/>
    </row>
    <row r="19" spans="1:7" x14ac:dyDescent="0.3">
      <c r="A19" s="20">
        <v>18</v>
      </c>
      <c r="B19" s="31" t="s">
        <v>1509</v>
      </c>
      <c r="C19" s="37">
        <v>10888</v>
      </c>
      <c r="D19" s="26" t="s">
        <v>1510</v>
      </c>
      <c r="E19" s="399" t="s">
        <v>520</v>
      </c>
      <c r="F19" s="399"/>
      <c r="G19" s="400"/>
    </row>
    <row r="20" spans="1:7" x14ac:dyDescent="0.3">
      <c r="A20" s="20">
        <v>19</v>
      </c>
      <c r="B20" s="31" t="s">
        <v>1511</v>
      </c>
      <c r="C20" s="37">
        <v>10889</v>
      </c>
      <c r="D20" s="26" t="s">
        <v>1512</v>
      </c>
      <c r="E20" s="399" t="s">
        <v>63</v>
      </c>
      <c r="F20" s="399"/>
      <c r="G20" s="400"/>
    </row>
    <row r="21" spans="1:7" x14ac:dyDescent="0.3">
      <c r="A21" s="20">
        <v>20</v>
      </c>
      <c r="B21" s="31" t="s">
        <v>1513</v>
      </c>
      <c r="C21" s="37">
        <v>10890</v>
      </c>
      <c r="D21" s="26" t="s">
        <v>1514</v>
      </c>
      <c r="E21" s="399" t="s">
        <v>63</v>
      </c>
      <c r="F21" s="399"/>
      <c r="G21" s="400"/>
    </row>
    <row r="22" spans="1:7" x14ac:dyDescent="0.3">
      <c r="A22" s="20">
        <v>21</v>
      </c>
      <c r="B22" s="31" t="s">
        <v>816</v>
      </c>
      <c r="C22" s="37">
        <v>10891</v>
      </c>
      <c r="D22" s="26" t="s">
        <v>1515</v>
      </c>
      <c r="E22" s="399" t="s">
        <v>63</v>
      </c>
      <c r="F22" s="399"/>
      <c r="G22" s="400"/>
    </row>
    <row r="23" spans="1:7" x14ac:dyDescent="0.3">
      <c r="A23" s="20">
        <v>22</v>
      </c>
      <c r="B23" s="31" t="s">
        <v>668</v>
      </c>
      <c r="C23" s="37">
        <v>10892</v>
      </c>
      <c r="D23" s="26" t="s">
        <v>1516</v>
      </c>
      <c r="E23" s="399" t="s">
        <v>63</v>
      </c>
      <c r="F23" s="399"/>
      <c r="G23" s="400"/>
    </row>
    <row r="24" spans="1:7" x14ac:dyDescent="0.3">
      <c r="A24" s="20">
        <v>23</v>
      </c>
      <c r="B24" s="31" t="s">
        <v>1517</v>
      </c>
      <c r="C24" s="37">
        <v>10893</v>
      </c>
      <c r="D24" s="26" t="s">
        <v>1177</v>
      </c>
      <c r="E24" s="399" t="s">
        <v>1518</v>
      </c>
      <c r="F24" s="399"/>
      <c r="G24" s="400"/>
    </row>
    <row r="25" spans="1:7" x14ac:dyDescent="0.3">
      <c r="A25" s="20">
        <v>24</v>
      </c>
      <c r="B25" s="31" t="s">
        <v>106</v>
      </c>
      <c r="C25" s="37">
        <v>10894</v>
      </c>
      <c r="D25" s="26" t="s">
        <v>1519</v>
      </c>
      <c r="E25" s="399" t="s">
        <v>1037</v>
      </c>
      <c r="F25" s="399"/>
      <c r="G25" s="400"/>
    </row>
    <row r="26" spans="1:7" x14ac:dyDescent="0.3">
      <c r="A26" s="20">
        <v>25</v>
      </c>
      <c r="B26" s="31" t="s">
        <v>1520</v>
      </c>
      <c r="C26" s="37">
        <v>10895</v>
      </c>
      <c r="D26" s="26" t="s">
        <v>1521</v>
      </c>
      <c r="E26" s="399" t="s">
        <v>1037</v>
      </c>
      <c r="F26" s="399"/>
      <c r="G26" s="400"/>
    </row>
    <row r="27" spans="1:7" x14ac:dyDescent="0.3">
      <c r="A27" s="20">
        <v>26</v>
      </c>
      <c r="B27" s="31" t="s">
        <v>643</v>
      </c>
      <c r="C27" s="37">
        <v>10896</v>
      </c>
      <c r="D27" s="26" t="s">
        <v>1522</v>
      </c>
      <c r="E27" s="399" t="s">
        <v>1037</v>
      </c>
      <c r="F27" s="399"/>
      <c r="G27" s="400"/>
    </row>
    <row r="28" spans="1:7" x14ac:dyDescent="0.3">
      <c r="A28" s="20">
        <v>27</v>
      </c>
      <c r="B28" s="31" t="s">
        <v>1523</v>
      </c>
      <c r="C28" s="37">
        <v>10897</v>
      </c>
      <c r="D28" s="26" t="s">
        <v>1524</v>
      </c>
      <c r="E28" s="399" t="s">
        <v>1037</v>
      </c>
      <c r="F28" s="399"/>
      <c r="G28" s="400"/>
    </row>
    <row r="29" spans="1:7" x14ac:dyDescent="0.3">
      <c r="A29" s="20">
        <v>28</v>
      </c>
      <c r="B29" s="31" t="s">
        <v>1525</v>
      </c>
      <c r="C29" s="37">
        <v>10898</v>
      </c>
      <c r="D29" s="26" t="s">
        <v>1526</v>
      </c>
      <c r="E29" s="399" t="s">
        <v>1037</v>
      </c>
      <c r="F29" s="399"/>
      <c r="G29" s="400"/>
    </row>
    <row r="30" spans="1:7" x14ac:dyDescent="0.3">
      <c r="A30" s="20">
        <v>29</v>
      </c>
      <c r="B30" s="31" t="s">
        <v>1527</v>
      </c>
      <c r="C30" s="37">
        <v>10899</v>
      </c>
      <c r="D30" s="26" t="s">
        <v>1528</v>
      </c>
      <c r="E30" s="399" t="s">
        <v>63</v>
      </c>
      <c r="F30" s="399"/>
      <c r="G30" s="400"/>
    </row>
    <row r="31" spans="1:7" x14ac:dyDescent="0.3">
      <c r="A31" s="20">
        <v>30</v>
      </c>
      <c r="B31" s="31" t="s">
        <v>1529</v>
      </c>
      <c r="C31" s="37">
        <v>10900</v>
      </c>
      <c r="D31" s="26" t="s">
        <v>1530</v>
      </c>
      <c r="E31" s="399" t="s">
        <v>63</v>
      </c>
      <c r="F31" s="399"/>
      <c r="G31" s="400"/>
    </row>
    <row r="32" spans="1:7" x14ac:dyDescent="0.3">
      <c r="A32" s="20">
        <v>31</v>
      </c>
      <c r="B32" s="31" t="s">
        <v>1531</v>
      </c>
      <c r="C32" s="37">
        <v>10901</v>
      </c>
      <c r="D32" s="26" t="s">
        <v>1532</v>
      </c>
      <c r="E32" s="399" t="s">
        <v>284</v>
      </c>
      <c r="F32" s="399"/>
      <c r="G32" s="400"/>
    </row>
    <row r="33" spans="1:7" x14ac:dyDescent="0.3">
      <c r="A33" s="20">
        <v>32</v>
      </c>
      <c r="B33" s="31" t="s">
        <v>1533</v>
      </c>
      <c r="C33" s="37">
        <v>10902</v>
      </c>
      <c r="D33" s="26" t="s">
        <v>1534</v>
      </c>
      <c r="E33" s="399" t="s">
        <v>63</v>
      </c>
      <c r="F33" s="399"/>
      <c r="G33" s="400"/>
    </row>
    <row r="34" spans="1:7" x14ac:dyDescent="0.3">
      <c r="A34" s="20">
        <v>33</v>
      </c>
      <c r="B34" s="31" t="s">
        <v>1535</v>
      </c>
      <c r="C34" s="37">
        <v>10903</v>
      </c>
      <c r="D34" s="26" t="s">
        <v>1536</v>
      </c>
      <c r="E34" s="399" t="s">
        <v>192</v>
      </c>
      <c r="F34" s="399"/>
      <c r="G34" s="400"/>
    </row>
    <row r="35" spans="1:7" x14ac:dyDescent="0.3">
      <c r="A35" s="20">
        <v>34</v>
      </c>
      <c r="B35" s="31" t="s">
        <v>538</v>
      </c>
      <c r="C35" s="37">
        <v>10904</v>
      </c>
      <c r="D35" s="26" t="s">
        <v>1537</v>
      </c>
      <c r="E35" s="399" t="s">
        <v>1037</v>
      </c>
      <c r="F35" s="399"/>
      <c r="G35" s="400"/>
    </row>
    <row r="36" spans="1:7" x14ac:dyDescent="0.3">
      <c r="A36" s="20">
        <v>35</v>
      </c>
      <c r="B36" s="31" t="s">
        <v>560</v>
      </c>
      <c r="C36" s="37">
        <v>10905</v>
      </c>
      <c r="D36" s="26" t="s">
        <v>1538</v>
      </c>
      <c r="E36" s="399" t="s">
        <v>192</v>
      </c>
      <c r="F36" s="399"/>
      <c r="G36" s="400"/>
    </row>
    <row r="37" spans="1:7" x14ac:dyDescent="0.3">
      <c r="A37" s="20">
        <v>36</v>
      </c>
      <c r="B37" s="31" t="s">
        <v>32</v>
      </c>
      <c r="C37" s="37">
        <v>10906</v>
      </c>
      <c r="D37" s="26" t="s">
        <v>1539</v>
      </c>
      <c r="E37" s="399" t="s">
        <v>63</v>
      </c>
      <c r="F37" s="399"/>
      <c r="G37" s="400"/>
    </row>
    <row r="38" spans="1:7" x14ac:dyDescent="0.3">
      <c r="A38" s="20">
        <v>37</v>
      </c>
      <c r="B38" s="31" t="s">
        <v>198</v>
      </c>
      <c r="C38" s="37">
        <v>10907</v>
      </c>
      <c r="D38" s="26" t="s">
        <v>1540</v>
      </c>
      <c r="E38" s="399" t="s">
        <v>284</v>
      </c>
      <c r="F38" s="399"/>
      <c r="G38" s="400"/>
    </row>
    <row r="39" spans="1:7" x14ac:dyDescent="0.3">
      <c r="A39" s="20">
        <v>38</v>
      </c>
      <c r="B39" s="31" t="s">
        <v>1541</v>
      </c>
      <c r="C39" s="37">
        <v>10908</v>
      </c>
      <c r="D39" s="26" t="s">
        <v>1542</v>
      </c>
      <c r="E39" s="399" t="s">
        <v>63</v>
      </c>
      <c r="F39" s="399"/>
      <c r="G39" s="400"/>
    </row>
    <row r="40" spans="1:7" x14ac:dyDescent="0.3">
      <c r="A40" s="20">
        <v>39</v>
      </c>
      <c r="B40" s="31" t="s">
        <v>1543</v>
      </c>
      <c r="C40" s="37">
        <v>10909</v>
      </c>
      <c r="D40" s="26" t="s">
        <v>412</v>
      </c>
      <c r="E40" s="399" t="s">
        <v>192</v>
      </c>
      <c r="F40" s="399"/>
      <c r="G40" s="400"/>
    </row>
    <row r="41" spans="1:7" x14ac:dyDescent="0.3">
      <c r="A41" s="20">
        <v>40</v>
      </c>
      <c r="B41" s="31" t="s">
        <v>792</v>
      </c>
      <c r="C41" s="37">
        <v>10910</v>
      </c>
      <c r="D41" s="52" t="s">
        <v>564</v>
      </c>
      <c r="E41" s="425" t="s">
        <v>63</v>
      </c>
      <c r="F41" s="425"/>
      <c r="G41" s="426"/>
    </row>
    <row r="42" spans="1:7" x14ac:dyDescent="0.3">
      <c r="A42" s="20">
        <v>41</v>
      </c>
      <c r="B42" s="31" t="s">
        <v>64</v>
      </c>
      <c r="C42" s="37">
        <v>10911</v>
      </c>
      <c r="D42" s="52" t="s">
        <v>1544</v>
      </c>
      <c r="E42" s="427" t="s">
        <v>63</v>
      </c>
      <c r="F42" s="428"/>
      <c r="G42" s="429"/>
    </row>
    <row r="43" spans="1:7" x14ac:dyDescent="0.3">
      <c r="A43" s="20">
        <v>42</v>
      </c>
      <c r="B43" s="31" t="s">
        <v>1370</v>
      </c>
      <c r="C43" s="37">
        <v>10912</v>
      </c>
      <c r="D43" s="26" t="s">
        <v>1545</v>
      </c>
      <c r="E43" s="399" t="s">
        <v>284</v>
      </c>
      <c r="F43" s="399"/>
      <c r="G43" s="400"/>
    </row>
    <row r="44" spans="1:7" x14ac:dyDescent="0.3">
      <c r="A44" s="20">
        <v>43</v>
      </c>
      <c r="B44" s="31" t="s">
        <v>64</v>
      </c>
      <c r="C44" s="37">
        <v>10913</v>
      </c>
      <c r="D44" s="26" t="s">
        <v>1546</v>
      </c>
      <c r="E44" s="399" t="s">
        <v>1037</v>
      </c>
      <c r="F44" s="399"/>
      <c r="G44" s="400"/>
    </row>
    <row r="45" spans="1:7" x14ac:dyDescent="0.3">
      <c r="A45" s="20">
        <v>44</v>
      </c>
      <c r="B45" s="31" t="s">
        <v>1547</v>
      </c>
      <c r="C45" s="37">
        <v>10914</v>
      </c>
      <c r="D45" s="26" t="s">
        <v>1548</v>
      </c>
      <c r="E45" s="399" t="s">
        <v>284</v>
      </c>
      <c r="F45" s="399"/>
      <c r="G45" s="400"/>
    </row>
    <row r="46" spans="1:7" x14ac:dyDescent="0.3">
      <c r="A46" s="20">
        <v>45</v>
      </c>
      <c r="B46" s="31" t="s">
        <v>1549</v>
      </c>
      <c r="C46" s="37">
        <v>10915</v>
      </c>
      <c r="D46" s="26" t="s">
        <v>1550</v>
      </c>
      <c r="E46" s="399" t="s">
        <v>1037</v>
      </c>
      <c r="F46" s="399"/>
      <c r="G46" s="400"/>
    </row>
    <row r="47" spans="1:7" x14ac:dyDescent="0.3">
      <c r="A47" s="20">
        <v>46</v>
      </c>
      <c r="B47" s="31" t="s">
        <v>534</v>
      </c>
      <c r="C47" s="37">
        <v>10916</v>
      </c>
      <c r="D47" s="26" t="s">
        <v>1551</v>
      </c>
      <c r="E47" s="399" t="s">
        <v>63</v>
      </c>
      <c r="F47" s="399"/>
      <c r="G47" s="400"/>
    </row>
    <row r="48" spans="1:7" x14ac:dyDescent="0.3">
      <c r="A48" s="20">
        <v>47</v>
      </c>
      <c r="B48" s="31" t="s">
        <v>1552</v>
      </c>
      <c r="C48" s="37">
        <v>10917</v>
      </c>
      <c r="D48" s="26" t="s">
        <v>1553</v>
      </c>
      <c r="E48" s="399" t="s">
        <v>478</v>
      </c>
      <c r="F48" s="399"/>
      <c r="G48" s="400"/>
    </row>
    <row r="49" spans="1:7" x14ac:dyDescent="0.3">
      <c r="A49" s="20">
        <v>48</v>
      </c>
      <c r="B49" s="31" t="s">
        <v>534</v>
      </c>
      <c r="C49" s="37">
        <v>10918</v>
      </c>
      <c r="D49" s="26" t="s">
        <v>1554</v>
      </c>
      <c r="E49" s="399" t="s">
        <v>1037</v>
      </c>
      <c r="F49" s="399"/>
      <c r="G49" s="400"/>
    </row>
    <row r="50" spans="1:7" x14ac:dyDescent="0.3">
      <c r="A50" s="20">
        <v>49</v>
      </c>
      <c r="B50" s="31" t="s">
        <v>485</v>
      </c>
      <c r="C50" s="37">
        <v>10919</v>
      </c>
      <c r="D50" s="26" t="s">
        <v>924</v>
      </c>
      <c r="E50" s="399" t="s">
        <v>1037</v>
      </c>
      <c r="F50" s="399"/>
      <c r="G50" s="400"/>
    </row>
    <row r="51" spans="1:7" x14ac:dyDescent="0.3">
      <c r="A51" s="20">
        <v>50</v>
      </c>
      <c r="B51" s="31" t="s">
        <v>1555</v>
      </c>
      <c r="C51" s="37">
        <v>10920</v>
      </c>
      <c r="D51" s="26" t="s">
        <v>1556</v>
      </c>
      <c r="E51" s="399" t="s">
        <v>1037</v>
      </c>
      <c r="F51" s="399"/>
      <c r="G51" s="400"/>
    </row>
    <row r="52" spans="1:7" x14ac:dyDescent="0.3">
      <c r="A52" s="20">
        <v>51</v>
      </c>
      <c r="B52" s="31" t="s">
        <v>1557</v>
      </c>
      <c r="C52" s="37">
        <v>10921</v>
      </c>
      <c r="D52" s="26" t="s">
        <v>1558</v>
      </c>
      <c r="E52" s="392" t="s">
        <v>1559</v>
      </c>
      <c r="F52" s="393"/>
      <c r="G52" s="394"/>
    </row>
    <row r="53" spans="1:7" x14ac:dyDescent="0.3">
      <c r="A53" s="20">
        <v>52</v>
      </c>
      <c r="B53" s="31" t="s">
        <v>1560</v>
      </c>
      <c r="C53" s="37">
        <v>10922</v>
      </c>
      <c r="D53" s="26" t="s">
        <v>1561</v>
      </c>
      <c r="E53" s="392" t="s">
        <v>1037</v>
      </c>
      <c r="F53" s="393"/>
      <c r="G53" s="394"/>
    </row>
    <row r="54" spans="1:7" x14ac:dyDescent="0.3">
      <c r="A54" s="20">
        <v>53</v>
      </c>
      <c r="B54" s="31" t="s">
        <v>1564</v>
      </c>
      <c r="C54" s="37">
        <v>10923</v>
      </c>
      <c r="D54" s="26" t="s">
        <v>1563</v>
      </c>
      <c r="E54" s="401" t="s">
        <v>1565</v>
      </c>
      <c r="F54" s="402"/>
      <c r="G54" s="403"/>
    </row>
    <row r="55" spans="1:7" x14ac:dyDescent="0.3">
      <c r="A55" s="20">
        <v>54</v>
      </c>
      <c r="B55" s="31" t="s">
        <v>1566</v>
      </c>
      <c r="C55" s="37">
        <v>10924</v>
      </c>
      <c r="D55" s="43" t="s">
        <v>1567</v>
      </c>
      <c r="E55" s="392" t="s">
        <v>284</v>
      </c>
      <c r="F55" s="393"/>
      <c r="G55" s="394"/>
    </row>
    <row r="56" spans="1:7" x14ac:dyDescent="0.3">
      <c r="A56" s="20">
        <v>55</v>
      </c>
      <c r="B56" s="31" t="s">
        <v>1568</v>
      </c>
      <c r="C56" s="37">
        <v>10925</v>
      </c>
      <c r="D56" s="43" t="s">
        <v>1569</v>
      </c>
      <c r="E56" s="392" t="s">
        <v>63</v>
      </c>
      <c r="F56" s="393"/>
      <c r="G56" s="394"/>
    </row>
    <row r="57" spans="1:7" x14ac:dyDescent="0.3">
      <c r="A57" s="20">
        <v>56</v>
      </c>
      <c r="B57" s="31" t="s">
        <v>1570</v>
      </c>
      <c r="C57" s="37">
        <v>10926</v>
      </c>
      <c r="D57" s="43" t="s">
        <v>1571</v>
      </c>
      <c r="E57" s="392" t="s">
        <v>63</v>
      </c>
      <c r="F57" s="393"/>
      <c r="G57" s="394"/>
    </row>
    <row r="58" spans="1:7" x14ac:dyDescent="0.3">
      <c r="A58" s="20">
        <v>57</v>
      </c>
      <c r="B58" s="31" t="s">
        <v>1572</v>
      </c>
      <c r="C58" s="37">
        <v>10927</v>
      </c>
      <c r="D58" s="43" t="s">
        <v>1573</v>
      </c>
      <c r="E58" s="404" t="s">
        <v>63</v>
      </c>
      <c r="F58" s="404"/>
      <c r="G58" s="405"/>
    </row>
    <row r="59" spans="1:7" x14ac:dyDescent="0.3">
      <c r="A59" s="20">
        <v>58</v>
      </c>
      <c r="B59" s="31" t="s">
        <v>1574</v>
      </c>
      <c r="C59" s="37">
        <v>10928</v>
      </c>
      <c r="D59" s="43" t="s">
        <v>1575</v>
      </c>
      <c r="E59" s="399" t="s">
        <v>63</v>
      </c>
      <c r="F59" s="399"/>
      <c r="G59" s="400"/>
    </row>
    <row r="60" spans="1:7" x14ac:dyDescent="0.3">
      <c r="A60" s="20">
        <v>59</v>
      </c>
      <c r="B60" s="31" t="s">
        <v>1576</v>
      </c>
      <c r="C60" s="37">
        <v>10929</v>
      </c>
      <c r="D60" s="43" t="s">
        <v>1577</v>
      </c>
      <c r="E60" s="399" t="s">
        <v>520</v>
      </c>
      <c r="F60" s="399"/>
      <c r="G60" s="400"/>
    </row>
    <row r="61" spans="1:7" x14ac:dyDescent="0.3">
      <c r="A61" s="20">
        <v>60</v>
      </c>
      <c r="B61" s="31" t="s">
        <v>1578</v>
      </c>
      <c r="C61" s="37">
        <v>10930</v>
      </c>
      <c r="D61" s="43" t="s">
        <v>1579</v>
      </c>
      <c r="E61" s="399" t="s">
        <v>63</v>
      </c>
      <c r="F61" s="399"/>
      <c r="G61" s="400"/>
    </row>
    <row r="62" spans="1:7" x14ac:dyDescent="0.3">
      <c r="A62" s="20">
        <v>61</v>
      </c>
      <c r="B62" s="31" t="s">
        <v>1580</v>
      </c>
      <c r="C62" s="37">
        <v>10931</v>
      </c>
      <c r="D62" s="43" t="s">
        <v>1581</v>
      </c>
      <c r="E62" s="399" t="s">
        <v>63</v>
      </c>
      <c r="F62" s="399"/>
      <c r="G62" s="400"/>
    </row>
    <row r="63" spans="1:7" x14ac:dyDescent="0.3">
      <c r="A63" s="20">
        <v>62</v>
      </c>
      <c r="B63" s="31" t="s">
        <v>1582</v>
      </c>
      <c r="C63" s="37">
        <v>10932</v>
      </c>
      <c r="D63" s="43" t="s">
        <v>1583</v>
      </c>
      <c r="E63" s="399" t="s">
        <v>284</v>
      </c>
      <c r="F63" s="399"/>
      <c r="G63" s="400"/>
    </row>
    <row r="64" spans="1:7" x14ac:dyDescent="0.3">
      <c r="A64" s="20">
        <v>63</v>
      </c>
      <c r="B64" s="31" t="s">
        <v>1585</v>
      </c>
      <c r="C64" s="37">
        <v>10933</v>
      </c>
      <c r="D64" s="43" t="s">
        <v>1584</v>
      </c>
      <c r="E64" s="399" t="s">
        <v>520</v>
      </c>
      <c r="F64" s="399"/>
      <c r="G64" s="400"/>
    </row>
    <row r="65" spans="1:7" x14ac:dyDescent="0.3">
      <c r="A65" s="20">
        <v>64</v>
      </c>
      <c r="B65" s="31" t="s">
        <v>1586</v>
      </c>
      <c r="C65" s="37">
        <v>10934</v>
      </c>
      <c r="D65" s="43" t="s">
        <v>1587</v>
      </c>
      <c r="E65" s="399" t="s">
        <v>192</v>
      </c>
      <c r="F65" s="399"/>
      <c r="G65" s="400"/>
    </row>
    <row r="66" spans="1:7" x14ac:dyDescent="0.3">
      <c r="A66" s="20">
        <v>65</v>
      </c>
      <c r="B66" s="31" t="s">
        <v>1588</v>
      </c>
      <c r="C66" s="37">
        <v>10935</v>
      </c>
      <c r="D66" s="43" t="s">
        <v>1589</v>
      </c>
      <c r="E66" s="399" t="s">
        <v>63</v>
      </c>
      <c r="F66" s="399"/>
      <c r="G66" s="400"/>
    </row>
    <row r="67" spans="1:7" x14ac:dyDescent="0.3">
      <c r="A67" s="20">
        <v>66</v>
      </c>
      <c r="B67" s="31" t="s">
        <v>631</v>
      </c>
      <c r="C67" s="37">
        <v>10936</v>
      </c>
      <c r="D67" s="26" t="s">
        <v>1590</v>
      </c>
      <c r="E67" s="410" t="s">
        <v>63</v>
      </c>
      <c r="F67" s="410"/>
      <c r="G67" s="411"/>
    </row>
    <row r="68" spans="1:7" x14ac:dyDescent="0.3">
      <c r="A68" s="20">
        <v>67</v>
      </c>
      <c r="B68" s="31" t="s">
        <v>1591</v>
      </c>
      <c r="C68" s="37">
        <v>10937</v>
      </c>
      <c r="D68" s="26" t="s">
        <v>1592</v>
      </c>
      <c r="E68" s="399" t="s">
        <v>63</v>
      </c>
      <c r="F68" s="399"/>
      <c r="G68" s="400"/>
    </row>
    <row r="69" spans="1:7" x14ac:dyDescent="0.3">
      <c r="A69" s="20">
        <v>68</v>
      </c>
      <c r="B69" s="31" t="s">
        <v>1593</v>
      </c>
      <c r="C69" s="37">
        <v>10938</v>
      </c>
      <c r="D69" s="26" t="s">
        <v>1594</v>
      </c>
      <c r="E69" s="399" t="s">
        <v>284</v>
      </c>
      <c r="F69" s="399"/>
      <c r="G69" s="400"/>
    </row>
    <row r="70" spans="1:7" x14ac:dyDescent="0.3">
      <c r="A70" s="20">
        <v>69</v>
      </c>
      <c r="B70" s="31" t="s">
        <v>1595</v>
      </c>
      <c r="C70" s="37">
        <v>10939</v>
      </c>
      <c r="D70" s="26" t="s">
        <v>1596</v>
      </c>
      <c r="E70" s="399" t="s">
        <v>1562</v>
      </c>
      <c r="F70" s="399"/>
      <c r="G70" s="400"/>
    </row>
    <row r="71" spans="1:7" x14ac:dyDescent="0.3">
      <c r="A71" s="20">
        <v>70</v>
      </c>
      <c r="B71" s="31" t="s">
        <v>1597</v>
      </c>
      <c r="C71" s="37">
        <v>10940</v>
      </c>
      <c r="D71" s="26" t="s">
        <v>1598</v>
      </c>
      <c r="E71" s="399" t="s">
        <v>63</v>
      </c>
      <c r="F71" s="399"/>
      <c r="G71" s="400"/>
    </row>
    <row r="72" spans="1:7" x14ac:dyDescent="0.3">
      <c r="A72" s="20">
        <v>71</v>
      </c>
      <c r="B72" s="31" t="s">
        <v>1599</v>
      </c>
      <c r="C72" s="37">
        <v>10941</v>
      </c>
      <c r="D72" s="26" t="s">
        <v>1600</v>
      </c>
      <c r="E72" s="399" t="s">
        <v>63</v>
      </c>
      <c r="F72" s="399"/>
      <c r="G72" s="400"/>
    </row>
    <row r="73" spans="1:7" x14ac:dyDescent="0.3">
      <c r="A73" s="20">
        <v>72</v>
      </c>
      <c r="B73" s="31" t="s">
        <v>1601</v>
      </c>
      <c r="C73" s="37">
        <v>10942</v>
      </c>
      <c r="D73" s="52" t="s">
        <v>1602</v>
      </c>
      <c r="E73" s="425" t="s">
        <v>1037</v>
      </c>
      <c r="F73" s="425"/>
      <c r="G73" s="426"/>
    </row>
    <row r="74" spans="1:7" ht="17.25" thickBot="1" x14ac:dyDescent="0.35">
      <c r="A74" s="54">
        <v>73</v>
      </c>
      <c r="B74" s="55" t="s">
        <v>1603</v>
      </c>
      <c r="C74" s="56">
        <v>10943</v>
      </c>
      <c r="D74" s="57" t="s">
        <v>1604</v>
      </c>
      <c r="E74" s="430" t="s">
        <v>63</v>
      </c>
      <c r="F74" s="431"/>
      <c r="G74" s="432"/>
    </row>
    <row r="75" spans="1:7" x14ac:dyDescent="0.3">
      <c r="B75" s="21"/>
      <c r="C75" s="21"/>
      <c r="D75" s="21"/>
      <c r="E75" s="398"/>
      <c r="F75" s="398"/>
      <c r="G75" s="398"/>
    </row>
    <row r="76" spans="1:7" x14ac:dyDescent="0.3">
      <c r="B76" s="21"/>
      <c r="C76" s="21"/>
      <c r="D76" s="21"/>
      <c r="E76" s="398"/>
      <c r="F76" s="398"/>
      <c r="G76" s="398"/>
    </row>
    <row r="77" spans="1:7" x14ac:dyDescent="0.3">
      <c r="B77" s="21"/>
      <c r="C77" s="21"/>
      <c r="D77" s="21"/>
      <c r="E77" s="398"/>
      <c r="F77" s="398"/>
      <c r="G77" s="398"/>
    </row>
    <row r="78" spans="1:7" x14ac:dyDescent="0.3">
      <c r="B78" s="21"/>
      <c r="C78" s="21"/>
      <c r="D78" s="21"/>
      <c r="E78" s="398"/>
      <c r="F78" s="398"/>
      <c r="G78" s="398"/>
    </row>
    <row r="79" spans="1:7" x14ac:dyDescent="0.3">
      <c r="B79" s="21"/>
      <c r="C79" s="21"/>
      <c r="D79" s="21"/>
      <c r="E79" s="398"/>
      <c r="F79" s="398"/>
      <c r="G79" s="398"/>
    </row>
    <row r="80" spans="1:7" x14ac:dyDescent="0.3">
      <c r="B80" s="21"/>
      <c r="C80" s="21"/>
      <c r="D80" s="21"/>
      <c r="E80" s="398"/>
      <c r="F80" s="398"/>
      <c r="G80" s="398"/>
    </row>
    <row r="81" spans="2:7" x14ac:dyDescent="0.3">
      <c r="B81" s="21"/>
      <c r="C81" s="21"/>
      <c r="D81" s="21"/>
      <c r="E81" s="398"/>
      <c r="F81" s="398"/>
      <c r="G81" s="398"/>
    </row>
    <row r="82" spans="2:7" x14ac:dyDescent="0.3">
      <c r="B82" s="21"/>
      <c r="C82" s="21"/>
      <c r="D82" s="21"/>
      <c r="E82" s="398"/>
      <c r="F82" s="398"/>
      <c r="G82" s="398"/>
    </row>
    <row r="83" spans="2:7" x14ac:dyDescent="0.3">
      <c r="B83" s="21"/>
      <c r="C83" s="21"/>
      <c r="D83" s="21"/>
      <c r="E83" s="398"/>
      <c r="F83" s="398"/>
      <c r="G83" s="398"/>
    </row>
    <row r="84" spans="2:7" x14ac:dyDescent="0.3">
      <c r="B84" s="21"/>
      <c r="C84" s="21"/>
      <c r="D84" s="21"/>
      <c r="E84" s="398"/>
      <c r="F84" s="398"/>
      <c r="G84" s="398"/>
    </row>
    <row r="85" spans="2:7" x14ac:dyDescent="0.3">
      <c r="B85" s="21"/>
      <c r="C85" s="21"/>
      <c r="D85" s="21"/>
      <c r="E85" s="398"/>
      <c r="F85" s="398"/>
      <c r="G85" s="398"/>
    </row>
    <row r="86" spans="2:7" x14ac:dyDescent="0.3">
      <c r="B86" s="21"/>
      <c r="C86" s="21"/>
      <c r="D86" s="21"/>
      <c r="E86" s="398"/>
      <c r="F86" s="398"/>
      <c r="G86" s="398"/>
    </row>
    <row r="87" spans="2:7" x14ac:dyDescent="0.3">
      <c r="B87" s="21"/>
      <c r="C87" s="21"/>
      <c r="D87" s="21"/>
      <c r="E87" s="398"/>
      <c r="F87" s="398"/>
      <c r="G87" s="398"/>
    </row>
    <row r="88" spans="2:7" x14ac:dyDescent="0.3">
      <c r="B88" s="21"/>
      <c r="C88" s="21"/>
      <c r="D88" s="21"/>
      <c r="E88" s="398"/>
      <c r="F88" s="398"/>
      <c r="G88" s="398"/>
    </row>
    <row r="89" spans="2:7" x14ac:dyDescent="0.3">
      <c r="B89" s="21"/>
      <c r="C89" s="21"/>
      <c r="D89" s="21"/>
      <c r="E89" s="398"/>
      <c r="F89" s="398"/>
      <c r="G89" s="398"/>
    </row>
    <row r="90" spans="2:7" x14ac:dyDescent="0.3">
      <c r="B90" s="21"/>
      <c r="C90" s="21"/>
      <c r="D90" s="21"/>
      <c r="E90" s="398"/>
      <c r="F90" s="398"/>
      <c r="G90" s="398"/>
    </row>
    <row r="91" spans="2:7" x14ac:dyDescent="0.3">
      <c r="B91" s="21"/>
      <c r="C91" s="21"/>
      <c r="D91" s="21"/>
      <c r="E91" s="398"/>
      <c r="F91" s="398"/>
      <c r="G91" s="398"/>
    </row>
    <row r="92" spans="2:7" x14ac:dyDescent="0.3">
      <c r="B92" s="21"/>
      <c r="C92" s="21"/>
      <c r="D92" s="21"/>
      <c r="E92" s="398"/>
      <c r="F92" s="398"/>
      <c r="G92" s="398"/>
    </row>
    <row r="93" spans="2:7" x14ac:dyDescent="0.3">
      <c r="B93" s="21"/>
      <c r="C93" s="21"/>
      <c r="D93" s="21"/>
      <c r="E93" s="398"/>
      <c r="F93" s="398"/>
      <c r="G93" s="398"/>
    </row>
    <row r="94" spans="2:7" x14ac:dyDescent="0.3">
      <c r="B94" s="21"/>
      <c r="C94" s="21"/>
      <c r="D94" s="21"/>
      <c r="E94" s="398"/>
      <c r="F94" s="398"/>
      <c r="G94" s="398"/>
    </row>
    <row r="95" spans="2:7" x14ac:dyDescent="0.3">
      <c r="B95" s="21"/>
      <c r="C95" s="21"/>
      <c r="D95" s="21"/>
      <c r="E95" s="398"/>
      <c r="F95" s="398"/>
      <c r="G95" s="398"/>
    </row>
    <row r="96" spans="2:7" x14ac:dyDescent="0.3">
      <c r="B96" s="21"/>
      <c r="C96" s="21"/>
      <c r="D96" s="21"/>
      <c r="E96" s="398"/>
      <c r="F96" s="398"/>
      <c r="G96" s="398"/>
    </row>
    <row r="97" spans="2:7" x14ac:dyDescent="0.3">
      <c r="B97" s="21"/>
      <c r="C97" s="21"/>
      <c r="D97" s="21"/>
      <c r="E97" s="398"/>
      <c r="F97" s="398"/>
      <c r="G97" s="398"/>
    </row>
    <row r="98" spans="2:7" x14ac:dyDescent="0.3">
      <c r="B98" s="21"/>
      <c r="C98" s="21"/>
      <c r="D98" s="21"/>
      <c r="E98" s="398"/>
      <c r="F98" s="398"/>
      <c r="G98" s="398"/>
    </row>
    <row r="99" spans="2:7" x14ac:dyDescent="0.3">
      <c r="B99" s="21"/>
      <c r="C99" s="21"/>
      <c r="D99" s="21"/>
      <c r="E99" s="398"/>
      <c r="F99" s="398"/>
      <c r="G99" s="398"/>
    </row>
    <row r="100" spans="2:7" x14ac:dyDescent="0.3">
      <c r="B100" s="21"/>
      <c r="C100" s="21"/>
      <c r="D100" s="21"/>
      <c r="E100" s="398"/>
      <c r="F100" s="398"/>
      <c r="G100" s="398"/>
    </row>
    <row r="101" spans="2:7" x14ac:dyDescent="0.3">
      <c r="B101" s="21"/>
      <c r="C101" s="21"/>
      <c r="D101" s="21"/>
      <c r="E101" s="398"/>
      <c r="F101" s="398"/>
      <c r="G101" s="398"/>
    </row>
    <row r="102" spans="2:7" x14ac:dyDescent="0.3">
      <c r="B102" s="21"/>
      <c r="C102" s="21"/>
      <c r="D102" s="21"/>
      <c r="E102" s="398"/>
      <c r="F102" s="398"/>
      <c r="G102" s="398"/>
    </row>
    <row r="103" spans="2:7" x14ac:dyDescent="0.3">
      <c r="B103" s="21"/>
      <c r="C103" s="21"/>
      <c r="D103" s="21"/>
      <c r="E103" s="398"/>
      <c r="F103" s="398"/>
      <c r="G103" s="398"/>
    </row>
    <row r="104" spans="2:7" x14ac:dyDescent="0.3">
      <c r="B104" s="21"/>
      <c r="C104" s="21"/>
      <c r="D104" s="21"/>
      <c r="E104" s="398"/>
      <c r="F104" s="398"/>
      <c r="G104" s="398"/>
    </row>
    <row r="105" spans="2:7" x14ac:dyDescent="0.3">
      <c r="B105" s="21"/>
      <c r="C105" s="21"/>
      <c r="D105" s="21"/>
      <c r="E105" s="398"/>
      <c r="F105" s="398"/>
      <c r="G105" s="398"/>
    </row>
    <row r="106" spans="2:7" x14ac:dyDescent="0.3">
      <c r="B106" s="21"/>
      <c r="C106" s="21"/>
      <c r="D106" s="21"/>
      <c r="E106" s="398"/>
      <c r="F106" s="398"/>
      <c r="G106" s="398"/>
    </row>
    <row r="107" spans="2:7" x14ac:dyDescent="0.3">
      <c r="B107" s="21"/>
      <c r="C107" s="21"/>
      <c r="D107" s="21"/>
      <c r="E107" s="398"/>
      <c r="F107" s="398"/>
      <c r="G107" s="398"/>
    </row>
    <row r="108" spans="2:7" x14ac:dyDescent="0.3">
      <c r="B108" s="21"/>
      <c r="C108" s="21"/>
      <c r="D108" s="21"/>
      <c r="E108" s="398"/>
      <c r="F108" s="398"/>
      <c r="G108" s="398"/>
    </row>
    <row r="109" spans="2:7" x14ac:dyDescent="0.3">
      <c r="B109" s="21"/>
      <c r="C109" s="21"/>
      <c r="D109" s="21"/>
      <c r="E109" s="398"/>
      <c r="F109" s="398"/>
      <c r="G109" s="398"/>
    </row>
    <row r="110" spans="2:7" x14ac:dyDescent="0.3">
      <c r="B110" s="21"/>
      <c r="C110" s="21"/>
      <c r="D110" s="21"/>
      <c r="E110" s="398"/>
      <c r="F110" s="398"/>
      <c r="G110" s="398"/>
    </row>
    <row r="111" spans="2:7" x14ac:dyDescent="0.3">
      <c r="B111" s="21"/>
      <c r="C111" s="21"/>
      <c r="D111" s="21"/>
      <c r="E111" s="398"/>
      <c r="F111" s="398"/>
      <c r="G111" s="398"/>
    </row>
    <row r="112" spans="2:7" x14ac:dyDescent="0.3">
      <c r="B112" s="21"/>
      <c r="C112" s="21"/>
      <c r="D112" s="21"/>
      <c r="E112" s="398"/>
      <c r="F112" s="398"/>
      <c r="G112" s="398"/>
    </row>
    <row r="113" spans="2:7" x14ac:dyDescent="0.3">
      <c r="B113" s="21"/>
      <c r="C113" s="21"/>
      <c r="D113" s="21"/>
      <c r="E113" s="398"/>
      <c r="F113" s="398"/>
      <c r="G113" s="398"/>
    </row>
    <row r="114" spans="2:7" x14ac:dyDescent="0.3">
      <c r="B114" s="21"/>
      <c r="C114" s="21"/>
      <c r="D114" s="21"/>
      <c r="E114" s="398"/>
      <c r="F114" s="398"/>
      <c r="G114" s="398"/>
    </row>
    <row r="115" spans="2:7" x14ac:dyDescent="0.3">
      <c r="B115" s="21"/>
      <c r="C115" s="21"/>
      <c r="D115" s="21"/>
      <c r="E115" s="398"/>
      <c r="F115" s="398"/>
      <c r="G115" s="398"/>
    </row>
    <row r="116" spans="2:7" x14ac:dyDescent="0.3">
      <c r="B116" s="21"/>
      <c r="C116" s="21"/>
      <c r="D116" s="21"/>
      <c r="E116" s="398"/>
      <c r="F116" s="398"/>
      <c r="G116" s="398"/>
    </row>
  </sheetData>
  <mergeCells count="116">
    <mergeCell ref="E115:G115"/>
    <mergeCell ref="E116:G116"/>
    <mergeCell ref="E109:G109"/>
    <mergeCell ref="E110:G110"/>
    <mergeCell ref="E111:G111"/>
    <mergeCell ref="E112:G112"/>
    <mergeCell ref="E113:G113"/>
    <mergeCell ref="E114:G114"/>
    <mergeCell ref="E103:G103"/>
    <mergeCell ref="E104:G104"/>
    <mergeCell ref="E105:G105"/>
    <mergeCell ref="E106:G106"/>
    <mergeCell ref="E107:G107"/>
    <mergeCell ref="E108:G108"/>
    <mergeCell ref="E97:G97"/>
    <mergeCell ref="E98:G98"/>
    <mergeCell ref="E99:G99"/>
    <mergeCell ref="E100:G100"/>
    <mergeCell ref="E101:G101"/>
    <mergeCell ref="E102:G102"/>
    <mergeCell ref="E91:G91"/>
    <mergeCell ref="E92:G92"/>
    <mergeCell ref="E93:G93"/>
    <mergeCell ref="E94:G94"/>
    <mergeCell ref="E95:G95"/>
    <mergeCell ref="E96:G96"/>
    <mergeCell ref="E85:G85"/>
    <mergeCell ref="E86:G86"/>
    <mergeCell ref="E87:G87"/>
    <mergeCell ref="E88:G88"/>
    <mergeCell ref="E89:G89"/>
    <mergeCell ref="E90:G90"/>
    <mergeCell ref="E79:G79"/>
    <mergeCell ref="E80:G80"/>
    <mergeCell ref="E81:G81"/>
    <mergeCell ref="E82:G82"/>
    <mergeCell ref="E83:G83"/>
    <mergeCell ref="E84:G84"/>
    <mergeCell ref="E73:G73"/>
    <mergeCell ref="E74:G74"/>
    <mergeCell ref="E75:G75"/>
    <mergeCell ref="E76:G76"/>
    <mergeCell ref="E77:G77"/>
    <mergeCell ref="E78:G78"/>
    <mergeCell ref="E67:G67"/>
    <mergeCell ref="E68:G68"/>
    <mergeCell ref="E69:G69"/>
    <mergeCell ref="E70:G70"/>
    <mergeCell ref="E71:G71"/>
    <mergeCell ref="E72:G72"/>
    <mergeCell ref="E61:G61"/>
    <mergeCell ref="E62:G62"/>
    <mergeCell ref="E63:G63"/>
    <mergeCell ref="E64:G64"/>
    <mergeCell ref="E65:G65"/>
    <mergeCell ref="E66:G66"/>
    <mergeCell ref="E55:G55"/>
    <mergeCell ref="E56:G56"/>
    <mergeCell ref="E57:G57"/>
    <mergeCell ref="E58:G58"/>
    <mergeCell ref="E59:G59"/>
    <mergeCell ref="E60:G60"/>
    <mergeCell ref="E49:G49"/>
    <mergeCell ref="E50:G50"/>
    <mergeCell ref="E51:G51"/>
    <mergeCell ref="E52:G52"/>
    <mergeCell ref="E53:G53"/>
    <mergeCell ref="E54:G54"/>
    <mergeCell ref="E43:G43"/>
    <mergeCell ref="E44:G44"/>
    <mergeCell ref="E45:G45"/>
    <mergeCell ref="E46:G46"/>
    <mergeCell ref="E47:G47"/>
    <mergeCell ref="E48:G48"/>
    <mergeCell ref="E37:G37"/>
    <mergeCell ref="E38:G38"/>
    <mergeCell ref="E39:G39"/>
    <mergeCell ref="E40:G40"/>
    <mergeCell ref="E41:G41"/>
    <mergeCell ref="E42:G42"/>
    <mergeCell ref="E31:G31"/>
    <mergeCell ref="E32:G32"/>
    <mergeCell ref="E33:G33"/>
    <mergeCell ref="E34:G34"/>
    <mergeCell ref="E35:G35"/>
    <mergeCell ref="E36:G36"/>
    <mergeCell ref="E25:G25"/>
    <mergeCell ref="E26:G26"/>
    <mergeCell ref="E27:G27"/>
    <mergeCell ref="E28:G28"/>
    <mergeCell ref="E29:G29"/>
    <mergeCell ref="E30:G30"/>
    <mergeCell ref="E19:G19"/>
    <mergeCell ref="E20:G20"/>
    <mergeCell ref="E21:G21"/>
    <mergeCell ref="E22:G22"/>
    <mergeCell ref="E23:G23"/>
    <mergeCell ref="E24:G24"/>
    <mergeCell ref="E16:G16"/>
    <mergeCell ref="E17:G17"/>
    <mergeCell ref="E18:G18"/>
    <mergeCell ref="E7:G7"/>
    <mergeCell ref="E8:G8"/>
    <mergeCell ref="E9:G9"/>
    <mergeCell ref="E10:G10"/>
    <mergeCell ref="E11:G11"/>
    <mergeCell ref="E12:G12"/>
    <mergeCell ref="E1:G1"/>
    <mergeCell ref="E2:G2"/>
    <mergeCell ref="E3:G3"/>
    <mergeCell ref="E4:G4"/>
    <mergeCell ref="E5:G5"/>
    <mergeCell ref="E6:G6"/>
    <mergeCell ref="E13:G13"/>
    <mergeCell ref="E14:G14"/>
    <mergeCell ref="E15:G15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6"/>
  <sheetViews>
    <sheetView topLeftCell="A19" workbookViewId="0">
      <selection activeCell="I47" sqref="I47"/>
    </sheetView>
  </sheetViews>
  <sheetFormatPr defaultRowHeight="16.5" x14ac:dyDescent="0.3"/>
  <cols>
    <col min="2" max="2" width="15.25" bestFit="1" customWidth="1"/>
    <col min="4" max="4" width="11" bestFit="1" customWidth="1"/>
    <col min="7" max="7" width="9.75" customWidth="1"/>
  </cols>
  <sheetData>
    <row r="1" spans="1:7" ht="17.25" thickBot="1" x14ac:dyDescent="0.35">
      <c r="A1" s="47"/>
      <c r="B1" s="45" t="s">
        <v>911</v>
      </c>
      <c r="C1" s="44" t="s">
        <v>1</v>
      </c>
      <c r="D1" s="44" t="s">
        <v>588</v>
      </c>
      <c r="E1" s="420" t="s">
        <v>3</v>
      </c>
      <c r="F1" s="420"/>
      <c r="G1" s="421"/>
    </row>
    <row r="2" spans="1:7" x14ac:dyDescent="0.3">
      <c r="A2" s="46">
        <v>1</v>
      </c>
      <c r="B2" s="39" t="s">
        <v>1605</v>
      </c>
      <c r="C2" s="37">
        <v>10944</v>
      </c>
      <c r="D2" s="37" t="s">
        <v>1606</v>
      </c>
      <c r="E2" s="410" t="s">
        <v>1609</v>
      </c>
      <c r="F2" s="410"/>
      <c r="G2" s="411"/>
    </row>
    <row r="3" spans="1:7" x14ac:dyDescent="0.3">
      <c r="A3" s="20">
        <v>2</v>
      </c>
      <c r="B3" s="31" t="s">
        <v>1607</v>
      </c>
      <c r="C3" s="37">
        <v>10945</v>
      </c>
      <c r="D3" s="26" t="s">
        <v>1608</v>
      </c>
      <c r="E3" s="399" t="s">
        <v>1609</v>
      </c>
      <c r="F3" s="399"/>
      <c r="G3" s="400"/>
    </row>
    <row r="4" spans="1:7" x14ac:dyDescent="0.3">
      <c r="A4" s="20">
        <v>3</v>
      </c>
      <c r="B4" s="31" t="s">
        <v>1610</v>
      </c>
      <c r="C4" s="37">
        <v>10946</v>
      </c>
      <c r="D4" s="26" t="s">
        <v>1611</v>
      </c>
      <c r="E4" s="399" t="s">
        <v>1609</v>
      </c>
      <c r="F4" s="399"/>
      <c r="G4" s="400"/>
    </row>
    <row r="5" spans="1:7" x14ac:dyDescent="0.3">
      <c r="A5" s="20">
        <v>4</v>
      </c>
      <c r="B5" s="31" t="s">
        <v>1612</v>
      </c>
      <c r="C5" s="37">
        <v>10947</v>
      </c>
      <c r="D5" s="26" t="s">
        <v>1613</v>
      </c>
      <c r="E5" s="399" t="s">
        <v>1609</v>
      </c>
      <c r="F5" s="399"/>
      <c r="G5" s="400"/>
    </row>
    <row r="6" spans="1:7" x14ac:dyDescent="0.3">
      <c r="A6" s="20">
        <v>5</v>
      </c>
      <c r="B6" s="31" t="s">
        <v>1614</v>
      </c>
      <c r="C6" s="37">
        <v>10948</v>
      </c>
      <c r="D6" s="26" t="s">
        <v>1615</v>
      </c>
      <c r="E6" s="399" t="s">
        <v>1609</v>
      </c>
      <c r="F6" s="399"/>
      <c r="G6" s="400"/>
    </row>
    <row r="7" spans="1:7" x14ac:dyDescent="0.3">
      <c r="A7" s="20">
        <v>6</v>
      </c>
      <c r="B7" s="31" t="s">
        <v>1616</v>
      </c>
      <c r="C7" s="37">
        <v>10949</v>
      </c>
      <c r="D7" s="26" t="s">
        <v>1617</v>
      </c>
      <c r="E7" s="399" t="s">
        <v>1609</v>
      </c>
      <c r="F7" s="399"/>
      <c r="G7" s="400"/>
    </row>
    <row r="8" spans="1:7" x14ac:dyDescent="0.3">
      <c r="A8" s="20">
        <v>7</v>
      </c>
      <c r="B8" s="31" t="s">
        <v>1618</v>
      </c>
      <c r="C8" s="37">
        <v>10950</v>
      </c>
      <c r="D8" s="26" t="s">
        <v>1619</v>
      </c>
      <c r="E8" s="399" t="s">
        <v>1620</v>
      </c>
      <c r="F8" s="399"/>
      <c r="G8" s="400"/>
    </row>
    <row r="9" spans="1:7" x14ac:dyDescent="0.3">
      <c r="A9" s="20">
        <v>8</v>
      </c>
      <c r="B9" s="31" t="s">
        <v>1621</v>
      </c>
      <c r="C9" s="37">
        <v>10951</v>
      </c>
      <c r="D9" s="26" t="s">
        <v>1622</v>
      </c>
      <c r="E9" s="399" t="s">
        <v>1609</v>
      </c>
      <c r="F9" s="399"/>
      <c r="G9" s="400"/>
    </row>
    <row r="10" spans="1:7" x14ac:dyDescent="0.3">
      <c r="A10" s="20">
        <v>9</v>
      </c>
      <c r="B10" s="31" t="s">
        <v>1623</v>
      </c>
      <c r="C10" s="37">
        <v>10952</v>
      </c>
      <c r="D10" s="26" t="s">
        <v>1624</v>
      </c>
      <c r="E10" s="399" t="s">
        <v>1627</v>
      </c>
      <c r="F10" s="399"/>
      <c r="G10" s="400"/>
    </row>
    <row r="11" spans="1:7" x14ac:dyDescent="0.3">
      <c r="A11" s="20">
        <v>10</v>
      </c>
      <c r="B11" s="31" t="s">
        <v>1625</v>
      </c>
      <c r="C11" s="37">
        <v>10953</v>
      </c>
      <c r="D11" s="26" t="s">
        <v>1626</v>
      </c>
      <c r="E11" s="399" t="s">
        <v>1627</v>
      </c>
      <c r="F11" s="399"/>
      <c r="G11" s="400"/>
    </row>
    <row r="12" spans="1:7" x14ac:dyDescent="0.3">
      <c r="A12" s="20">
        <v>11</v>
      </c>
      <c r="B12" s="31" t="s">
        <v>1628</v>
      </c>
      <c r="C12" s="37">
        <v>10954</v>
      </c>
      <c r="D12" s="26" t="s">
        <v>1629</v>
      </c>
      <c r="E12" s="399" t="s">
        <v>1609</v>
      </c>
      <c r="F12" s="399"/>
      <c r="G12" s="400"/>
    </row>
    <row r="13" spans="1:7" x14ac:dyDescent="0.3">
      <c r="A13" s="20">
        <v>12</v>
      </c>
      <c r="B13" s="31" t="s">
        <v>1630</v>
      </c>
      <c r="C13" s="37">
        <v>10955</v>
      </c>
      <c r="D13" s="26" t="s">
        <v>1631</v>
      </c>
      <c r="E13" s="399" t="s">
        <v>1609</v>
      </c>
      <c r="F13" s="399"/>
      <c r="G13" s="400"/>
    </row>
    <row r="14" spans="1:7" x14ac:dyDescent="0.3">
      <c r="A14" s="20">
        <v>13</v>
      </c>
      <c r="B14" s="31" t="s">
        <v>1632</v>
      </c>
      <c r="C14" s="37">
        <v>10956</v>
      </c>
      <c r="D14" s="26" t="s">
        <v>1633</v>
      </c>
      <c r="E14" s="399" t="s">
        <v>1609</v>
      </c>
      <c r="F14" s="399"/>
      <c r="G14" s="400"/>
    </row>
    <row r="15" spans="1:7" x14ac:dyDescent="0.3">
      <c r="A15" s="20">
        <v>14</v>
      </c>
      <c r="B15" s="31" t="s">
        <v>1634</v>
      </c>
      <c r="C15" s="37">
        <v>10957</v>
      </c>
      <c r="D15" s="26" t="s">
        <v>1635</v>
      </c>
      <c r="E15" s="399" t="s">
        <v>1636</v>
      </c>
      <c r="F15" s="399"/>
      <c r="G15" s="400"/>
    </row>
    <row r="16" spans="1:7" x14ac:dyDescent="0.3">
      <c r="A16" s="20">
        <v>15</v>
      </c>
      <c r="B16" s="31" t="s">
        <v>1637</v>
      </c>
      <c r="C16" s="37">
        <v>10958</v>
      </c>
      <c r="D16" s="26" t="s">
        <v>1638</v>
      </c>
      <c r="E16" s="399" t="s">
        <v>1609</v>
      </c>
      <c r="F16" s="399"/>
      <c r="G16" s="400"/>
    </row>
    <row r="17" spans="1:7" x14ac:dyDescent="0.3">
      <c r="A17" s="20">
        <v>16</v>
      </c>
      <c r="B17" s="31" t="s">
        <v>1639</v>
      </c>
      <c r="C17" s="37">
        <v>10959</v>
      </c>
      <c r="D17" s="26" t="s">
        <v>1640</v>
      </c>
      <c r="E17" s="399" t="s">
        <v>1609</v>
      </c>
      <c r="F17" s="399"/>
      <c r="G17" s="400"/>
    </row>
    <row r="18" spans="1:7" x14ac:dyDescent="0.3">
      <c r="A18" s="20">
        <v>17</v>
      </c>
      <c r="B18" s="31" t="s">
        <v>1641</v>
      </c>
      <c r="C18" s="37">
        <v>10960</v>
      </c>
      <c r="D18" s="26" t="s">
        <v>1642</v>
      </c>
      <c r="E18" s="399" t="s">
        <v>1609</v>
      </c>
      <c r="F18" s="399"/>
      <c r="G18" s="400"/>
    </row>
    <row r="19" spans="1:7" x14ac:dyDescent="0.3">
      <c r="A19" s="20">
        <v>18</v>
      </c>
      <c r="B19" s="31" t="s">
        <v>1643</v>
      </c>
      <c r="C19" s="37">
        <v>10961</v>
      </c>
      <c r="D19" s="26" t="s">
        <v>1644</v>
      </c>
      <c r="E19" s="399" t="s">
        <v>1609</v>
      </c>
      <c r="F19" s="399"/>
      <c r="G19" s="400"/>
    </row>
    <row r="20" spans="1:7" x14ac:dyDescent="0.3">
      <c r="A20" s="20">
        <v>19</v>
      </c>
      <c r="B20" s="31" t="s">
        <v>1645</v>
      </c>
      <c r="C20" s="37">
        <v>10962</v>
      </c>
      <c r="D20" s="26" t="s">
        <v>1646</v>
      </c>
      <c r="E20" s="399" t="s">
        <v>1609</v>
      </c>
      <c r="F20" s="399"/>
      <c r="G20" s="400"/>
    </row>
    <row r="21" spans="1:7" x14ac:dyDescent="0.3">
      <c r="A21" s="20">
        <v>20</v>
      </c>
      <c r="B21" s="31" t="s">
        <v>1639</v>
      </c>
      <c r="C21" s="37">
        <v>10963</v>
      </c>
      <c r="D21" s="26" t="s">
        <v>1647</v>
      </c>
      <c r="E21" s="399" t="s">
        <v>1609</v>
      </c>
      <c r="F21" s="399"/>
      <c r="G21" s="400"/>
    </row>
    <row r="22" spans="1:7" x14ac:dyDescent="0.3">
      <c r="A22" s="20">
        <v>21</v>
      </c>
      <c r="B22" s="31" t="s">
        <v>1648</v>
      </c>
      <c r="C22" s="37">
        <v>10964</v>
      </c>
      <c r="D22" s="26" t="s">
        <v>1649</v>
      </c>
      <c r="E22" s="399" t="s">
        <v>1636</v>
      </c>
      <c r="F22" s="399"/>
      <c r="G22" s="400"/>
    </row>
    <row r="23" spans="1:7" x14ac:dyDescent="0.3">
      <c r="A23" s="20">
        <v>22</v>
      </c>
      <c r="B23" s="31" t="s">
        <v>1650</v>
      </c>
      <c r="C23" s="37">
        <v>10965</v>
      </c>
      <c r="D23" s="26" t="s">
        <v>1651</v>
      </c>
      <c r="E23" s="399" t="s">
        <v>1620</v>
      </c>
      <c r="F23" s="399"/>
      <c r="G23" s="400"/>
    </row>
    <row r="24" spans="1:7" x14ac:dyDescent="0.3">
      <c r="A24" s="20">
        <v>23</v>
      </c>
      <c r="B24" s="31" t="s">
        <v>1652</v>
      </c>
      <c r="C24" s="37">
        <v>10966</v>
      </c>
      <c r="D24" s="26" t="s">
        <v>1653</v>
      </c>
      <c r="E24" s="399" t="s">
        <v>1620</v>
      </c>
      <c r="F24" s="399"/>
      <c r="G24" s="400"/>
    </row>
    <row r="25" spans="1:7" x14ac:dyDescent="0.3">
      <c r="A25" s="20">
        <v>24</v>
      </c>
      <c r="B25" s="31" t="s">
        <v>1654</v>
      </c>
      <c r="C25" s="37">
        <v>10967</v>
      </c>
      <c r="D25" s="26" t="s">
        <v>1655</v>
      </c>
      <c r="E25" s="399" t="s">
        <v>1609</v>
      </c>
      <c r="F25" s="399"/>
      <c r="G25" s="400"/>
    </row>
    <row r="26" spans="1:7" x14ac:dyDescent="0.3">
      <c r="A26" s="20">
        <v>25</v>
      </c>
      <c r="B26" s="31" t="s">
        <v>1657</v>
      </c>
      <c r="C26" s="37">
        <v>10968</v>
      </c>
      <c r="D26" s="26" t="s">
        <v>1656</v>
      </c>
      <c r="E26" s="399" t="s">
        <v>1665</v>
      </c>
      <c r="F26" s="399"/>
      <c r="G26" s="400"/>
    </row>
    <row r="27" spans="1:7" x14ac:dyDescent="0.3">
      <c r="A27" s="20">
        <v>26</v>
      </c>
      <c r="B27" s="31" t="s">
        <v>1658</v>
      </c>
      <c r="C27" s="37">
        <v>10969</v>
      </c>
      <c r="D27" s="26" t="s">
        <v>1659</v>
      </c>
      <c r="E27" s="399" t="s">
        <v>1609</v>
      </c>
      <c r="F27" s="399"/>
      <c r="G27" s="400"/>
    </row>
    <row r="28" spans="1:7" x14ac:dyDescent="0.3">
      <c r="A28" s="20">
        <v>27</v>
      </c>
      <c r="B28" s="31" t="s">
        <v>1660</v>
      </c>
      <c r="C28" s="37">
        <v>10970</v>
      </c>
      <c r="D28" s="26" t="s">
        <v>1661</v>
      </c>
      <c r="E28" s="399" t="s">
        <v>1609</v>
      </c>
      <c r="F28" s="399"/>
      <c r="G28" s="400"/>
    </row>
    <row r="29" spans="1:7" x14ac:dyDescent="0.3">
      <c r="A29" s="20">
        <v>28</v>
      </c>
      <c r="B29" s="31" t="s">
        <v>1616</v>
      </c>
      <c r="C29" s="37">
        <v>10971</v>
      </c>
      <c r="D29" s="26" t="s">
        <v>1662</v>
      </c>
      <c r="E29" s="399" t="s">
        <v>1609</v>
      </c>
      <c r="F29" s="399"/>
      <c r="G29" s="400"/>
    </row>
    <row r="30" spans="1:7" x14ac:dyDescent="0.3">
      <c r="A30" s="20">
        <v>29</v>
      </c>
      <c r="B30" s="31" t="s">
        <v>1663</v>
      </c>
      <c r="C30" s="37">
        <v>10972</v>
      </c>
      <c r="D30" s="26" t="s">
        <v>1664</v>
      </c>
      <c r="E30" s="399" t="s">
        <v>1620</v>
      </c>
      <c r="F30" s="399"/>
      <c r="G30" s="400"/>
    </row>
    <row r="31" spans="1:7" x14ac:dyDescent="0.3">
      <c r="A31" s="20">
        <v>30</v>
      </c>
      <c r="B31" s="31" t="s">
        <v>1666</v>
      </c>
      <c r="C31" s="37">
        <v>10973</v>
      </c>
      <c r="D31" s="26" t="s">
        <v>1667</v>
      </c>
      <c r="E31" s="399" t="s">
        <v>1609</v>
      </c>
      <c r="F31" s="399"/>
      <c r="G31" s="400"/>
    </row>
    <row r="32" spans="1:7" x14ac:dyDescent="0.3">
      <c r="A32" s="20">
        <v>31</v>
      </c>
      <c r="B32" s="31" t="s">
        <v>1668</v>
      </c>
      <c r="C32" s="37">
        <v>10974</v>
      </c>
      <c r="D32" s="26" t="s">
        <v>1669</v>
      </c>
      <c r="E32" s="399" t="s">
        <v>1609</v>
      </c>
      <c r="F32" s="399"/>
      <c r="G32" s="400"/>
    </row>
    <row r="33" spans="1:7" x14ac:dyDescent="0.3">
      <c r="A33" s="20">
        <v>32</v>
      </c>
      <c r="B33" s="31" t="s">
        <v>1670</v>
      </c>
      <c r="C33" s="37">
        <v>10976</v>
      </c>
      <c r="D33" s="26" t="s">
        <v>1671</v>
      </c>
      <c r="E33" s="399" t="s">
        <v>1636</v>
      </c>
      <c r="F33" s="399"/>
      <c r="G33" s="400"/>
    </row>
    <row r="34" spans="1:7" x14ac:dyDescent="0.3">
      <c r="A34" s="20">
        <v>33</v>
      </c>
      <c r="B34" s="31" t="s">
        <v>1672</v>
      </c>
      <c r="C34" s="37">
        <v>10977</v>
      </c>
      <c r="D34" s="26" t="s">
        <v>1673</v>
      </c>
      <c r="E34" s="399" t="s">
        <v>1620</v>
      </c>
      <c r="F34" s="399"/>
      <c r="G34" s="400"/>
    </row>
    <row r="35" spans="1:7" x14ac:dyDescent="0.3">
      <c r="A35" s="20">
        <v>34</v>
      </c>
      <c r="B35" s="31" t="s">
        <v>1639</v>
      </c>
      <c r="C35" s="37">
        <v>10978</v>
      </c>
      <c r="D35" s="26" t="s">
        <v>1674</v>
      </c>
      <c r="E35" s="399" t="s">
        <v>1609</v>
      </c>
      <c r="F35" s="399"/>
      <c r="G35" s="400"/>
    </row>
    <row r="36" spans="1:7" x14ac:dyDescent="0.3">
      <c r="A36" s="20">
        <v>35</v>
      </c>
      <c r="B36" s="31" t="s">
        <v>1675</v>
      </c>
      <c r="C36" s="37">
        <v>10979</v>
      </c>
      <c r="D36" s="26" t="s">
        <v>1676</v>
      </c>
      <c r="E36" s="399" t="s">
        <v>1609</v>
      </c>
      <c r="F36" s="399"/>
      <c r="G36" s="400"/>
    </row>
    <row r="37" spans="1:7" x14ac:dyDescent="0.3">
      <c r="A37" s="20">
        <v>36</v>
      </c>
      <c r="B37" s="31" t="s">
        <v>1677</v>
      </c>
      <c r="C37" s="37">
        <v>10980</v>
      </c>
      <c r="D37" s="26" t="s">
        <v>1678</v>
      </c>
      <c r="E37" s="399" t="s">
        <v>1609</v>
      </c>
      <c r="F37" s="399"/>
      <c r="G37" s="400"/>
    </row>
    <row r="38" spans="1:7" x14ac:dyDescent="0.3">
      <c r="A38" s="20">
        <v>37</v>
      </c>
      <c r="B38" s="31" t="s">
        <v>1679</v>
      </c>
      <c r="C38" s="37">
        <v>10981</v>
      </c>
      <c r="D38" s="26" t="s">
        <v>1680</v>
      </c>
      <c r="E38" s="399" t="s">
        <v>63</v>
      </c>
      <c r="F38" s="399"/>
      <c r="G38" s="400"/>
    </row>
    <row r="39" spans="1:7" x14ac:dyDescent="0.3">
      <c r="A39" s="20">
        <v>38</v>
      </c>
      <c r="B39" s="31" t="s">
        <v>47</v>
      </c>
      <c r="C39" s="37">
        <v>10983</v>
      </c>
      <c r="D39" s="26" t="s">
        <v>1681</v>
      </c>
      <c r="E39" s="392" t="s">
        <v>63</v>
      </c>
      <c r="F39" s="393"/>
      <c r="G39" s="394"/>
    </row>
    <row r="40" spans="1:7" x14ac:dyDescent="0.3">
      <c r="A40" s="20">
        <v>39</v>
      </c>
      <c r="B40" s="31" t="s">
        <v>1682</v>
      </c>
      <c r="C40" s="37">
        <v>10984</v>
      </c>
      <c r="D40" s="52" t="s">
        <v>1683</v>
      </c>
      <c r="E40" s="425" t="s">
        <v>520</v>
      </c>
      <c r="F40" s="425"/>
      <c r="G40" s="426"/>
    </row>
    <row r="41" spans="1:7" x14ac:dyDescent="0.3">
      <c r="A41" s="20">
        <v>40</v>
      </c>
      <c r="B41" s="31" t="s">
        <v>1684</v>
      </c>
      <c r="C41" s="37">
        <v>10986</v>
      </c>
      <c r="D41" s="52" t="s">
        <v>1685</v>
      </c>
      <c r="E41" s="425" t="s">
        <v>746</v>
      </c>
      <c r="F41" s="425"/>
      <c r="G41" s="426"/>
    </row>
    <row r="42" spans="1:7" x14ac:dyDescent="0.3">
      <c r="A42" s="20">
        <v>41</v>
      </c>
      <c r="B42" s="31" t="s">
        <v>1686</v>
      </c>
      <c r="C42" s="37">
        <v>10987</v>
      </c>
      <c r="D42" s="52" t="s">
        <v>1687</v>
      </c>
      <c r="E42" s="427" t="s">
        <v>63</v>
      </c>
      <c r="F42" s="428"/>
      <c r="G42" s="429"/>
    </row>
    <row r="43" spans="1:7" x14ac:dyDescent="0.3">
      <c r="A43" s="20">
        <v>42</v>
      </c>
      <c r="B43" s="31" t="s">
        <v>1688</v>
      </c>
      <c r="C43" s="37">
        <v>10988</v>
      </c>
      <c r="D43" s="26" t="s">
        <v>1689</v>
      </c>
      <c r="E43" s="399" t="s">
        <v>63</v>
      </c>
      <c r="F43" s="399"/>
      <c r="G43" s="400"/>
    </row>
    <row r="44" spans="1:7" x14ac:dyDescent="0.3">
      <c r="A44" s="20">
        <v>43</v>
      </c>
      <c r="B44" s="31" t="s">
        <v>1690</v>
      </c>
      <c r="C44" s="37">
        <v>10989</v>
      </c>
      <c r="D44" s="26" t="s">
        <v>1692</v>
      </c>
      <c r="E44" s="399" t="s">
        <v>746</v>
      </c>
      <c r="F44" s="399"/>
      <c r="G44" s="400"/>
    </row>
    <row r="45" spans="1:7" ht="17.25" thickBot="1" x14ac:dyDescent="0.35">
      <c r="A45" s="54">
        <v>44</v>
      </c>
      <c r="B45" s="55" t="s">
        <v>631</v>
      </c>
      <c r="C45" s="56">
        <v>10990</v>
      </c>
      <c r="D45" s="56" t="s">
        <v>1691</v>
      </c>
      <c r="E45" s="434" t="s">
        <v>746</v>
      </c>
      <c r="F45" s="434"/>
      <c r="G45" s="435"/>
    </row>
    <row r="46" spans="1:7" x14ac:dyDescent="0.3">
      <c r="B46" s="21"/>
      <c r="C46" s="21"/>
      <c r="D46" s="21"/>
      <c r="E46" s="398"/>
      <c r="F46" s="398"/>
      <c r="G46" s="398"/>
    </row>
    <row r="47" spans="1:7" x14ac:dyDescent="0.3">
      <c r="B47" s="21"/>
      <c r="C47" s="21"/>
      <c r="D47" s="21"/>
      <c r="E47" s="398"/>
      <c r="F47" s="398"/>
      <c r="G47" s="398"/>
    </row>
    <row r="48" spans="1:7" x14ac:dyDescent="0.3">
      <c r="B48" s="21"/>
      <c r="C48" s="21"/>
      <c r="D48" s="21"/>
      <c r="E48" s="398"/>
      <c r="F48" s="398"/>
      <c r="G48" s="398"/>
    </row>
    <row r="49" spans="2:7" x14ac:dyDescent="0.3">
      <c r="B49" s="21"/>
      <c r="C49" s="21"/>
      <c r="D49" s="21"/>
      <c r="E49" s="398"/>
      <c r="F49" s="398"/>
      <c r="G49" s="398"/>
    </row>
    <row r="50" spans="2:7" x14ac:dyDescent="0.3">
      <c r="B50" s="21"/>
      <c r="C50" s="21"/>
      <c r="D50" s="21"/>
      <c r="E50" s="398"/>
      <c r="F50" s="398"/>
      <c r="G50" s="398"/>
    </row>
    <row r="51" spans="2:7" x14ac:dyDescent="0.3">
      <c r="B51" s="21"/>
      <c r="C51" s="21"/>
      <c r="D51" s="21"/>
      <c r="E51" s="398"/>
      <c r="F51" s="398"/>
      <c r="G51" s="398"/>
    </row>
    <row r="52" spans="2:7" x14ac:dyDescent="0.3">
      <c r="B52" s="21"/>
      <c r="C52" s="21"/>
      <c r="D52" s="21"/>
      <c r="E52" s="398"/>
      <c r="F52" s="398"/>
      <c r="G52" s="398"/>
    </row>
    <row r="53" spans="2:7" x14ac:dyDescent="0.3">
      <c r="B53" s="21"/>
      <c r="C53" s="21"/>
      <c r="D53" s="21"/>
      <c r="E53" s="398"/>
      <c r="F53" s="398"/>
      <c r="G53" s="398"/>
    </row>
    <row r="54" spans="2:7" x14ac:dyDescent="0.3">
      <c r="B54" s="21"/>
      <c r="C54" s="21"/>
      <c r="D54" s="21"/>
      <c r="E54" s="398"/>
      <c r="F54" s="398"/>
      <c r="G54" s="398"/>
    </row>
    <row r="55" spans="2:7" x14ac:dyDescent="0.3">
      <c r="B55" s="21"/>
      <c r="C55" s="21"/>
      <c r="D55" s="21"/>
      <c r="E55" s="398"/>
      <c r="F55" s="398"/>
      <c r="G55" s="398"/>
    </row>
    <row r="56" spans="2:7" x14ac:dyDescent="0.3">
      <c r="B56" s="21"/>
      <c r="C56" s="21"/>
      <c r="D56" s="21"/>
      <c r="E56" s="398"/>
      <c r="F56" s="398"/>
      <c r="G56" s="398"/>
    </row>
    <row r="57" spans="2:7" x14ac:dyDescent="0.3">
      <c r="B57" s="21"/>
      <c r="C57" s="21"/>
      <c r="D57" s="21"/>
      <c r="E57" s="398"/>
      <c r="F57" s="398"/>
      <c r="G57" s="398"/>
    </row>
    <row r="58" spans="2:7" x14ac:dyDescent="0.3">
      <c r="B58" s="21"/>
      <c r="C58" s="21"/>
      <c r="D58" s="21"/>
      <c r="E58" s="398"/>
      <c r="F58" s="398"/>
      <c r="G58" s="398"/>
    </row>
    <row r="59" spans="2:7" x14ac:dyDescent="0.3">
      <c r="B59" s="21"/>
      <c r="C59" s="21"/>
      <c r="D59" s="21"/>
      <c r="E59" s="398"/>
      <c r="F59" s="398"/>
      <c r="G59" s="398"/>
    </row>
    <row r="60" spans="2:7" x14ac:dyDescent="0.3">
      <c r="B60" s="21"/>
      <c r="C60" s="21"/>
      <c r="D60" s="21"/>
      <c r="E60" s="398"/>
      <c r="F60" s="398"/>
      <c r="G60" s="398"/>
    </row>
    <row r="61" spans="2:7" x14ac:dyDescent="0.3">
      <c r="B61" s="21"/>
      <c r="C61" s="21"/>
      <c r="D61" s="21"/>
      <c r="E61" s="398"/>
      <c r="F61" s="398"/>
      <c r="G61" s="398"/>
    </row>
    <row r="62" spans="2:7" x14ac:dyDescent="0.3">
      <c r="B62" s="21"/>
      <c r="C62" s="21"/>
      <c r="D62" s="21"/>
      <c r="E62" s="398"/>
      <c r="F62" s="398"/>
      <c r="G62" s="398"/>
    </row>
    <row r="63" spans="2:7" x14ac:dyDescent="0.3">
      <c r="B63" s="21"/>
      <c r="C63" s="21"/>
      <c r="D63" s="21"/>
      <c r="E63" s="398"/>
      <c r="F63" s="398"/>
      <c r="G63" s="398"/>
    </row>
    <row r="64" spans="2:7" x14ac:dyDescent="0.3">
      <c r="B64" s="21"/>
      <c r="C64" s="21"/>
      <c r="D64" s="21"/>
      <c r="E64" s="398"/>
      <c r="F64" s="398"/>
      <c r="G64" s="398"/>
    </row>
    <row r="65" spans="2:7" x14ac:dyDescent="0.3">
      <c r="B65" s="21"/>
      <c r="C65" s="21"/>
      <c r="D65" s="21"/>
      <c r="E65" s="398"/>
      <c r="F65" s="398"/>
      <c r="G65" s="398"/>
    </row>
    <row r="66" spans="2:7" x14ac:dyDescent="0.3">
      <c r="B66" s="21"/>
      <c r="C66" s="21"/>
      <c r="D66" s="21"/>
      <c r="E66" s="398"/>
      <c r="F66" s="398"/>
      <c r="G66" s="398"/>
    </row>
    <row r="67" spans="2:7" x14ac:dyDescent="0.3">
      <c r="B67" s="21"/>
      <c r="C67" s="21"/>
      <c r="D67" s="21"/>
      <c r="E67" s="398"/>
      <c r="F67" s="398"/>
      <c r="G67" s="398"/>
    </row>
    <row r="68" spans="2:7" x14ac:dyDescent="0.3">
      <c r="B68" s="21"/>
      <c r="C68" s="21"/>
      <c r="D68" s="21"/>
      <c r="E68" s="398"/>
      <c r="F68" s="398"/>
      <c r="G68" s="398"/>
    </row>
    <row r="69" spans="2:7" x14ac:dyDescent="0.3">
      <c r="B69" s="21"/>
      <c r="C69" s="21"/>
      <c r="D69" s="21"/>
      <c r="E69" s="398"/>
      <c r="F69" s="398"/>
      <c r="G69" s="398"/>
    </row>
    <row r="70" spans="2:7" x14ac:dyDescent="0.3">
      <c r="B70" s="21"/>
      <c r="C70" s="21"/>
      <c r="D70" s="21"/>
      <c r="E70" s="398"/>
      <c r="F70" s="398"/>
      <c r="G70" s="398"/>
    </row>
    <row r="71" spans="2:7" x14ac:dyDescent="0.3">
      <c r="B71" s="21"/>
      <c r="C71" s="21"/>
      <c r="D71" s="21"/>
      <c r="E71" s="398"/>
      <c r="F71" s="398"/>
      <c r="G71" s="398"/>
    </row>
    <row r="72" spans="2:7" x14ac:dyDescent="0.3">
      <c r="B72" s="21"/>
      <c r="C72" s="21"/>
      <c r="D72" s="21"/>
      <c r="E72" s="398"/>
      <c r="F72" s="398"/>
      <c r="G72" s="398"/>
    </row>
    <row r="73" spans="2:7" x14ac:dyDescent="0.3">
      <c r="B73" s="21"/>
      <c r="C73" s="21"/>
      <c r="D73" s="58"/>
      <c r="E73" s="433"/>
      <c r="F73" s="433"/>
      <c r="G73" s="433"/>
    </row>
    <row r="74" spans="2:7" x14ac:dyDescent="0.3">
      <c r="B74" s="21"/>
      <c r="C74" s="21"/>
      <c r="D74" s="58"/>
      <c r="E74" s="433"/>
      <c r="F74" s="433"/>
      <c r="G74" s="433"/>
    </row>
    <row r="75" spans="2:7" x14ac:dyDescent="0.3">
      <c r="B75" s="21"/>
      <c r="C75" s="21"/>
      <c r="D75" s="21"/>
      <c r="E75" s="398"/>
      <c r="F75" s="398"/>
      <c r="G75" s="398"/>
    </row>
    <row r="76" spans="2:7" x14ac:dyDescent="0.3">
      <c r="B76" s="21"/>
      <c r="C76" s="21"/>
      <c r="D76" s="21"/>
      <c r="E76" s="398"/>
      <c r="F76" s="398"/>
      <c r="G76" s="398"/>
    </row>
    <row r="77" spans="2:7" x14ac:dyDescent="0.3">
      <c r="B77" s="21"/>
      <c r="C77" s="21"/>
      <c r="D77" s="21"/>
      <c r="E77" s="398"/>
      <c r="F77" s="398"/>
      <c r="G77" s="398"/>
    </row>
    <row r="78" spans="2:7" x14ac:dyDescent="0.3">
      <c r="B78" s="21"/>
      <c r="C78" s="21"/>
      <c r="D78" s="21"/>
      <c r="E78" s="398"/>
      <c r="F78" s="398"/>
      <c r="G78" s="398"/>
    </row>
    <row r="79" spans="2:7" x14ac:dyDescent="0.3">
      <c r="B79" s="21"/>
      <c r="C79" s="21"/>
      <c r="D79" s="21"/>
      <c r="E79" s="398"/>
      <c r="F79" s="398"/>
      <c r="G79" s="398"/>
    </row>
    <row r="80" spans="2:7" x14ac:dyDescent="0.3">
      <c r="B80" s="21"/>
      <c r="C80" s="21"/>
      <c r="D80" s="21"/>
      <c r="E80" s="398"/>
      <c r="F80" s="398"/>
      <c r="G80" s="398"/>
    </row>
    <row r="81" spans="2:7" x14ac:dyDescent="0.3">
      <c r="B81" s="21"/>
      <c r="C81" s="21"/>
      <c r="D81" s="21"/>
      <c r="E81" s="398"/>
      <c r="F81" s="398"/>
      <c r="G81" s="398"/>
    </row>
    <row r="82" spans="2:7" x14ac:dyDescent="0.3">
      <c r="B82" s="21"/>
      <c r="C82" s="21"/>
      <c r="D82" s="21"/>
      <c r="E82" s="398"/>
      <c r="F82" s="398"/>
      <c r="G82" s="398"/>
    </row>
    <row r="83" spans="2:7" x14ac:dyDescent="0.3">
      <c r="B83" s="21"/>
      <c r="C83" s="21"/>
      <c r="D83" s="21"/>
      <c r="E83" s="398"/>
      <c r="F83" s="398"/>
      <c r="G83" s="398"/>
    </row>
    <row r="84" spans="2:7" x14ac:dyDescent="0.3">
      <c r="B84" s="21"/>
      <c r="C84" s="21"/>
      <c r="D84" s="21"/>
      <c r="E84" s="398"/>
      <c r="F84" s="398"/>
      <c r="G84" s="398"/>
    </row>
    <row r="85" spans="2:7" x14ac:dyDescent="0.3">
      <c r="B85" s="21"/>
      <c r="C85" s="21"/>
      <c r="D85" s="21"/>
      <c r="E85" s="398"/>
      <c r="F85" s="398"/>
      <c r="G85" s="398"/>
    </row>
    <row r="86" spans="2:7" x14ac:dyDescent="0.3">
      <c r="B86" s="21"/>
      <c r="C86" s="21"/>
      <c r="D86" s="21"/>
      <c r="E86" s="398"/>
      <c r="F86" s="398"/>
      <c r="G86" s="398"/>
    </row>
    <row r="87" spans="2:7" x14ac:dyDescent="0.3">
      <c r="B87" s="21"/>
      <c r="C87" s="21"/>
      <c r="D87" s="21"/>
      <c r="E87" s="398"/>
      <c r="F87" s="398"/>
      <c r="G87" s="398"/>
    </row>
    <row r="88" spans="2:7" x14ac:dyDescent="0.3">
      <c r="B88" s="21"/>
      <c r="C88" s="21"/>
      <c r="D88" s="21"/>
      <c r="E88" s="398"/>
      <c r="F88" s="398"/>
      <c r="G88" s="398"/>
    </row>
    <row r="89" spans="2:7" x14ac:dyDescent="0.3">
      <c r="B89" s="21"/>
      <c r="C89" s="21"/>
      <c r="D89" s="21"/>
      <c r="E89" s="398"/>
      <c r="F89" s="398"/>
      <c r="G89" s="398"/>
    </row>
    <row r="90" spans="2:7" x14ac:dyDescent="0.3">
      <c r="B90" s="21"/>
      <c r="C90" s="21"/>
      <c r="D90" s="21"/>
      <c r="E90" s="398"/>
      <c r="F90" s="398"/>
      <c r="G90" s="398"/>
    </row>
    <row r="91" spans="2:7" x14ac:dyDescent="0.3">
      <c r="B91" s="21"/>
      <c r="C91" s="21"/>
      <c r="D91" s="21"/>
      <c r="E91" s="398"/>
      <c r="F91" s="398"/>
      <c r="G91" s="398"/>
    </row>
    <row r="92" spans="2:7" x14ac:dyDescent="0.3">
      <c r="B92" s="21"/>
      <c r="C92" s="21"/>
      <c r="D92" s="21"/>
      <c r="E92" s="398"/>
      <c r="F92" s="398"/>
      <c r="G92" s="398"/>
    </row>
    <row r="93" spans="2:7" x14ac:dyDescent="0.3">
      <c r="B93" s="21"/>
      <c r="C93" s="21"/>
      <c r="D93" s="21"/>
      <c r="E93" s="398"/>
      <c r="F93" s="398"/>
      <c r="G93" s="398"/>
    </row>
    <row r="94" spans="2:7" x14ac:dyDescent="0.3">
      <c r="B94" s="21"/>
      <c r="C94" s="21"/>
      <c r="D94" s="21"/>
      <c r="E94" s="398"/>
      <c r="F94" s="398"/>
      <c r="G94" s="398"/>
    </row>
    <row r="95" spans="2:7" x14ac:dyDescent="0.3">
      <c r="B95" s="21"/>
      <c r="C95" s="21"/>
      <c r="D95" s="21"/>
      <c r="E95" s="398"/>
      <c r="F95" s="398"/>
      <c r="G95" s="398"/>
    </row>
    <row r="96" spans="2:7" x14ac:dyDescent="0.3">
      <c r="B96" s="21"/>
      <c r="C96" s="21"/>
      <c r="D96" s="21"/>
      <c r="E96" s="398"/>
      <c r="F96" s="398"/>
      <c r="G96" s="398"/>
    </row>
    <row r="97" spans="2:7" x14ac:dyDescent="0.3">
      <c r="B97" s="21"/>
      <c r="C97" s="21"/>
      <c r="D97" s="21"/>
      <c r="E97" s="398"/>
      <c r="F97" s="398"/>
      <c r="G97" s="398"/>
    </row>
    <row r="98" spans="2:7" x14ac:dyDescent="0.3">
      <c r="B98" s="21"/>
      <c r="C98" s="21"/>
      <c r="D98" s="21"/>
      <c r="E98" s="398"/>
      <c r="F98" s="398"/>
      <c r="G98" s="398"/>
    </row>
    <row r="99" spans="2:7" x14ac:dyDescent="0.3">
      <c r="B99" s="21"/>
      <c r="C99" s="21"/>
      <c r="D99" s="21"/>
      <c r="E99" s="398"/>
      <c r="F99" s="398"/>
      <c r="G99" s="398"/>
    </row>
    <row r="100" spans="2:7" x14ac:dyDescent="0.3">
      <c r="B100" s="21"/>
      <c r="C100" s="21"/>
      <c r="D100" s="21"/>
      <c r="E100" s="398"/>
      <c r="F100" s="398"/>
      <c r="G100" s="398"/>
    </row>
    <row r="101" spans="2:7" x14ac:dyDescent="0.3">
      <c r="B101" s="21"/>
      <c r="C101" s="21"/>
      <c r="D101" s="21"/>
      <c r="E101" s="398"/>
      <c r="F101" s="398"/>
      <c r="G101" s="398"/>
    </row>
    <row r="102" spans="2:7" x14ac:dyDescent="0.3">
      <c r="B102" s="21"/>
      <c r="C102" s="21"/>
      <c r="D102" s="21"/>
      <c r="E102" s="398"/>
      <c r="F102" s="398"/>
      <c r="G102" s="398"/>
    </row>
    <row r="103" spans="2:7" x14ac:dyDescent="0.3">
      <c r="B103" s="21"/>
      <c r="C103" s="21"/>
      <c r="D103" s="21"/>
      <c r="E103" s="398"/>
      <c r="F103" s="398"/>
      <c r="G103" s="398"/>
    </row>
    <row r="104" spans="2:7" x14ac:dyDescent="0.3">
      <c r="B104" s="21"/>
      <c r="C104" s="21"/>
      <c r="D104" s="21"/>
      <c r="E104" s="398"/>
      <c r="F104" s="398"/>
      <c r="G104" s="398"/>
    </row>
    <row r="105" spans="2:7" x14ac:dyDescent="0.3">
      <c r="B105" s="21"/>
      <c r="C105" s="21"/>
      <c r="D105" s="21"/>
      <c r="E105" s="398"/>
      <c r="F105" s="398"/>
      <c r="G105" s="398"/>
    </row>
    <row r="106" spans="2:7" x14ac:dyDescent="0.3">
      <c r="B106" s="21"/>
      <c r="C106" s="21"/>
      <c r="D106" s="21"/>
      <c r="E106" s="398"/>
      <c r="F106" s="398"/>
      <c r="G106" s="398"/>
    </row>
    <row r="107" spans="2:7" x14ac:dyDescent="0.3">
      <c r="B107" s="21"/>
      <c r="C107" s="21"/>
      <c r="D107" s="21"/>
      <c r="E107" s="398"/>
      <c r="F107" s="398"/>
      <c r="G107" s="398"/>
    </row>
    <row r="108" spans="2:7" x14ac:dyDescent="0.3">
      <c r="B108" s="21"/>
      <c r="C108" s="21"/>
      <c r="D108" s="21"/>
      <c r="E108" s="398"/>
      <c r="F108" s="398"/>
      <c r="G108" s="398"/>
    </row>
    <row r="109" spans="2:7" x14ac:dyDescent="0.3">
      <c r="B109" s="21"/>
      <c r="C109" s="21"/>
      <c r="D109" s="21"/>
      <c r="E109" s="398"/>
      <c r="F109" s="398"/>
      <c r="G109" s="398"/>
    </row>
    <row r="110" spans="2:7" x14ac:dyDescent="0.3">
      <c r="B110" s="21"/>
      <c r="C110" s="21"/>
      <c r="D110" s="21"/>
      <c r="E110" s="398"/>
      <c r="F110" s="398"/>
      <c r="G110" s="398"/>
    </row>
    <row r="111" spans="2:7" x14ac:dyDescent="0.3">
      <c r="B111" s="21"/>
      <c r="C111" s="21"/>
      <c r="D111" s="21"/>
      <c r="E111" s="398"/>
      <c r="F111" s="398"/>
      <c r="G111" s="398"/>
    </row>
    <row r="112" spans="2:7" x14ac:dyDescent="0.3">
      <c r="B112" s="21"/>
      <c r="C112" s="21"/>
      <c r="D112" s="21"/>
      <c r="E112" s="398"/>
      <c r="F112" s="398"/>
      <c r="G112" s="398"/>
    </row>
    <row r="113" spans="2:7" x14ac:dyDescent="0.3">
      <c r="B113" s="21"/>
      <c r="C113" s="21"/>
      <c r="D113" s="21"/>
      <c r="E113" s="398"/>
      <c r="F113" s="398"/>
      <c r="G113" s="398"/>
    </row>
    <row r="114" spans="2:7" x14ac:dyDescent="0.3">
      <c r="B114" s="21"/>
      <c r="C114" s="21"/>
      <c r="D114" s="21"/>
      <c r="E114" s="398"/>
      <c r="F114" s="398"/>
      <c r="G114" s="398"/>
    </row>
    <row r="115" spans="2:7" x14ac:dyDescent="0.3">
      <c r="B115" s="21"/>
      <c r="C115" s="21"/>
      <c r="D115" s="21"/>
      <c r="E115" s="398"/>
      <c r="F115" s="398"/>
      <c r="G115" s="398"/>
    </row>
    <row r="116" spans="2:7" x14ac:dyDescent="0.3">
      <c r="B116" s="21"/>
      <c r="C116" s="21"/>
      <c r="D116" s="21"/>
      <c r="E116" s="398"/>
      <c r="F116" s="398"/>
      <c r="G116" s="398"/>
    </row>
  </sheetData>
  <mergeCells count="116">
    <mergeCell ref="E1:G1"/>
    <mergeCell ref="E2:G2"/>
    <mergeCell ref="E3:G3"/>
    <mergeCell ref="E4:G4"/>
    <mergeCell ref="E5:G5"/>
    <mergeCell ref="E6:G6"/>
    <mergeCell ref="E13:G13"/>
    <mergeCell ref="E14:G14"/>
    <mergeCell ref="E15:G15"/>
    <mergeCell ref="E16:G16"/>
    <mergeCell ref="E17:G17"/>
    <mergeCell ref="E18:G18"/>
    <mergeCell ref="E7:G7"/>
    <mergeCell ref="E8:G8"/>
    <mergeCell ref="E9:G9"/>
    <mergeCell ref="E10:G10"/>
    <mergeCell ref="E11:G11"/>
    <mergeCell ref="E12:G12"/>
    <mergeCell ref="E25:G25"/>
    <mergeCell ref="E26:G26"/>
    <mergeCell ref="E27:G27"/>
    <mergeCell ref="E28:G28"/>
    <mergeCell ref="E29:G29"/>
    <mergeCell ref="E30:G30"/>
    <mergeCell ref="E19:G19"/>
    <mergeCell ref="E20:G20"/>
    <mergeCell ref="E21:G21"/>
    <mergeCell ref="E22:G22"/>
    <mergeCell ref="E23:G23"/>
    <mergeCell ref="E24:G24"/>
    <mergeCell ref="E37:G37"/>
    <mergeCell ref="E38:G38"/>
    <mergeCell ref="E39:G39"/>
    <mergeCell ref="E40:G40"/>
    <mergeCell ref="E41:G41"/>
    <mergeCell ref="E42:G42"/>
    <mergeCell ref="E31:G31"/>
    <mergeCell ref="E32:G32"/>
    <mergeCell ref="E33:G33"/>
    <mergeCell ref="E34:G34"/>
    <mergeCell ref="E35:G35"/>
    <mergeCell ref="E36:G36"/>
    <mergeCell ref="E49:G49"/>
    <mergeCell ref="E50:G50"/>
    <mergeCell ref="E51:G51"/>
    <mergeCell ref="E52:G52"/>
    <mergeCell ref="E53:G53"/>
    <mergeCell ref="E54:G54"/>
    <mergeCell ref="E43:G43"/>
    <mergeCell ref="E44:G44"/>
    <mergeCell ref="E45:G45"/>
    <mergeCell ref="E46:G46"/>
    <mergeCell ref="E47:G47"/>
    <mergeCell ref="E48:G48"/>
    <mergeCell ref="E61:G61"/>
    <mergeCell ref="E62:G62"/>
    <mergeCell ref="E63:G63"/>
    <mergeCell ref="E64:G64"/>
    <mergeCell ref="E65:G65"/>
    <mergeCell ref="E66:G66"/>
    <mergeCell ref="E55:G55"/>
    <mergeCell ref="E56:G56"/>
    <mergeCell ref="E57:G57"/>
    <mergeCell ref="E58:G58"/>
    <mergeCell ref="E59:G59"/>
    <mergeCell ref="E60:G60"/>
    <mergeCell ref="E73:G73"/>
    <mergeCell ref="E74:G74"/>
    <mergeCell ref="E75:G75"/>
    <mergeCell ref="E76:G76"/>
    <mergeCell ref="E77:G77"/>
    <mergeCell ref="E78:G78"/>
    <mergeCell ref="E67:G67"/>
    <mergeCell ref="E68:G68"/>
    <mergeCell ref="E69:G69"/>
    <mergeCell ref="E70:G70"/>
    <mergeCell ref="E71:G71"/>
    <mergeCell ref="E72:G72"/>
    <mergeCell ref="E85:G85"/>
    <mergeCell ref="E86:G86"/>
    <mergeCell ref="E87:G87"/>
    <mergeCell ref="E88:G88"/>
    <mergeCell ref="E89:G89"/>
    <mergeCell ref="E90:G90"/>
    <mergeCell ref="E79:G79"/>
    <mergeCell ref="E80:G80"/>
    <mergeCell ref="E81:G81"/>
    <mergeCell ref="E82:G82"/>
    <mergeCell ref="E83:G83"/>
    <mergeCell ref="E84:G84"/>
    <mergeCell ref="E97:G97"/>
    <mergeCell ref="E98:G98"/>
    <mergeCell ref="E99:G99"/>
    <mergeCell ref="E100:G100"/>
    <mergeCell ref="E101:G101"/>
    <mergeCell ref="E102:G102"/>
    <mergeCell ref="E91:G91"/>
    <mergeCell ref="E92:G92"/>
    <mergeCell ref="E93:G93"/>
    <mergeCell ref="E94:G94"/>
    <mergeCell ref="E95:G95"/>
    <mergeCell ref="E96:G96"/>
    <mergeCell ref="E115:G115"/>
    <mergeCell ref="E116:G116"/>
    <mergeCell ref="E109:G109"/>
    <mergeCell ref="E110:G110"/>
    <mergeCell ref="E111:G111"/>
    <mergeCell ref="E112:G112"/>
    <mergeCell ref="E113:G113"/>
    <mergeCell ref="E114:G114"/>
    <mergeCell ref="E103:G103"/>
    <mergeCell ref="E104:G104"/>
    <mergeCell ref="E105:G105"/>
    <mergeCell ref="E106:G106"/>
    <mergeCell ref="E107:G107"/>
    <mergeCell ref="E108:G108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6"/>
  <sheetViews>
    <sheetView topLeftCell="C1" workbookViewId="0">
      <selection activeCell="N30" sqref="N30"/>
    </sheetView>
  </sheetViews>
  <sheetFormatPr defaultRowHeight="16.5" x14ac:dyDescent="0.3"/>
  <cols>
    <col min="2" max="2" width="15.25" bestFit="1" customWidth="1"/>
    <col min="4" max="4" width="11" bestFit="1" customWidth="1"/>
    <col min="7" max="7" width="9.75" customWidth="1"/>
  </cols>
  <sheetData>
    <row r="1" spans="1:7" ht="17.25" thickBot="1" x14ac:dyDescent="0.35">
      <c r="A1" s="47"/>
      <c r="B1" s="45" t="s">
        <v>911</v>
      </c>
      <c r="C1" s="44" t="s">
        <v>1</v>
      </c>
      <c r="D1" s="44" t="s">
        <v>588</v>
      </c>
      <c r="E1" s="420" t="s">
        <v>3</v>
      </c>
      <c r="F1" s="420"/>
      <c r="G1" s="421"/>
    </row>
    <row r="2" spans="1:7" x14ac:dyDescent="0.3">
      <c r="A2" s="46">
        <v>1</v>
      </c>
      <c r="B2" s="39" t="s">
        <v>1694</v>
      </c>
      <c r="C2" s="37">
        <v>11208</v>
      </c>
      <c r="D2" s="37" t="s">
        <v>1695</v>
      </c>
      <c r="E2" s="410" t="s">
        <v>1693</v>
      </c>
      <c r="F2" s="410"/>
      <c r="G2" s="411"/>
    </row>
    <row r="3" spans="1:7" x14ac:dyDescent="0.3">
      <c r="A3" s="20">
        <v>2</v>
      </c>
      <c r="B3" s="31" t="s">
        <v>1697</v>
      </c>
      <c r="C3" s="37">
        <v>11209</v>
      </c>
      <c r="D3" s="26" t="s">
        <v>1698</v>
      </c>
      <c r="E3" s="399" t="s">
        <v>1693</v>
      </c>
      <c r="F3" s="399"/>
      <c r="G3" s="400"/>
    </row>
    <row r="4" spans="1:7" x14ac:dyDescent="0.3">
      <c r="A4" s="20">
        <v>3</v>
      </c>
      <c r="B4" s="31" t="s">
        <v>1696</v>
      </c>
      <c r="C4" s="37">
        <v>11210</v>
      </c>
      <c r="D4" s="26" t="s">
        <v>1699</v>
      </c>
      <c r="E4" s="399" t="s">
        <v>1693</v>
      </c>
      <c r="F4" s="399"/>
      <c r="G4" s="400"/>
    </row>
    <row r="5" spans="1:7" x14ac:dyDescent="0.3">
      <c r="A5" s="20">
        <v>4</v>
      </c>
      <c r="B5" s="31" t="s">
        <v>1700</v>
      </c>
      <c r="C5" s="37">
        <v>11211</v>
      </c>
      <c r="D5" s="26" t="s">
        <v>1701</v>
      </c>
      <c r="E5" s="399" t="s">
        <v>1702</v>
      </c>
      <c r="F5" s="399"/>
      <c r="G5" s="400"/>
    </row>
    <row r="6" spans="1:7" x14ac:dyDescent="0.3">
      <c r="A6" s="20">
        <v>5</v>
      </c>
      <c r="B6" s="31" t="s">
        <v>1703</v>
      </c>
      <c r="C6" s="37">
        <v>11211</v>
      </c>
      <c r="D6" s="26" t="s">
        <v>1704</v>
      </c>
      <c r="E6" s="399"/>
      <c r="F6" s="399"/>
      <c r="G6" s="400"/>
    </row>
    <row r="7" spans="1:7" x14ac:dyDescent="0.3">
      <c r="A7" s="20">
        <v>6</v>
      </c>
      <c r="B7" s="31" t="s">
        <v>1705</v>
      </c>
      <c r="C7" s="37">
        <v>11213</v>
      </c>
      <c r="D7" s="26" t="s">
        <v>1708</v>
      </c>
      <c r="E7" s="399" t="s">
        <v>1706</v>
      </c>
      <c r="F7" s="399"/>
      <c r="G7" s="400"/>
    </row>
    <row r="8" spans="1:7" x14ac:dyDescent="0.3">
      <c r="A8" s="20">
        <v>7</v>
      </c>
      <c r="B8" s="31" t="s">
        <v>1707</v>
      </c>
      <c r="C8" s="37">
        <v>11214</v>
      </c>
      <c r="D8" s="26" t="s">
        <v>1709</v>
      </c>
      <c r="E8" s="399" t="s">
        <v>1706</v>
      </c>
      <c r="F8" s="399"/>
      <c r="G8" s="400"/>
    </row>
    <row r="9" spans="1:7" x14ac:dyDescent="0.3">
      <c r="A9" s="20">
        <v>8</v>
      </c>
      <c r="B9" s="31" t="s">
        <v>1710</v>
      </c>
      <c r="C9" s="37">
        <v>11215</v>
      </c>
      <c r="D9" s="26" t="s">
        <v>1711</v>
      </c>
      <c r="E9" s="399" t="s">
        <v>1693</v>
      </c>
      <c r="F9" s="399"/>
      <c r="G9" s="400"/>
    </row>
    <row r="10" spans="1:7" x14ac:dyDescent="0.3">
      <c r="A10" s="20">
        <v>9</v>
      </c>
      <c r="B10" s="31" t="s">
        <v>1712</v>
      </c>
      <c r="C10" s="37">
        <v>11216</v>
      </c>
      <c r="D10" s="26" t="s">
        <v>1713</v>
      </c>
      <c r="E10" s="399"/>
      <c r="F10" s="399"/>
      <c r="G10" s="400"/>
    </row>
    <row r="11" spans="1:7" x14ac:dyDescent="0.3">
      <c r="A11" s="20">
        <v>10</v>
      </c>
      <c r="B11" s="31" t="s">
        <v>1714</v>
      </c>
      <c r="C11" s="37">
        <v>11217</v>
      </c>
      <c r="D11" s="26" t="s">
        <v>1715</v>
      </c>
      <c r="E11" s="399" t="s">
        <v>1693</v>
      </c>
      <c r="F11" s="399"/>
      <c r="G11" s="400"/>
    </row>
    <row r="12" spans="1:7" x14ac:dyDescent="0.3">
      <c r="A12" s="20">
        <v>11</v>
      </c>
      <c r="B12" s="31" t="s">
        <v>1716</v>
      </c>
      <c r="C12" s="37">
        <v>11218</v>
      </c>
      <c r="D12" s="26" t="s">
        <v>1717</v>
      </c>
      <c r="E12" s="399" t="s">
        <v>1718</v>
      </c>
      <c r="F12" s="399"/>
      <c r="G12" s="400"/>
    </row>
    <row r="13" spans="1:7" x14ac:dyDescent="0.3">
      <c r="A13" s="20">
        <v>12</v>
      </c>
      <c r="B13" s="31" t="s">
        <v>1719</v>
      </c>
      <c r="C13" s="37">
        <v>11219</v>
      </c>
      <c r="D13" s="26" t="s">
        <v>1720</v>
      </c>
      <c r="E13" s="399"/>
      <c r="F13" s="399"/>
      <c r="G13" s="400"/>
    </row>
    <row r="14" spans="1:7" x14ac:dyDescent="0.3">
      <c r="A14" s="20">
        <v>13</v>
      </c>
      <c r="B14" s="31" t="s">
        <v>1721</v>
      </c>
      <c r="C14" s="37">
        <v>11220</v>
      </c>
      <c r="D14" s="26" t="s">
        <v>1722</v>
      </c>
      <c r="E14" s="399" t="s">
        <v>1693</v>
      </c>
      <c r="F14" s="399"/>
      <c r="G14" s="400"/>
    </row>
    <row r="15" spans="1:7" x14ac:dyDescent="0.3">
      <c r="A15" s="20">
        <v>14</v>
      </c>
      <c r="B15" s="31" t="s">
        <v>1723</v>
      </c>
      <c r="C15" s="37">
        <v>11221</v>
      </c>
      <c r="D15" s="26" t="s">
        <v>1724</v>
      </c>
      <c r="E15" s="399" t="s">
        <v>1718</v>
      </c>
      <c r="F15" s="399"/>
      <c r="G15" s="400"/>
    </row>
    <row r="16" spans="1:7" x14ac:dyDescent="0.3">
      <c r="A16" s="20">
        <v>15</v>
      </c>
      <c r="B16" s="31" t="s">
        <v>1725</v>
      </c>
      <c r="C16" s="37">
        <v>11222</v>
      </c>
      <c r="D16" s="26" t="s">
        <v>1726</v>
      </c>
      <c r="E16" s="399" t="s">
        <v>1727</v>
      </c>
      <c r="F16" s="399"/>
      <c r="G16" s="400"/>
    </row>
    <row r="17" spans="1:7" x14ac:dyDescent="0.3">
      <c r="A17" s="20">
        <v>16</v>
      </c>
      <c r="B17" s="31" t="s">
        <v>1728</v>
      </c>
      <c r="C17" s="37">
        <v>11223</v>
      </c>
      <c r="D17" s="26" t="s">
        <v>1729</v>
      </c>
      <c r="E17" s="399" t="s">
        <v>1693</v>
      </c>
      <c r="F17" s="399"/>
      <c r="G17" s="400"/>
    </row>
    <row r="18" spans="1:7" x14ac:dyDescent="0.3">
      <c r="A18" s="20">
        <v>17</v>
      </c>
      <c r="B18" s="31" t="s">
        <v>1730</v>
      </c>
      <c r="C18" s="37">
        <v>11224</v>
      </c>
      <c r="D18" s="26" t="s">
        <v>1731</v>
      </c>
      <c r="E18" s="399"/>
      <c r="F18" s="399"/>
      <c r="G18" s="400"/>
    </row>
    <row r="19" spans="1:7" x14ac:dyDescent="0.3">
      <c r="A19" s="20">
        <v>18</v>
      </c>
      <c r="B19" s="31" t="s">
        <v>1732</v>
      </c>
      <c r="C19" s="37">
        <v>11225</v>
      </c>
      <c r="D19" s="26" t="s">
        <v>1733</v>
      </c>
      <c r="E19" s="399" t="s">
        <v>1693</v>
      </c>
      <c r="F19" s="399"/>
      <c r="G19" s="400"/>
    </row>
    <row r="20" spans="1:7" x14ac:dyDescent="0.3">
      <c r="A20" s="20">
        <v>19</v>
      </c>
      <c r="B20" s="31" t="s">
        <v>1734</v>
      </c>
      <c r="C20" s="37">
        <v>11226</v>
      </c>
      <c r="D20" s="26" t="s">
        <v>1735</v>
      </c>
      <c r="E20" s="399" t="s">
        <v>1736</v>
      </c>
      <c r="F20" s="399"/>
      <c r="G20" s="400"/>
    </row>
    <row r="21" spans="1:7" x14ac:dyDescent="0.3">
      <c r="A21" s="20">
        <v>20</v>
      </c>
      <c r="B21" s="31" t="s">
        <v>1737</v>
      </c>
      <c r="C21" s="37">
        <v>11227</v>
      </c>
      <c r="D21" s="26" t="s">
        <v>1738</v>
      </c>
      <c r="E21" s="399" t="s">
        <v>1693</v>
      </c>
      <c r="F21" s="399"/>
      <c r="G21" s="400"/>
    </row>
    <row r="22" spans="1:7" x14ac:dyDescent="0.3">
      <c r="A22" s="20">
        <v>21</v>
      </c>
      <c r="B22" s="31" t="s">
        <v>1739</v>
      </c>
      <c r="C22" s="37">
        <v>11228</v>
      </c>
      <c r="D22" s="26" t="s">
        <v>1740</v>
      </c>
      <c r="E22" s="399" t="s">
        <v>1693</v>
      </c>
      <c r="F22" s="399"/>
      <c r="G22" s="400"/>
    </row>
    <row r="23" spans="1:7" x14ac:dyDescent="0.3">
      <c r="A23" s="20">
        <v>22</v>
      </c>
      <c r="B23" s="31" t="s">
        <v>1741</v>
      </c>
      <c r="C23" s="37">
        <v>11229</v>
      </c>
      <c r="D23" s="26" t="s">
        <v>1742</v>
      </c>
      <c r="E23" s="399" t="s">
        <v>1693</v>
      </c>
      <c r="F23" s="399"/>
      <c r="G23" s="400"/>
    </row>
    <row r="24" spans="1:7" x14ac:dyDescent="0.3">
      <c r="A24" s="20">
        <v>23</v>
      </c>
      <c r="B24" s="31" t="s">
        <v>1743</v>
      </c>
      <c r="C24" s="37">
        <v>11230</v>
      </c>
      <c r="D24" s="26" t="s">
        <v>1744</v>
      </c>
      <c r="E24" s="399" t="s">
        <v>1706</v>
      </c>
      <c r="F24" s="399"/>
      <c r="G24" s="400"/>
    </row>
    <row r="25" spans="1:7" x14ac:dyDescent="0.3">
      <c r="A25" s="20">
        <v>24</v>
      </c>
      <c r="B25" s="31" t="s">
        <v>1745</v>
      </c>
      <c r="C25" s="37">
        <v>11231</v>
      </c>
      <c r="D25" s="26" t="s">
        <v>1746</v>
      </c>
      <c r="E25" s="399"/>
      <c r="F25" s="399"/>
      <c r="G25" s="400"/>
    </row>
    <row r="26" spans="1:7" x14ac:dyDescent="0.3">
      <c r="A26" s="20">
        <v>25</v>
      </c>
      <c r="B26" s="31" t="s">
        <v>1747</v>
      </c>
      <c r="C26" s="37">
        <v>11232</v>
      </c>
      <c r="D26" s="26" t="s">
        <v>1748</v>
      </c>
      <c r="E26" s="399" t="s">
        <v>1693</v>
      </c>
      <c r="F26" s="399"/>
      <c r="G26" s="400"/>
    </row>
    <row r="27" spans="1:7" x14ac:dyDescent="0.3">
      <c r="A27" s="20">
        <v>26</v>
      </c>
      <c r="B27" s="31" t="s">
        <v>1749</v>
      </c>
      <c r="C27" s="37">
        <v>11233</v>
      </c>
      <c r="D27" s="26" t="s">
        <v>1750</v>
      </c>
      <c r="E27" s="399" t="s">
        <v>1693</v>
      </c>
      <c r="F27" s="399"/>
      <c r="G27" s="400"/>
    </row>
    <row r="28" spans="1:7" x14ac:dyDescent="0.3">
      <c r="A28" s="20">
        <v>27</v>
      </c>
      <c r="B28" s="31" t="s">
        <v>1751</v>
      </c>
      <c r="C28" s="37">
        <v>11234</v>
      </c>
      <c r="D28" s="26" t="s">
        <v>1752</v>
      </c>
      <c r="E28" s="399" t="s">
        <v>1693</v>
      </c>
      <c r="F28" s="399"/>
      <c r="G28" s="400"/>
    </row>
    <row r="29" spans="1:7" x14ac:dyDescent="0.3">
      <c r="A29" s="20">
        <v>28</v>
      </c>
      <c r="B29" s="31" t="s">
        <v>1753</v>
      </c>
      <c r="C29" s="37">
        <v>11235</v>
      </c>
      <c r="D29" s="26" t="s">
        <v>1754</v>
      </c>
      <c r="E29" s="399" t="s">
        <v>1718</v>
      </c>
      <c r="F29" s="399"/>
      <c r="G29" s="400"/>
    </row>
    <row r="30" spans="1:7" x14ac:dyDescent="0.3">
      <c r="A30" s="20">
        <v>29</v>
      </c>
      <c r="B30" s="31" t="s">
        <v>1755</v>
      </c>
      <c r="C30" s="37">
        <v>11236</v>
      </c>
      <c r="D30" s="26" t="s">
        <v>1756</v>
      </c>
      <c r="E30" s="399" t="s">
        <v>1693</v>
      </c>
      <c r="F30" s="399"/>
      <c r="G30" s="400"/>
    </row>
    <row r="31" spans="1:7" x14ac:dyDescent="0.3">
      <c r="A31" s="20">
        <v>30</v>
      </c>
      <c r="B31" s="31" t="s">
        <v>1757</v>
      </c>
      <c r="C31" s="37">
        <v>11237</v>
      </c>
      <c r="D31" s="26" t="s">
        <v>1758</v>
      </c>
      <c r="E31" s="399" t="s">
        <v>1693</v>
      </c>
      <c r="F31" s="399"/>
      <c r="G31" s="400"/>
    </row>
    <row r="32" spans="1:7" x14ac:dyDescent="0.3">
      <c r="A32" s="20">
        <v>31</v>
      </c>
      <c r="B32" s="31" t="s">
        <v>1759</v>
      </c>
      <c r="C32" s="37">
        <v>11238</v>
      </c>
      <c r="D32" s="26" t="s">
        <v>1760</v>
      </c>
      <c r="E32" s="399" t="s">
        <v>1718</v>
      </c>
      <c r="F32" s="399"/>
      <c r="G32" s="400"/>
    </row>
    <row r="33" spans="1:7" x14ac:dyDescent="0.3">
      <c r="A33" s="20">
        <v>32</v>
      </c>
      <c r="B33" s="31" t="s">
        <v>1761</v>
      </c>
      <c r="C33" s="37">
        <v>11239</v>
      </c>
      <c r="D33" s="26" t="s">
        <v>1762</v>
      </c>
      <c r="E33" s="399" t="s">
        <v>1706</v>
      </c>
      <c r="F33" s="399"/>
      <c r="G33" s="400"/>
    </row>
    <row r="34" spans="1:7" x14ac:dyDescent="0.3">
      <c r="A34" s="20">
        <v>33</v>
      </c>
      <c r="B34" s="31" t="s">
        <v>1763</v>
      </c>
      <c r="C34" s="37">
        <v>11240</v>
      </c>
      <c r="D34" s="26" t="s">
        <v>1764</v>
      </c>
      <c r="E34" s="399" t="s">
        <v>1693</v>
      </c>
      <c r="F34" s="399"/>
      <c r="G34" s="400"/>
    </row>
    <row r="35" spans="1:7" x14ac:dyDescent="0.3">
      <c r="A35" s="20">
        <v>34</v>
      </c>
      <c r="B35" s="31" t="s">
        <v>1765</v>
      </c>
      <c r="C35" s="37">
        <v>11241</v>
      </c>
      <c r="D35" s="26" t="s">
        <v>1766</v>
      </c>
      <c r="E35" s="399"/>
      <c r="F35" s="399"/>
      <c r="G35" s="400"/>
    </row>
    <row r="36" spans="1:7" x14ac:dyDescent="0.3">
      <c r="A36" s="20">
        <v>35</v>
      </c>
      <c r="B36" s="31" t="s">
        <v>1767</v>
      </c>
      <c r="C36" s="37">
        <v>11242</v>
      </c>
      <c r="D36" s="26" t="s">
        <v>1768</v>
      </c>
      <c r="E36" s="399" t="s">
        <v>1693</v>
      </c>
      <c r="F36" s="399"/>
      <c r="G36" s="400"/>
    </row>
    <row r="37" spans="1:7" x14ac:dyDescent="0.3">
      <c r="A37" s="20">
        <v>36</v>
      </c>
      <c r="B37" s="31" t="s">
        <v>1769</v>
      </c>
      <c r="C37" s="37">
        <v>11243</v>
      </c>
      <c r="D37" s="26" t="s">
        <v>1770</v>
      </c>
      <c r="E37" s="399" t="s">
        <v>1718</v>
      </c>
      <c r="F37" s="399"/>
      <c r="G37" s="400"/>
    </row>
    <row r="38" spans="1:7" x14ac:dyDescent="0.3">
      <c r="A38" s="20">
        <v>37</v>
      </c>
      <c r="B38" s="31" t="s">
        <v>1747</v>
      </c>
      <c r="C38" s="37">
        <v>11244</v>
      </c>
      <c r="D38" s="26" t="s">
        <v>1771</v>
      </c>
      <c r="E38" s="399" t="s">
        <v>1706</v>
      </c>
      <c r="F38" s="399"/>
      <c r="G38" s="400"/>
    </row>
    <row r="39" spans="1:7" x14ac:dyDescent="0.3">
      <c r="A39" s="20">
        <v>38</v>
      </c>
      <c r="B39" s="31" t="s">
        <v>1772</v>
      </c>
      <c r="C39" s="37">
        <v>11245</v>
      </c>
      <c r="D39" s="26" t="s">
        <v>1773</v>
      </c>
      <c r="E39" s="392" t="s">
        <v>1693</v>
      </c>
      <c r="F39" s="393"/>
      <c r="G39" s="394"/>
    </row>
    <row r="40" spans="1:7" x14ac:dyDescent="0.3">
      <c r="A40" s="20">
        <v>39</v>
      </c>
      <c r="B40" s="31" t="s">
        <v>1769</v>
      </c>
      <c r="C40" s="37">
        <v>11246</v>
      </c>
      <c r="D40" s="52" t="s">
        <v>1774</v>
      </c>
      <c r="E40" s="425" t="s">
        <v>1693</v>
      </c>
      <c r="F40" s="425"/>
      <c r="G40" s="426"/>
    </row>
    <row r="41" spans="1:7" x14ac:dyDescent="0.3">
      <c r="A41" s="20">
        <v>40</v>
      </c>
      <c r="B41" s="31" t="s">
        <v>1775</v>
      </c>
      <c r="C41" s="37">
        <v>11247</v>
      </c>
      <c r="D41" s="52" t="s">
        <v>1776</v>
      </c>
      <c r="E41" s="425" t="s">
        <v>1693</v>
      </c>
      <c r="F41" s="425"/>
      <c r="G41" s="426"/>
    </row>
    <row r="42" spans="1:7" x14ac:dyDescent="0.3">
      <c r="A42" s="20">
        <v>41</v>
      </c>
      <c r="B42" s="31" t="s">
        <v>1777</v>
      </c>
      <c r="C42" s="37">
        <v>11249</v>
      </c>
      <c r="D42" s="52" t="s">
        <v>1778</v>
      </c>
      <c r="E42" s="427"/>
      <c r="F42" s="428"/>
      <c r="G42" s="429"/>
    </row>
    <row r="43" spans="1:7" x14ac:dyDescent="0.3">
      <c r="A43" s="20">
        <v>42</v>
      </c>
      <c r="B43" s="31" t="s">
        <v>1779</v>
      </c>
      <c r="C43" s="37">
        <v>11250</v>
      </c>
      <c r="D43" s="26" t="s">
        <v>1780</v>
      </c>
      <c r="E43" s="399" t="s">
        <v>1781</v>
      </c>
      <c r="F43" s="399"/>
      <c r="G43" s="400"/>
    </row>
    <row r="44" spans="1:7" x14ac:dyDescent="0.3">
      <c r="A44" s="20">
        <v>43</v>
      </c>
      <c r="B44" s="31" t="s">
        <v>1782</v>
      </c>
      <c r="C44" s="37">
        <v>11251</v>
      </c>
      <c r="D44" s="26" t="s">
        <v>1783</v>
      </c>
      <c r="E44" s="399" t="s">
        <v>1693</v>
      </c>
      <c r="F44" s="399"/>
      <c r="G44" s="400"/>
    </row>
    <row r="45" spans="1:7" x14ac:dyDescent="0.3">
      <c r="A45" s="20">
        <v>44</v>
      </c>
      <c r="B45" s="31" t="s">
        <v>1769</v>
      </c>
      <c r="C45" s="37">
        <v>11252</v>
      </c>
      <c r="D45" s="26" t="s">
        <v>1784</v>
      </c>
      <c r="E45" s="399" t="s">
        <v>1693</v>
      </c>
      <c r="F45" s="399"/>
      <c r="G45" s="400"/>
    </row>
    <row r="46" spans="1:7" x14ac:dyDescent="0.3">
      <c r="A46" s="20">
        <v>45</v>
      </c>
      <c r="B46" s="31" t="s">
        <v>1785</v>
      </c>
      <c r="C46" s="37">
        <v>11253</v>
      </c>
      <c r="D46" s="26" t="s">
        <v>1786</v>
      </c>
      <c r="E46" s="399" t="s">
        <v>1693</v>
      </c>
      <c r="F46" s="399"/>
      <c r="G46" s="400"/>
    </row>
    <row r="47" spans="1:7" x14ac:dyDescent="0.3">
      <c r="A47" s="20">
        <v>46</v>
      </c>
      <c r="B47" s="31" t="s">
        <v>1787</v>
      </c>
      <c r="C47" s="37">
        <v>11254</v>
      </c>
      <c r="D47" s="26" t="s">
        <v>1788</v>
      </c>
      <c r="E47" s="399" t="s">
        <v>1706</v>
      </c>
      <c r="F47" s="399"/>
      <c r="G47" s="400"/>
    </row>
    <row r="48" spans="1:7" x14ac:dyDescent="0.3">
      <c r="A48" s="20">
        <v>47</v>
      </c>
      <c r="B48" s="31" t="s">
        <v>1697</v>
      </c>
      <c r="C48" s="37">
        <v>11255</v>
      </c>
      <c r="D48" s="26" t="s">
        <v>1789</v>
      </c>
      <c r="E48" s="399" t="s">
        <v>1693</v>
      </c>
      <c r="F48" s="399"/>
      <c r="G48" s="400"/>
    </row>
    <row r="49" spans="1:7" x14ac:dyDescent="0.3">
      <c r="A49" s="20">
        <v>48</v>
      </c>
      <c r="B49" s="31" t="s">
        <v>1790</v>
      </c>
      <c r="C49" s="37">
        <v>11256</v>
      </c>
      <c r="D49" s="26" t="s">
        <v>1791</v>
      </c>
      <c r="E49" s="399" t="s">
        <v>1693</v>
      </c>
      <c r="F49" s="399"/>
      <c r="G49" s="400"/>
    </row>
    <row r="50" spans="1:7" x14ac:dyDescent="0.3">
      <c r="A50" s="20">
        <v>49</v>
      </c>
      <c r="B50" s="31" t="s">
        <v>1792</v>
      </c>
      <c r="C50" s="37">
        <v>11257</v>
      </c>
      <c r="D50" s="26" t="s">
        <v>1793</v>
      </c>
      <c r="E50" s="399" t="s">
        <v>1794</v>
      </c>
      <c r="F50" s="399"/>
      <c r="G50" s="400"/>
    </row>
    <row r="51" spans="1:7" x14ac:dyDescent="0.3">
      <c r="A51" s="20">
        <v>50</v>
      </c>
      <c r="B51" s="31" t="s">
        <v>1795</v>
      </c>
      <c r="C51" s="37">
        <v>11258</v>
      </c>
      <c r="D51" s="26" t="s">
        <v>1796</v>
      </c>
      <c r="E51" s="399" t="s">
        <v>1797</v>
      </c>
      <c r="F51" s="399"/>
      <c r="G51" s="400"/>
    </row>
    <row r="52" spans="1:7" x14ac:dyDescent="0.3">
      <c r="A52" s="20">
        <v>51</v>
      </c>
      <c r="B52" s="31" t="s">
        <v>1798</v>
      </c>
      <c r="C52" s="37">
        <v>11259</v>
      </c>
      <c r="D52" s="26" t="s">
        <v>1799</v>
      </c>
      <c r="E52" s="392" t="s">
        <v>1693</v>
      </c>
      <c r="F52" s="393"/>
      <c r="G52" s="394"/>
    </row>
    <row r="53" spans="1:7" x14ac:dyDescent="0.3">
      <c r="A53" s="20">
        <v>52</v>
      </c>
      <c r="B53" s="31" t="s">
        <v>1800</v>
      </c>
      <c r="C53" s="37">
        <v>11260</v>
      </c>
      <c r="D53" s="26" t="s">
        <v>1801</v>
      </c>
      <c r="E53" s="392" t="s">
        <v>1794</v>
      </c>
      <c r="F53" s="393"/>
      <c r="G53" s="394"/>
    </row>
    <row r="54" spans="1:7" x14ac:dyDescent="0.3">
      <c r="A54" s="20">
        <v>53</v>
      </c>
      <c r="B54" s="31" t="s">
        <v>1802</v>
      </c>
      <c r="C54" s="37">
        <v>11261</v>
      </c>
      <c r="D54" s="26" t="s">
        <v>1803</v>
      </c>
      <c r="E54" s="401"/>
      <c r="F54" s="402"/>
      <c r="G54" s="403"/>
    </row>
    <row r="55" spans="1:7" x14ac:dyDescent="0.3">
      <c r="A55" s="20">
        <v>54</v>
      </c>
      <c r="B55" s="31" t="s">
        <v>1806</v>
      </c>
      <c r="C55" s="37">
        <v>11262</v>
      </c>
      <c r="D55" s="43" t="s">
        <v>1805</v>
      </c>
      <c r="E55" s="392" t="s">
        <v>1718</v>
      </c>
      <c r="F55" s="393"/>
      <c r="G55" s="394"/>
    </row>
    <row r="56" spans="1:7" x14ac:dyDescent="0.3">
      <c r="A56" s="20">
        <v>55</v>
      </c>
      <c r="B56" s="31" t="s">
        <v>1804</v>
      </c>
      <c r="C56" s="37">
        <v>11263</v>
      </c>
      <c r="D56" s="43" t="s">
        <v>1807</v>
      </c>
      <c r="E56" s="392" t="s">
        <v>1718</v>
      </c>
      <c r="F56" s="393"/>
      <c r="G56" s="394"/>
    </row>
    <row r="57" spans="1:7" x14ac:dyDescent="0.3">
      <c r="A57" s="20">
        <v>56</v>
      </c>
      <c r="B57" s="31" t="s">
        <v>1808</v>
      </c>
      <c r="C57" s="37">
        <v>11264</v>
      </c>
      <c r="D57" s="43" t="s">
        <v>1809</v>
      </c>
      <c r="E57" s="392" t="s">
        <v>1706</v>
      </c>
      <c r="F57" s="393"/>
      <c r="G57" s="394"/>
    </row>
    <row r="58" spans="1:7" x14ac:dyDescent="0.3">
      <c r="A58" s="20">
        <v>57</v>
      </c>
      <c r="B58" s="31" t="s">
        <v>1810</v>
      </c>
      <c r="C58" s="37">
        <v>11265</v>
      </c>
      <c r="D58" s="43" t="s">
        <v>1811</v>
      </c>
      <c r="E58" s="399" t="s">
        <v>1727</v>
      </c>
      <c r="F58" s="399"/>
      <c r="G58" s="400"/>
    </row>
    <row r="59" spans="1:7" x14ac:dyDescent="0.3">
      <c r="A59" s="20">
        <v>58</v>
      </c>
      <c r="B59" s="31" t="s">
        <v>1812</v>
      </c>
      <c r="C59" s="37">
        <v>11266</v>
      </c>
      <c r="D59" s="26" t="s">
        <v>1813</v>
      </c>
      <c r="E59" s="399" t="s">
        <v>1718</v>
      </c>
      <c r="F59" s="399"/>
      <c r="G59" s="399"/>
    </row>
    <row r="60" spans="1:7" x14ac:dyDescent="0.3">
      <c r="A60" s="20">
        <v>59</v>
      </c>
      <c r="B60" s="31" t="s">
        <v>1814</v>
      </c>
      <c r="C60" s="37">
        <v>11267</v>
      </c>
      <c r="D60" s="26" t="s">
        <v>1815</v>
      </c>
      <c r="E60" s="399"/>
      <c r="F60" s="399"/>
      <c r="G60" s="399"/>
    </row>
    <row r="61" spans="1:7" x14ac:dyDescent="0.3">
      <c r="A61" s="20">
        <v>60</v>
      </c>
      <c r="B61" s="31" t="s">
        <v>1816</v>
      </c>
      <c r="C61" s="37">
        <v>11268</v>
      </c>
      <c r="D61" s="26" t="s">
        <v>1817</v>
      </c>
      <c r="E61" s="399" t="s">
        <v>1693</v>
      </c>
      <c r="F61" s="399"/>
      <c r="G61" s="399"/>
    </row>
    <row r="62" spans="1:7" x14ac:dyDescent="0.3">
      <c r="A62" s="20">
        <v>61</v>
      </c>
      <c r="B62" s="31"/>
      <c r="C62" s="37"/>
      <c r="D62" s="26"/>
      <c r="E62" s="399"/>
      <c r="F62" s="399"/>
      <c r="G62" s="399"/>
    </row>
    <row r="63" spans="1:7" x14ac:dyDescent="0.3">
      <c r="A63" s="20">
        <v>62</v>
      </c>
      <c r="B63" s="31"/>
      <c r="C63" s="37"/>
      <c r="D63" s="26"/>
      <c r="E63" s="399"/>
      <c r="F63" s="399"/>
      <c r="G63" s="399"/>
    </row>
    <row r="64" spans="1:7" x14ac:dyDescent="0.3">
      <c r="A64" s="20">
        <v>63</v>
      </c>
      <c r="B64" s="31"/>
      <c r="C64" s="37"/>
      <c r="D64" s="26"/>
      <c r="E64" s="399"/>
      <c r="F64" s="399"/>
      <c r="G64" s="399"/>
    </row>
    <row r="65" spans="1:7" x14ac:dyDescent="0.3">
      <c r="A65" s="20">
        <v>64</v>
      </c>
      <c r="B65" s="31"/>
      <c r="C65" s="37"/>
      <c r="D65" s="26"/>
      <c r="E65" s="399"/>
      <c r="F65" s="399"/>
      <c r="G65" s="399"/>
    </row>
    <row r="66" spans="1:7" x14ac:dyDescent="0.3">
      <c r="A66" s="20">
        <v>65</v>
      </c>
      <c r="B66" s="31"/>
      <c r="C66" s="37"/>
      <c r="D66" s="26"/>
      <c r="E66" s="399"/>
      <c r="F66" s="399"/>
      <c r="G66" s="399"/>
    </row>
    <row r="67" spans="1:7" x14ac:dyDescent="0.3">
      <c r="A67" s="20">
        <v>66</v>
      </c>
      <c r="B67" s="31"/>
      <c r="C67" s="37"/>
      <c r="D67" s="26"/>
      <c r="E67" s="399"/>
      <c r="F67" s="399"/>
      <c r="G67" s="400"/>
    </row>
    <row r="68" spans="1:7" x14ac:dyDescent="0.3">
      <c r="A68" s="20">
        <v>67</v>
      </c>
      <c r="B68" s="31"/>
      <c r="C68" s="37"/>
      <c r="D68" s="26"/>
      <c r="E68" s="399"/>
      <c r="F68" s="399"/>
      <c r="G68" s="400"/>
    </row>
    <row r="69" spans="1:7" x14ac:dyDescent="0.3">
      <c r="A69" s="20">
        <v>68</v>
      </c>
      <c r="B69" s="31"/>
      <c r="C69" s="37"/>
      <c r="D69" s="26"/>
      <c r="E69" s="399"/>
      <c r="F69" s="399"/>
      <c r="G69" s="400"/>
    </row>
    <row r="70" spans="1:7" x14ac:dyDescent="0.3">
      <c r="A70" s="20">
        <v>69</v>
      </c>
      <c r="B70" s="31"/>
      <c r="C70" s="37"/>
      <c r="D70" s="26"/>
      <c r="E70" s="399"/>
      <c r="F70" s="399"/>
      <c r="G70" s="400"/>
    </row>
    <row r="71" spans="1:7" x14ac:dyDescent="0.3">
      <c r="A71" s="20">
        <v>70</v>
      </c>
      <c r="B71" s="31"/>
      <c r="C71" s="37"/>
      <c r="D71" s="26"/>
      <c r="E71" s="399"/>
      <c r="F71" s="399"/>
      <c r="G71" s="400"/>
    </row>
    <row r="72" spans="1:7" x14ac:dyDescent="0.3">
      <c r="A72" s="20">
        <v>71</v>
      </c>
      <c r="B72" s="31"/>
      <c r="C72" s="37"/>
      <c r="D72" s="26"/>
      <c r="E72" s="399"/>
      <c r="F72" s="399"/>
      <c r="G72" s="400"/>
    </row>
    <row r="73" spans="1:7" x14ac:dyDescent="0.3">
      <c r="A73" s="20">
        <v>72</v>
      </c>
      <c r="B73" s="31"/>
      <c r="C73" s="37"/>
      <c r="D73" s="52"/>
      <c r="E73" s="425"/>
      <c r="F73" s="425"/>
      <c r="G73" s="426"/>
    </row>
    <row r="74" spans="1:7" x14ac:dyDescent="0.3">
      <c r="A74" s="20">
        <v>73</v>
      </c>
      <c r="B74" s="31"/>
      <c r="C74" s="37"/>
      <c r="D74" s="52"/>
      <c r="E74" s="427"/>
      <c r="F74" s="428"/>
      <c r="G74" s="429"/>
    </row>
    <row r="75" spans="1:7" x14ac:dyDescent="0.3">
      <c r="A75" s="20">
        <v>74</v>
      </c>
      <c r="B75" s="31"/>
      <c r="C75" s="26"/>
      <c r="D75" s="26"/>
      <c r="E75" s="399"/>
      <c r="F75" s="399"/>
      <c r="G75" s="400"/>
    </row>
    <row r="76" spans="1:7" x14ac:dyDescent="0.3">
      <c r="A76" s="20">
        <v>75</v>
      </c>
      <c r="B76" s="31"/>
      <c r="C76" s="26"/>
      <c r="D76" s="26"/>
      <c r="E76" s="399"/>
      <c r="F76" s="399"/>
      <c r="G76" s="400"/>
    </row>
    <row r="77" spans="1:7" x14ac:dyDescent="0.3">
      <c r="A77" s="20">
        <v>76</v>
      </c>
      <c r="B77" s="31"/>
      <c r="C77" s="26"/>
      <c r="D77" s="26"/>
      <c r="E77" s="399"/>
      <c r="F77" s="399"/>
      <c r="G77" s="400"/>
    </row>
    <row r="78" spans="1:7" x14ac:dyDescent="0.3">
      <c r="A78" s="20">
        <v>77</v>
      </c>
      <c r="B78" s="31"/>
      <c r="C78" s="26"/>
      <c r="D78" s="26"/>
      <c r="E78" s="399"/>
      <c r="F78" s="399"/>
      <c r="G78" s="400"/>
    </row>
    <row r="79" spans="1:7" x14ac:dyDescent="0.3">
      <c r="A79" s="20">
        <v>78</v>
      </c>
      <c r="B79" s="31"/>
      <c r="C79" s="26"/>
      <c r="D79" s="26"/>
      <c r="E79" s="399"/>
      <c r="F79" s="399"/>
      <c r="G79" s="400"/>
    </row>
    <row r="80" spans="1:7" x14ac:dyDescent="0.3">
      <c r="A80" s="20">
        <v>79</v>
      </c>
      <c r="B80" s="31"/>
      <c r="C80" s="26"/>
      <c r="D80" s="26"/>
      <c r="E80" s="399"/>
      <c r="F80" s="399"/>
      <c r="G80" s="400"/>
    </row>
    <row r="81" spans="1:7" x14ac:dyDescent="0.3">
      <c r="A81" s="20">
        <v>80</v>
      </c>
      <c r="B81" s="31"/>
      <c r="C81" s="26"/>
      <c r="D81" s="26"/>
      <c r="E81" s="399"/>
      <c r="F81" s="399"/>
      <c r="G81" s="400"/>
    </row>
    <row r="82" spans="1:7" x14ac:dyDescent="0.3">
      <c r="A82" s="20">
        <v>81</v>
      </c>
      <c r="B82" s="31"/>
      <c r="C82" s="26"/>
      <c r="D82" s="26"/>
      <c r="E82" s="399"/>
      <c r="F82" s="399"/>
      <c r="G82" s="400"/>
    </row>
    <row r="83" spans="1:7" x14ac:dyDescent="0.3">
      <c r="A83" s="20">
        <v>82</v>
      </c>
      <c r="B83" s="31"/>
      <c r="C83" s="26"/>
      <c r="D83" s="26"/>
      <c r="E83" s="399"/>
      <c r="F83" s="399"/>
      <c r="G83" s="400"/>
    </row>
    <row r="84" spans="1:7" x14ac:dyDescent="0.3">
      <c r="A84" s="20">
        <v>83</v>
      </c>
      <c r="B84" s="31"/>
      <c r="C84" s="26"/>
      <c r="D84" s="26"/>
      <c r="E84" s="392"/>
      <c r="F84" s="393"/>
      <c r="G84" s="394"/>
    </row>
    <row r="85" spans="1:7" x14ac:dyDescent="0.3">
      <c r="A85" s="20">
        <v>84</v>
      </c>
      <c r="B85" s="31"/>
      <c r="C85" s="26"/>
      <c r="D85" s="26"/>
      <c r="E85" s="392"/>
      <c r="F85" s="393"/>
      <c r="G85" s="394"/>
    </row>
    <row r="86" spans="1:7" x14ac:dyDescent="0.3">
      <c r="A86" s="20">
        <v>85</v>
      </c>
      <c r="B86" s="31"/>
      <c r="C86" s="26"/>
      <c r="D86" s="26"/>
      <c r="E86" s="401"/>
      <c r="F86" s="402"/>
      <c r="G86" s="403"/>
    </row>
    <row r="87" spans="1:7" x14ac:dyDescent="0.3">
      <c r="A87" s="20">
        <v>86</v>
      </c>
      <c r="B87" s="31"/>
      <c r="C87" s="26"/>
      <c r="D87" s="43"/>
      <c r="E87" s="392"/>
      <c r="F87" s="393"/>
      <c r="G87" s="394"/>
    </row>
    <row r="88" spans="1:7" x14ac:dyDescent="0.3">
      <c r="A88" s="20">
        <v>87</v>
      </c>
      <c r="B88" s="31"/>
      <c r="C88" s="26"/>
      <c r="D88" s="43"/>
      <c r="E88" s="392"/>
      <c r="F88" s="393"/>
      <c r="G88" s="394"/>
    </row>
    <row r="89" spans="1:7" x14ac:dyDescent="0.3">
      <c r="A89" s="20">
        <v>88</v>
      </c>
      <c r="B89" s="31"/>
      <c r="C89" s="26"/>
      <c r="D89" s="43"/>
      <c r="E89" s="392"/>
      <c r="F89" s="393"/>
      <c r="G89" s="394"/>
    </row>
    <row r="90" spans="1:7" x14ac:dyDescent="0.3">
      <c r="A90" s="20">
        <v>89</v>
      </c>
      <c r="B90" s="31"/>
      <c r="C90" s="26"/>
      <c r="D90" s="43"/>
      <c r="E90" s="399"/>
      <c r="F90" s="399"/>
      <c r="G90" s="400"/>
    </row>
    <row r="91" spans="1:7" x14ac:dyDescent="0.3">
      <c r="A91" s="20">
        <v>90</v>
      </c>
      <c r="B91" s="31"/>
      <c r="C91" s="26"/>
      <c r="D91" s="26"/>
      <c r="E91" s="399"/>
      <c r="F91" s="399"/>
      <c r="G91" s="399"/>
    </row>
    <row r="92" spans="1:7" x14ac:dyDescent="0.3">
      <c r="A92" s="20">
        <v>91</v>
      </c>
      <c r="B92" s="31"/>
      <c r="C92" s="26"/>
      <c r="D92" s="26"/>
      <c r="E92" s="399"/>
      <c r="F92" s="399"/>
      <c r="G92" s="399"/>
    </row>
    <row r="93" spans="1:7" x14ac:dyDescent="0.3">
      <c r="A93" s="20">
        <v>92</v>
      </c>
      <c r="B93" s="31"/>
      <c r="C93" s="26"/>
      <c r="D93" s="26"/>
      <c r="E93" s="399"/>
      <c r="F93" s="399"/>
      <c r="G93" s="399"/>
    </row>
    <row r="94" spans="1:7" x14ac:dyDescent="0.3">
      <c r="A94" s="20">
        <v>93</v>
      </c>
      <c r="B94" s="31"/>
      <c r="C94" s="26"/>
      <c r="D94" s="26"/>
      <c r="E94" s="399"/>
      <c r="F94" s="399"/>
      <c r="G94" s="399"/>
    </row>
    <row r="95" spans="1:7" x14ac:dyDescent="0.3">
      <c r="A95" s="20">
        <v>94</v>
      </c>
      <c r="B95" s="31"/>
      <c r="C95" s="26"/>
      <c r="D95" s="26"/>
      <c r="E95" s="399"/>
      <c r="F95" s="399"/>
      <c r="G95" s="399"/>
    </row>
    <row r="96" spans="1:7" x14ac:dyDescent="0.3">
      <c r="A96" s="20">
        <v>95</v>
      </c>
      <c r="B96" s="31"/>
      <c r="C96" s="26"/>
      <c r="D96" s="26"/>
      <c r="E96" s="399"/>
      <c r="F96" s="399"/>
      <c r="G96" s="399"/>
    </row>
    <row r="97" spans="1:7" x14ac:dyDescent="0.3">
      <c r="A97" s="20">
        <v>96</v>
      </c>
      <c r="B97" s="31"/>
      <c r="C97" s="26"/>
      <c r="D97" s="26"/>
      <c r="E97" s="399"/>
      <c r="F97" s="399"/>
      <c r="G97" s="399"/>
    </row>
    <row r="98" spans="1:7" x14ac:dyDescent="0.3">
      <c r="A98" s="20">
        <v>97</v>
      </c>
      <c r="B98" s="31"/>
      <c r="C98" s="26"/>
      <c r="D98" s="26"/>
      <c r="E98" s="399"/>
      <c r="F98" s="399"/>
      <c r="G98" s="399"/>
    </row>
    <row r="99" spans="1:7" x14ac:dyDescent="0.3">
      <c r="A99" s="20">
        <v>98</v>
      </c>
      <c r="B99" s="31"/>
      <c r="C99" s="26"/>
      <c r="D99" s="26"/>
      <c r="E99" s="399"/>
      <c r="F99" s="399"/>
      <c r="G99" s="399"/>
    </row>
    <row r="100" spans="1:7" x14ac:dyDescent="0.3">
      <c r="A100" s="20">
        <v>99</v>
      </c>
      <c r="B100" s="31"/>
      <c r="C100" s="26"/>
      <c r="D100" s="26"/>
      <c r="E100" s="399"/>
      <c r="F100" s="399"/>
      <c r="G100" s="399"/>
    </row>
    <row r="101" spans="1:7" x14ac:dyDescent="0.3">
      <c r="A101" s="20">
        <v>100</v>
      </c>
      <c r="B101" s="31"/>
      <c r="C101" s="26"/>
      <c r="D101" s="26"/>
      <c r="E101" s="399"/>
      <c r="F101" s="399"/>
      <c r="G101" s="399"/>
    </row>
    <row r="102" spans="1:7" x14ac:dyDescent="0.3">
      <c r="A102" s="20">
        <v>101</v>
      </c>
      <c r="B102" s="31"/>
      <c r="C102" s="26"/>
      <c r="D102" s="26"/>
      <c r="E102" s="399"/>
      <c r="F102" s="399"/>
      <c r="G102" s="399"/>
    </row>
    <row r="103" spans="1:7" x14ac:dyDescent="0.3">
      <c r="A103" s="20">
        <v>102</v>
      </c>
      <c r="B103" s="31"/>
      <c r="C103" s="26"/>
      <c r="D103" s="26"/>
      <c r="E103" s="399"/>
      <c r="F103" s="399"/>
      <c r="G103" s="399"/>
    </row>
    <row r="104" spans="1:7" x14ac:dyDescent="0.3">
      <c r="A104" s="20">
        <v>103</v>
      </c>
      <c r="B104" s="31"/>
      <c r="C104" s="26"/>
      <c r="D104" s="26"/>
      <c r="E104" s="399"/>
      <c r="F104" s="399"/>
      <c r="G104" s="399"/>
    </row>
    <row r="105" spans="1:7" x14ac:dyDescent="0.3">
      <c r="A105" s="20">
        <v>104</v>
      </c>
      <c r="B105" s="31"/>
      <c r="C105" s="26"/>
      <c r="D105" s="26"/>
      <c r="E105" s="399"/>
      <c r="F105" s="399"/>
      <c r="G105" s="399"/>
    </row>
    <row r="106" spans="1:7" x14ac:dyDescent="0.3">
      <c r="A106" s="20">
        <v>105</v>
      </c>
      <c r="B106" s="31"/>
      <c r="C106" s="26"/>
      <c r="D106" s="26"/>
      <c r="E106" s="399"/>
      <c r="F106" s="399"/>
      <c r="G106" s="399"/>
    </row>
    <row r="107" spans="1:7" x14ac:dyDescent="0.3">
      <c r="A107" s="20">
        <v>106</v>
      </c>
      <c r="B107" s="31"/>
      <c r="C107" s="26"/>
      <c r="D107" s="26"/>
      <c r="E107" s="399"/>
      <c r="F107" s="399"/>
      <c r="G107" s="399"/>
    </row>
    <row r="108" spans="1:7" x14ac:dyDescent="0.3">
      <c r="A108" s="20">
        <v>107</v>
      </c>
      <c r="B108" s="31"/>
      <c r="C108" s="26"/>
      <c r="D108" s="26"/>
      <c r="E108" s="399"/>
      <c r="F108" s="399"/>
      <c r="G108" s="399"/>
    </row>
    <row r="109" spans="1:7" x14ac:dyDescent="0.3">
      <c r="A109" s="20">
        <v>108</v>
      </c>
      <c r="B109" s="31"/>
      <c r="C109" s="26"/>
      <c r="D109" s="26"/>
      <c r="E109" s="399"/>
      <c r="F109" s="399"/>
      <c r="G109" s="399"/>
    </row>
    <row r="110" spans="1:7" x14ac:dyDescent="0.3">
      <c r="A110" s="20">
        <v>109</v>
      </c>
      <c r="B110" s="31"/>
      <c r="C110" s="26"/>
      <c r="D110" s="26"/>
      <c r="E110" s="399"/>
      <c r="F110" s="399"/>
      <c r="G110" s="399"/>
    </row>
    <row r="111" spans="1:7" x14ac:dyDescent="0.3">
      <c r="A111" s="20">
        <v>110</v>
      </c>
      <c r="B111" s="31"/>
      <c r="C111" s="26"/>
      <c r="D111" s="26"/>
      <c r="E111" s="399"/>
      <c r="F111" s="399"/>
      <c r="G111" s="399"/>
    </row>
    <row r="112" spans="1:7" x14ac:dyDescent="0.3">
      <c r="A112" s="20">
        <v>111</v>
      </c>
      <c r="B112" s="31"/>
      <c r="C112" s="26"/>
      <c r="D112" s="26"/>
      <c r="E112" s="399"/>
      <c r="F112" s="399"/>
      <c r="G112" s="399"/>
    </row>
    <row r="113" spans="1:7" x14ac:dyDescent="0.3">
      <c r="A113" s="20">
        <v>112</v>
      </c>
      <c r="B113" s="31"/>
      <c r="C113" s="26"/>
      <c r="D113" s="26"/>
      <c r="E113" s="399"/>
      <c r="F113" s="399"/>
      <c r="G113" s="399"/>
    </row>
    <row r="114" spans="1:7" x14ac:dyDescent="0.3">
      <c r="A114" s="20">
        <v>113</v>
      </c>
      <c r="B114" s="31"/>
      <c r="C114" s="26"/>
      <c r="D114" s="26"/>
      <c r="E114" s="399"/>
      <c r="F114" s="399"/>
      <c r="G114" s="399"/>
    </row>
    <row r="115" spans="1:7" x14ac:dyDescent="0.3">
      <c r="A115" s="20">
        <v>114</v>
      </c>
      <c r="B115" s="31"/>
      <c r="C115" s="26"/>
      <c r="D115" s="26"/>
      <c r="E115" s="399"/>
      <c r="F115" s="399"/>
      <c r="G115" s="399"/>
    </row>
    <row r="116" spans="1:7" x14ac:dyDescent="0.3">
      <c r="A116" s="20">
        <v>115</v>
      </c>
      <c r="B116" s="31"/>
      <c r="C116" s="26"/>
      <c r="D116" s="26"/>
      <c r="E116" s="399"/>
      <c r="F116" s="399"/>
      <c r="G116" s="399"/>
    </row>
  </sheetData>
  <mergeCells count="116">
    <mergeCell ref="E1:G1"/>
    <mergeCell ref="E2:G2"/>
    <mergeCell ref="E3:G3"/>
    <mergeCell ref="E4:G4"/>
    <mergeCell ref="E5:G5"/>
    <mergeCell ref="E6:G6"/>
    <mergeCell ref="E13:G13"/>
    <mergeCell ref="E14:G14"/>
    <mergeCell ref="E15:G15"/>
    <mergeCell ref="E16:G16"/>
    <mergeCell ref="E17:G17"/>
    <mergeCell ref="E18:G18"/>
    <mergeCell ref="E7:G7"/>
    <mergeCell ref="E8:G8"/>
    <mergeCell ref="E9:G9"/>
    <mergeCell ref="E10:G10"/>
    <mergeCell ref="E11:G11"/>
    <mergeCell ref="E12:G12"/>
    <mergeCell ref="E25:G25"/>
    <mergeCell ref="E26:G26"/>
    <mergeCell ref="E27:G27"/>
    <mergeCell ref="E28:G28"/>
    <mergeCell ref="E29:G29"/>
    <mergeCell ref="E30:G30"/>
    <mergeCell ref="E19:G19"/>
    <mergeCell ref="E20:G20"/>
    <mergeCell ref="E21:G21"/>
    <mergeCell ref="E22:G22"/>
    <mergeCell ref="E23:G23"/>
    <mergeCell ref="E24:G24"/>
    <mergeCell ref="E37:G37"/>
    <mergeCell ref="E38:G38"/>
    <mergeCell ref="E39:G39"/>
    <mergeCell ref="E40:G40"/>
    <mergeCell ref="E41:G41"/>
    <mergeCell ref="E42:G42"/>
    <mergeCell ref="E31:G31"/>
    <mergeCell ref="E32:G32"/>
    <mergeCell ref="E33:G33"/>
    <mergeCell ref="E34:G34"/>
    <mergeCell ref="E35:G35"/>
    <mergeCell ref="E36:G36"/>
    <mergeCell ref="E49:G49"/>
    <mergeCell ref="E50:G50"/>
    <mergeCell ref="E51:G51"/>
    <mergeCell ref="E52:G52"/>
    <mergeCell ref="E53:G53"/>
    <mergeCell ref="E54:G54"/>
    <mergeCell ref="E43:G43"/>
    <mergeCell ref="E44:G44"/>
    <mergeCell ref="E45:G45"/>
    <mergeCell ref="E46:G46"/>
    <mergeCell ref="E47:G47"/>
    <mergeCell ref="E48:G48"/>
    <mergeCell ref="E61:G61"/>
    <mergeCell ref="E62:G62"/>
    <mergeCell ref="E63:G63"/>
    <mergeCell ref="E64:G64"/>
    <mergeCell ref="E65:G65"/>
    <mergeCell ref="E66:G66"/>
    <mergeCell ref="E55:G55"/>
    <mergeCell ref="E56:G56"/>
    <mergeCell ref="E57:G57"/>
    <mergeCell ref="E58:G58"/>
    <mergeCell ref="E59:G59"/>
    <mergeCell ref="E60:G60"/>
    <mergeCell ref="E73:G73"/>
    <mergeCell ref="E74:G74"/>
    <mergeCell ref="E75:G75"/>
    <mergeCell ref="E76:G76"/>
    <mergeCell ref="E77:G77"/>
    <mergeCell ref="E78:G78"/>
    <mergeCell ref="E67:G67"/>
    <mergeCell ref="E68:G68"/>
    <mergeCell ref="E69:G69"/>
    <mergeCell ref="E70:G70"/>
    <mergeCell ref="E71:G71"/>
    <mergeCell ref="E72:G72"/>
    <mergeCell ref="E85:G85"/>
    <mergeCell ref="E86:G86"/>
    <mergeCell ref="E87:G87"/>
    <mergeCell ref="E88:G88"/>
    <mergeCell ref="E89:G89"/>
    <mergeCell ref="E90:G90"/>
    <mergeCell ref="E79:G79"/>
    <mergeCell ref="E80:G80"/>
    <mergeCell ref="E81:G81"/>
    <mergeCell ref="E82:G82"/>
    <mergeCell ref="E83:G83"/>
    <mergeCell ref="E84:G84"/>
    <mergeCell ref="E97:G97"/>
    <mergeCell ref="E98:G98"/>
    <mergeCell ref="E99:G99"/>
    <mergeCell ref="E100:G100"/>
    <mergeCell ref="E101:G101"/>
    <mergeCell ref="E102:G102"/>
    <mergeCell ref="E91:G91"/>
    <mergeCell ref="E92:G92"/>
    <mergeCell ref="E93:G93"/>
    <mergeCell ref="E94:G94"/>
    <mergeCell ref="E95:G95"/>
    <mergeCell ref="E96:G96"/>
    <mergeCell ref="E115:G115"/>
    <mergeCell ref="E116:G116"/>
    <mergeCell ref="E109:G109"/>
    <mergeCell ref="E110:G110"/>
    <mergeCell ref="E111:G111"/>
    <mergeCell ref="E112:G112"/>
    <mergeCell ref="E113:G113"/>
    <mergeCell ref="E114:G114"/>
    <mergeCell ref="E103:G103"/>
    <mergeCell ref="E104:G104"/>
    <mergeCell ref="E105:G105"/>
    <mergeCell ref="E106:G106"/>
    <mergeCell ref="E107:G107"/>
    <mergeCell ref="E108:G108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5"/>
  <sheetViews>
    <sheetView workbookViewId="0">
      <selection sqref="A1:XFD1048576"/>
    </sheetView>
  </sheetViews>
  <sheetFormatPr defaultRowHeight="16.5" x14ac:dyDescent="0.3"/>
  <cols>
    <col min="2" max="2" width="11.5" customWidth="1"/>
    <col min="3" max="3" width="11.75" customWidth="1"/>
    <col min="4" max="4" width="14.375" customWidth="1"/>
    <col min="5" max="5" width="13.5" customWidth="1"/>
  </cols>
  <sheetData>
    <row r="1" spans="1:5" ht="27.75" customHeight="1" thickBot="1" x14ac:dyDescent="0.35">
      <c r="A1" s="59"/>
      <c r="B1" s="45" t="s">
        <v>1818</v>
      </c>
      <c r="C1" s="44" t="s">
        <v>1</v>
      </c>
      <c r="D1" s="44" t="s">
        <v>2</v>
      </c>
      <c r="E1" s="7" t="s">
        <v>1819</v>
      </c>
    </row>
    <row r="2" spans="1:5" x14ac:dyDescent="0.3">
      <c r="A2" s="61">
        <v>1</v>
      </c>
      <c r="B2" s="39" t="s">
        <v>1820</v>
      </c>
      <c r="C2" s="37">
        <v>11269</v>
      </c>
      <c r="D2" s="37" t="s">
        <v>1821</v>
      </c>
      <c r="E2" s="28"/>
    </row>
    <row r="3" spans="1:5" x14ac:dyDescent="0.3">
      <c r="A3" s="62">
        <v>2</v>
      </c>
      <c r="B3" s="31" t="s">
        <v>1822</v>
      </c>
      <c r="C3" s="37">
        <v>11270</v>
      </c>
      <c r="D3" s="26" t="s">
        <v>1823</v>
      </c>
      <c r="E3" s="27" t="s">
        <v>1824</v>
      </c>
    </row>
    <row r="4" spans="1:5" x14ac:dyDescent="0.3">
      <c r="A4" s="62">
        <v>3</v>
      </c>
      <c r="B4" s="31" t="s">
        <v>1825</v>
      </c>
      <c r="C4" s="37">
        <v>11271</v>
      </c>
      <c r="D4" s="26" t="s">
        <v>1826</v>
      </c>
      <c r="E4" s="27" t="s">
        <v>1824</v>
      </c>
    </row>
    <row r="5" spans="1:5" x14ac:dyDescent="0.3">
      <c r="A5" s="62">
        <v>4</v>
      </c>
      <c r="B5" s="31" t="s">
        <v>1827</v>
      </c>
      <c r="C5" s="37">
        <v>11272</v>
      </c>
      <c r="D5" s="26" t="s">
        <v>1828</v>
      </c>
      <c r="E5" s="27" t="s">
        <v>1824</v>
      </c>
    </row>
    <row r="6" spans="1:5" x14ac:dyDescent="0.3">
      <c r="A6" s="62">
        <v>5</v>
      </c>
      <c r="B6" s="31" t="s">
        <v>1829</v>
      </c>
      <c r="C6" s="37">
        <v>11273</v>
      </c>
      <c r="D6" s="26" t="s">
        <v>1830</v>
      </c>
      <c r="E6" s="27" t="s">
        <v>1824</v>
      </c>
    </row>
    <row r="7" spans="1:5" x14ac:dyDescent="0.3">
      <c r="A7" s="62">
        <v>6</v>
      </c>
      <c r="B7" s="31" t="s">
        <v>1831</v>
      </c>
      <c r="C7" s="37">
        <v>11274</v>
      </c>
      <c r="D7" s="26" t="s">
        <v>1832</v>
      </c>
      <c r="E7" s="27"/>
    </row>
    <row r="8" spans="1:5" x14ac:dyDescent="0.3">
      <c r="A8" s="62">
        <v>7</v>
      </c>
      <c r="B8" s="31" t="s">
        <v>1833</v>
      </c>
      <c r="C8" s="37">
        <v>11275</v>
      </c>
      <c r="D8" s="26" t="s">
        <v>1835</v>
      </c>
      <c r="E8" s="27" t="s">
        <v>1834</v>
      </c>
    </row>
    <row r="9" spans="1:5" x14ac:dyDescent="0.3">
      <c r="A9" s="62">
        <v>8</v>
      </c>
      <c r="B9" s="31" t="s">
        <v>1836</v>
      </c>
      <c r="C9" s="37">
        <v>11276</v>
      </c>
      <c r="D9" s="26" t="s">
        <v>1837</v>
      </c>
      <c r="E9" s="27" t="s">
        <v>1824</v>
      </c>
    </row>
    <row r="10" spans="1:5" x14ac:dyDescent="0.3">
      <c r="A10" s="62">
        <v>9</v>
      </c>
      <c r="B10" s="31" t="s">
        <v>1838</v>
      </c>
      <c r="C10" s="37">
        <v>11277</v>
      </c>
      <c r="D10" s="26" t="s">
        <v>1839</v>
      </c>
      <c r="E10" s="27" t="s">
        <v>1840</v>
      </c>
    </row>
    <row r="11" spans="1:5" x14ac:dyDescent="0.3">
      <c r="A11" s="62">
        <v>10</v>
      </c>
      <c r="B11" s="31" t="s">
        <v>1841</v>
      </c>
      <c r="C11" s="37">
        <v>11278</v>
      </c>
      <c r="D11" s="26" t="s">
        <v>1842</v>
      </c>
      <c r="E11" s="27" t="s">
        <v>1843</v>
      </c>
    </row>
    <row r="12" spans="1:5" x14ac:dyDescent="0.3">
      <c r="A12" s="62">
        <v>11</v>
      </c>
      <c r="B12" s="31" t="s">
        <v>1844</v>
      </c>
      <c r="C12" s="37">
        <v>11279</v>
      </c>
      <c r="D12" s="26" t="s">
        <v>1845</v>
      </c>
      <c r="E12" s="27" t="s">
        <v>1824</v>
      </c>
    </row>
    <row r="13" spans="1:5" x14ac:dyDescent="0.3">
      <c r="A13" s="62">
        <v>12</v>
      </c>
      <c r="B13" s="31" t="s">
        <v>1846</v>
      </c>
      <c r="C13" s="37">
        <v>11280</v>
      </c>
      <c r="D13" s="26" t="s">
        <v>1847</v>
      </c>
      <c r="E13" s="27"/>
    </row>
    <row r="14" spans="1:5" x14ac:dyDescent="0.3">
      <c r="A14" s="62">
        <v>13</v>
      </c>
      <c r="B14" s="31" t="s">
        <v>1838</v>
      </c>
      <c r="C14" s="37">
        <v>11281</v>
      </c>
      <c r="D14" s="26" t="s">
        <v>1848</v>
      </c>
      <c r="E14" s="27" t="s">
        <v>1824</v>
      </c>
    </row>
    <row r="15" spans="1:5" x14ac:dyDescent="0.3">
      <c r="A15" s="62">
        <v>14</v>
      </c>
      <c r="B15" s="31" t="s">
        <v>1849</v>
      </c>
      <c r="C15" s="37">
        <v>11282</v>
      </c>
      <c r="D15" s="26" t="s">
        <v>1850</v>
      </c>
      <c r="E15" s="27" t="s">
        <v>1840</v>
      </c>
    </row>
    <row r="16" spans="1:5" x14ac:dyDescent="0.3">
      <c r="A16" s="62">
        <v>15</v>
      </c>
      <c r="B16" s="31" t="s">
        <v>1851</v>
      </c>
      <c r="C16" s="37">
        <v>11283</v>
      </c>
      <c r="D16" s="26" t="s">
        <v>1852</v>
      </c>
      <c r="E16" s="27" t="s">
        <v>1824</v>
      </c>
    </row>
    <row r="17" spans="1:5" x14ac:dyDescent="0.3">
      <c r="A17" s="62">
        <v>16</v>
      </c>
      <c r="B17" s="31" t="s">
        <v>1853</v>
      </c>
      <c r="C17" s="37">
        <v>11284</v>
      </c>
      <c r="D17" s="26" t="s">
        <v>1854</v>
      </c>
      <c r="E17" s="27" t="s">
        <v>1855</v>
      </c>
    </row>
    <row r="18" spans="1:5" x14ac:dyDescent="0.3">
      <c r="A18" s="62">
        <v>17</v>
      </c>
      <c r="B18" s="31" t="s">
        <v>1856</v>
      </c>
      <c r="C18" s="37">
        <v>11285</v>
      </c>
      <c r="D18" s="26" t="s">
        <v>1857</v>
      </c>
      <c r="E18" s="27" t="s">
        <v>1824</v>
      </c>
    </row>
    <row r="19" spans="1:5" x14ac:dyDescent="0.3">
      <c r="A19" s="62">
        <v>18</v>
      </c>
      <c r="B19" s="31" t="s">
        <v>1858</v>
      </c>
      <c r="C19" s="37">
        <v>11286</v>
      </c>
      <c r="D19" s="26" t="s">
        <v>1859</v>
      </c>
      <c r="E19" s="27" t="s">
        <v>1824</v>
      </c>
    </row>
    <row r="20" spans="1:5" x14ac:dyDescent="0.3">
      <c r="A20" s="62">
        <v>19</v>
      </c>
      <c r="B20" s="31" t="s">
        <v>1860</v>
      </c>
      <c r="C20" s="37">
        <v>11287</v>
      </c>
      <c r="D20" s="26" t="s">
        <v>1861</v>
      </c>
      <c r="E20" s="27" t="s">
        <v>1824</v>
      </c>
    </row>
    <row r="21" spans="1:5" x14ac:dyDescent="0.3">
      <c r="A21" s="62">
        <v>20</v>
      </c>
      <c r="B21" s="31" t="s">
        <v>1862</v>
      </c>
      <c r="C21" s="37">
        <v>11288</v>
      </c>
      <c r="D21" s="26" t="s">
        <v>1863</v>
      </c>
      <c r="E21" s="27" t="s">
        <v>1855</v>
      </c>
    </row>
    <row r="22" spans="1:5" x14ac:dyDescent="0.3">
      <c r="A22" s="62">
        <v>21</v>
      </c>
      <c r="B22" s="31" t="s">
        <v>1864</v>
      </c>
      <c r="C22" s="37">
        <v>11289</v>
      </c>
      <c r="D22" s="26" t="s">
        <v>1865</v>
      </c>
      <c r="E22" s="27" t="s">
        <v>1840</v>
      </c>
    </row>
    <row r="23" spans="1:5" x14ac:dyDescent="0.3">
      <c r="A23" s="62">
        <v>22</v>
      </c>
      <c r="B23" s="31" t="s">
        <v>1866</v>
      </c>
      <c r="C23" s="37">
        <v>11290</v>
      </c>
      <c r="D23" s="26" t="s">
        <v>1867</v>
      </c>
      <c r="E23" s="27" t="s">
        <v>1868</v>
      </c>
    </row>
    <row r="24" spans="1:5" x14ac:dyDescent="0.3">
      <c r="A24" s="62">
        <v>23</v>
      </c>
      <c r="B24" s="31" t="s">
        <v>1869</v>
      </c>
      <c r="C24" s="37">
        <v>11291</v>
      </c>
      <c r="D24" s="26" t="s">
        <v>1870</v>
      </c>
      <c r="E24" s="27" t="s">
        <v>1824</v>
      </c>
    </row>
    <row r="25" spans="1:5" x14ac:dyDescent="0.3">
      <c r="A25" s="62">
        <v>24</v>
      </c>
      <c r="B25" s="31" t="s">
        <v>1871</v>
      </c>
      <c r="C25" s="37">
        <v>11292</v>
      </c>
      <c r="D25" s="26" t="s">
        <v>1872</v>
      </c>
      <c r="E25" s="27" t="s">
        <v>1824</v>
      </c>
    </row>
    <row r="26" spans="1:5" x14ac:dyDescent="0.3">
      <c r="A26" s="62">
        <v>25</v>
      </c>
      <c r="B26" s="31" t="s">
        <v>1873</v>
      </c>
      <c r="C26" s="37">
        <v>11293</v>
      </c>
      <c r="D26" s="26" t="s">
        <v>1874</v>
      </c>
      <c r="E26" s="27" t="s">
        <v>1824</v>
      </c>
    </row>
    <row r="27" spans="1:5" x14ac:dyDescent="0.3">
      <c r="A27" s="62">
        <v>26</v>
      </c>
      <c r="B27" s="31" t="s">
        <v>1875</v>
      </c>
      <c r="C27" s="37">
        <v>11294</v>
      </c>
      <c r="D27" s="26" t="s">
        <v>1876</v>
      </c>
      <c r="E27" s="27" t="s">
        <v>1877</v>
      </c>
    </row>
    <row r="28" spans="1:5" x14ac:dyDescent="0.3">
      <c r="A28" s="62">
        <v>27</v>
      </c>
      <c r="B28" s="31" t="s">
        <v>1878</v>
      </c>
      <c r="C28" s="37">
        <v>11295</v>
      </c>
      <c r="D28" s="26" t="s">
        <v>1879</v>
      </c>
      <c r="E28" s="27" t="s">
        <v>1840</v>
      </c>
    </row>
    <row r="29" spans="1:5" x14ac:dyDescent="0.3">
      <c r="A29" s="62">
        <v>28</v>
      </c>
      <c r="B29" s="31" t="s">
        <v>1880</v>
      </c>
      <c r="C29" s="37">
        <v>11296</v>
      </c>
      <c r="D29" s="26" t="s">
        <v>1881</v>
      </c>
      <c r="E29" s="27" t="s">
        <v>1824</v>
      </c>
    </row>
    <row r="30" spans="1:5" x14ac:dyDescent="0.3">
      <c r="A30" s="62">
        <v>29</v>
      </c>
      <c r="B30" s="31" t="s">
        <v>1882</v>
      </c>
      <c r="C30" s="37">
        <v>11297</v>
      </c>
      <c r="D30" s="26" t="s">
        <v>1883</v>
      </c>
      <c r="E30" s="27" t="s">
        <v>1855</v>
      </c>
    </row>
    <row r="31" spans="1:5" x14ac:dyDescent="0.3">
      <c r="A31" s="62">
        <v>30</v>
      </c>
      <c r="B31" s="31" t="s">
        <v>1884</v>
      </c>
      <c r="C31" s="37">
        <v>11298</v>
      </c>
      <c r="D31" s="26" t="s">
        <v>1885</v>
      </c>
      <c r="E31" s="27" t="s">
        <v>1824</v>
      </c>
    </row>
    <row r="32" spans="1:5" x14ac:dyDescent="0.3">
      <c r="A32" s="62">
        <v>31</v>
      </c>
      <c r="B32" s="31" t="s">
        <v>1886</v>
      </c>
      <c r="C32" s="37">
        <v>11299</v>
      </c>
      <c r="D32" s="26" t="s">
        <v>1887</v>
      </c>
      <c r="E32" s="27" t="s">
        <v>1888</v>
      </c>
    </row>
    <row r="33" spans="1:5" x14ac:dyDescent="0.3">
      <c r="A33" s="62">
        <v>32</v>
      </c>
      <c r="B33" s="31" t="s">
        <v>1889</v>
      </c>
      <c r="C33" s="37">
        <v>11300</v>
      </c>
      <c r="D33" s="26" t="s">
        <v>1890</v>
      </c>
      <c r="E33" s="27" t="s">
        <v>1824</v>
      </c>
    </row>
    <row r="34" spans="1:5" x14ac:dyDescent="0.3">
      <c r="A34" s="62">
        <v>33</v>
      </c>
      <c r="B34" s="31" t="s">
        <v>1891</v>
      </c>
      <c r="C34" s="37">
        <v>11301</v>
      </c>
      <c r="D34" s="26" t="s">
        <v>1892</v>
      </c>
      <c r="E34" s="27" t="s">
        <v>1824</v>
      </c>
    </row>
    <row r="35" spans="1:5" x14ac:dyDescent="0.3">
      <c r="A35" s="62">
        <v>34</v>
      </c>
      <c r="B35" s="31" t="s">
        <v>1893</v>
      </c>
      <c r="C35" s="37">
        <v>11302</v>
      </c>
      <c r="D35" s="26" t="s">
        <v>1894</v>
      </c>
      <c r="E35" s="27" t="s">
        <v>1824</v>
      </c>
    </row>
    <row r="36" spans="1:5" x14ac:dyDescent="0.3">
      <c r="A36" s="62">
        <v>35</v>
      </c>
      <c r="B36" s="31" t="s">
        <v>1895</v>
      </c>
      <c r="C36" s="37">
        <v>11303</v>
      </c>
      <c r="D36" s="26" t="s">
        <v>1896</v>
      </c>
      <c r="E36" s="27" t="s">
        <v>1897</v>
      </c>
    </row>
    <row r="37" spans="1:5" x14ac:dyDescent="0.3">
      <c r="A37" s="62">
        <v>36</v>
      </c>
      <c r="B37" s="31" t="s">
        <v>1898</v>
      </c>
      <c r="C37" s="37">
        <v>11304</v>
      </c>
      <c r="D37" s="26" t="s">
        <v>1899</v>
      </c>
      <c r="E37" s="27" t="s">
        <v>1824</v>
      </c>
    </row>
    <row r="38" spans="1:5" x14ac:dyDescent="0.3">
      <c r="A38" s="62">
        <v>37</v>
      </c>
      <c r="B38" s="31" t="s">
        <v>1900</v>
      </c>
      <c r="C38" s="37">
        <v>11305</v>
      </c>
      <c r="D38" s="26" t="s">
        <v>1901</v>
      </c>
      <c r="E38" s="27" t="s">
        <v>1902</v>
      </c>
    </row>
    <row r="39" spans="1:5" x14ac:dyDescent="0.3">
      <c r="A39" s="62">
        <v>38</v>
      </c>
      <c r="B39" s="31" t="s">
        <v>1903</v>
      </c>
      <c r="C39" s="37">
        <v>11306</v>
      </c>
      <c r="D39" s="26" t="s">
        <v>1904</v>
      </c>
      <c r="E39" s="27" t="s">
        <v>1824</v>
      </c>
    </row>
    <row r="40" spans="1:5" x14ac:dyDescent="0.3">
      <c r="A40" s="62">
        <v>39</v>
      </c>
      <c r="B40" s="31" t="s">
        <v>1905</v>
      </c>
      <c r="C40" s="37">
        <v>11307</v>
      </c>
      <c r="D40" s="26" t="s">
        <v>1906</v>
      </c>
      <c r="E40" s="27" t="s">
        <v>1824</v>
      </c>
    </row>
    <row r="41" spans="1:5" x14ac:dyDescent="0.3">
      <c r="A41" s="62">
        <v>40</v>
      </c>
      <c r="B41" s="31" t="s">
        <v>1907</v>
      </c>
      <c r="C41" s="37">
        <v>11308</v>
      </c>
      <c r="D41" s="26" t="s">
        <v>1908</v>
      </c>
      <c r="E41" s="27" t="s">
        <v>1855</v>
      </c>
    </row>
    <row r="42" spans="1:5" x14ac:dyDescent="0.3">
      <c r="A42" s="62">
        <v>41</v>
      </c>
      <c r="B42" s="31" t="s">
        <v>1869</v>
      </c>
      <c r="C42" s="37">
        <v>11309</v>
      </c>
      <c r="D42" s="26" t="s">
        <v>1909</v>
      </c>
      <c r="E42" s="27" t="s">
        <v>1877</v>
      </c>
    </row>
    <row r="43" spans="1:5" x14ac:dyDescent="0.3">
      <c r="A43" s="62">
        <v>42</v>
      </c>
      <c r="B43" s="31" t="s">
        <v>1910</v>
      </c>
      <c r="C43" s="37">
        <v>11310</v>
      </c>
      <c r="D43" s="26" t="s">
        <v>1911</v>
      </c>
      <c r="E43" s="27" t="s">
        <v>1877</v>
      </c>
    </row>
    <row r="44" spans="1:5" x14ac:dyDescent="0.3">
      <c r="A44" s="62">
        <v>43</v>
      </c>
      <c r="B44" s="31" t="s">
        <v>1912</v>
      </c>
      <c r="C44" s="37">
        <v>11311</v>
      </c>
      <c r="D44" s="26" t="s">
        <v>1913</v>
      </c>
      <c r="E44" s="27"/>
    </row>
    <row r="45" spans="1:5" x14ac:dyDescent="0.3">
      <c r="A45" s="62">
        <v>44</v>
      </c>
      <c r="B45" s="31" t="s">
        <v>1914</v>
      </c>
      <c r="C45" s="37">
        <v>11312</v>
      </c>
      <c r="D45" s="26" t="s">
        <v>1915</v>
      </c>
      <c r="E45" s="27"/>
    </row>
    <row r="46" spans="1:5" x14ac:dyDescent="0.3">
      <c r="A46" s="62">
        <v>45</v>
      </c>
      <c r="B46" s="31" t="s">
        <v>1916</v>
      </c>
      <c r="C46" s="37">
        <v>11313</v>
      </c>
      <c r="D46" s="26" t="s">
        <v>1917</v>
      </c>
      <c r="E46" s="27" t="s">
        <v>1918</v>
      </c>
    </row>
    <row r="47" spans="1:5" x14ac:dyDescent="0.3">
      <c r="A47" s="62">
        <v>46</v>
      </c>
      <c r="B47" s="31" t="s">
        <v>1919</v>
      </c>
      <c r="C47" s="37">
        <v>11314</v>
      </c>
      <c r="D47" s="26" t="s">
        <v>1920</v>
      </c>
      <c r="E47" s="27" t="s">
        <v>1840</v>
      </c>
    </row>
    <row r="48" spans="1:5" x14ac:dyDescent="0.3">
      <c r="A48" s="62">
        <v>47</v>
      </c>
      <c r="B48" s="31" t="s">
        <v>1921</v>
      </c>
      <c r="C48" s="37">
        <v>11315</v>
      </c>
      <c r="D48" s="26" t="s">
        <v>1922</v>
      </c>
      <c r="E48" s="27"/>
    </row>
    <row r="49" spans="1:5" x14ac:dyDescent="0.3">
      <c r="A49" s="62">
        <v>48</v>
      </c>
      <c r="B49" s="31" t="s">
        <v>1923</v>
      </c>
      <c r="C49" s="37">
        <v>11316</v>
      </c>
      <c r="D49" s="26" t="s">
        <v>1924</v>
      </c>
      <c r="E49" s="27"/>
    </row>
    <row r="50" spans="1:5" x14ac:dyDescent="0.3">
      <c r="A50" s="62">
        <v>49</v>
      </c>
      <c r="B50" s="31" t="s">
        <v>1926</v>
      </c>
      <c r="C50" s="37">
        <v>11317</v>
      </c>
      <c r="D50" s="26" t="s">
        <v>1925</v>
      </c>
      <c r="E50" s="27"/>
    </row>
    <row r="51" spans="1:5" x14ac:dyDescent="0.3">
      <c r="A51" s="62">
        <v>50</v>
      </c>
      <c r="B51" s="31" t="s">
        <v>1927</v>
      </c>
      <c r="C51" s="37">
        <v>11318</v>
      </c>
      <c r="D51" s="26" t="s">
        <v>1928</v>
      </c>
      <c r="E51" s="27"/>
    </row>
    <row r="52" spans="1:5" x14ac:dyDescent="0.3">
      <c r="A52" s="62">
        <v>51</v>
      </c>
      <c r="B52" s="31" t="s">
        <v>1929</v>
      </c>
      <c r="C52" s="37">
        <v>11319</v>
      </c>
      <c r="D52" s="26" t="s">
        <v>1930</v>
      </c>
      <c r="E52" s="27" t="s">
        <v>1931</v>
      </c>
    </row>
    <row r="53" spans="1:5" x14ac:dyDescent="0.3">
      <c r="A53" s="62">
        <v>52</v>
      </c>
      <c r="B53" s="31" t="s">
        <v>1215</v>
      </c>
      <c r="C53" s="37">
        <v>11320</v>
      </c>
      <c r="D53" s="26" t="s">
        <v>1932</v>
      </c>
      <c r="E53" s="27" t="s">
        <v>1933</v>
      </c>
    </row>
    <row r="54" spans="1:5" x14ac:dyDescent="0.3">
      <c r="A54" s="62">
        <v>53</v>
      </c>
      <c r="B54" s="31" t="s">
        <v>1934</v>
      </c>
      <c r="C54" s="37">
        <v>11321</v>
      </c>
      <c r="D54" s="26" t="s">
        <v>1935</v>
      </c>
      <c r="E54" s="27" t="s">
        <v>1936</v>
      </c>
    </row>
    <row r="55" spans="1:5" x14ac:dyDescent="0.3">
      <c r="A55" s="62">
        <v>54</v>
      </c>
      <c r="B55" s="31" t="s">
        <v>1937</v>
      </c>
      <c r="C55" s="37">
        <v>11322</v>
      </c>
      <c r="D55" s="26" t="s">
        <v>1938</v>
      </c>
      <c r="E55" s="27" t="s">
        <v>1939</v>
      </c>
    </row>
    <row r="56" spans="1:5" x14ac:dyDescent="0.3">
      <c r="A56" s="62">
        <v>55</v>
      </c>
      <c r="B56" s="31"/>
      <c r="C56" s="26"/>
      <c r="D56" s="26"/>
      <c r="E56" s="27"/>
    </row>
    <row r="57" spans="1:5" x14ac:dyDescent="0.3">
      <c r="A57" s="62">
        <v>56</v>
      </c>
      <c r="B57" s="31"/>
      <c r="C57" s="26"/>
      <c r="D57" s="26"/>
      <c r="E57" s="27"/>
    </row>
    <row r="58" spans="1:5" x14ac:dyDescent="0.3">
      <c r="A58" s="62">
        <v>57</v>
      </c>
      <c r="B58" s="31"/>
      <c r="C58" s="26"/>
      <c r="D58" s="26"/>
      <c r="E58" s="27"/>
    </row>
    <row r="59" spans="1:5" x14ac:dyDescent="0.3">
      <c r="A59" s="62">
        <v>58</v>
      </c>
      <c r="B59" s="16"/>
      <c r="C59" s="4"/>
      <c r="D59" s="4"/>
      <c r="E59" s="20"/>
    </row>
    <row r="60" spans="1:5" x14ac:dyDescent="0.3">
      <c r="A60" s="62">
        <v>59</v>
      </c>
      <c r="B60" s="16"/>
      <c r="C60" s="4"/>
      <c r="D60" s="4"/>
      <c r="E60" s="20"/>
    </row>
    <row r="61" spans="1:5" x14ac:dyDescent="0.3">
      <c r="A61" s="62">
        <v>60</v>
      </c>
      <c r="B61" s="16"/>
      <c r="C61" s="4"/>
      <c r="D61" s="4"/>
      <c r="E61" s="20"/>
    </row>
    <row r="62" spans="1:5" x14ac:dyDescent="0.3">
      <c r="A62" s="62">
        <v>61</v>
      </c>
      <c r="B62" s="16"/>
      <c r="C62" s="4"/>
      <c r="D62" s="4"/>
      <c r="E62" s="20"/>
    </row>
    <row r="63" spans="1:5" x14ac:dyDescent="0.3">
      <c r="A63" s="62">
        <v>62</v>
      </c>
      <c r="B63" s="16"/>
      <c r="C63" s="4"/>
      <c r="D63" s="4"/>
      <c r="E63" s="20"/>
    </row>
    <row r="64" spans="1:5" x14ac:dyDescent="0.3">
      <c r="A64" s="62">
        <v>63</v>
      </c>
      <c r="B64" s="16"/>
      <c r="C64" s="4"/>
      <c r="D64" s="4"/>
      <c r="E64" s="20"/>
    </row>
    <row r="65" spans="1:5" x14ac:dyDescent="0.3">
      <c r="A65" s="62">
        <v>64</v>
      </c>
      <c r="B65" s="16"/>
      <c r="C65" s="4"/>
      <c r="D65" s="4"/>
      <c r="E65" s="20"/>
    </row>
    <row r="66" spans="1:5" x14ac:dyDescent="0.3">
      <c r="A66" s="62">
        <v>65</v>
      </c>
      <c r="B66" s="16"/>
      <c r="C66" s="4"/>
      <c r="D66" s="4"/>
      <c r="E66" s="20"/>
    </row>
    <row r="67" spans="1:5" x14ac:dyDescent="0.3">
      <c r="A67" s="62">
        <v>66</v>
      </c>
      <c r="B67" s="16"/>
      <c r="C67" s="4"/>
      <c r="D67" s="4"/>
      <c r="E67" s="20"/>
    </row>
    <row r="68" spans="1:5" x14ac:dyDescent="0.3">
      <c r="A68" s="62">
        <v>67</v>
      </c>
      <c r="B68" s="16"/>
      <c r="C68" s="4"/>
      <c r="D68" s="4"/>
      <c r="E68" s="20"/>
    </row>
    <row r="69" spans="1:5" x14ac:dyDescent="0.3">
      <c r="A69" s="62">
        <v>68</v>
      </c>
      <c r="B69" s="16"/>
      <c r="C69" s="4"/>
      <c r="D69" s="4"/>
      <c r="E69" s="20"/>
    </row>
    <row r="70" spans="1:5" x14ac:dyDescent="0.3">
      <c r="A70" s="62">
        <v>69</v>
      </c>
      <c r="B70" s="16"/>
      <c r="C70" s="4"/>
      <c r="D70" s="4"/>
      <c r="E70" s="20"/>
    </row>
    <row r="71" spans="1:5" x14ac:dyDescent="0.3">
      <c r="A71" s="62">
        <v>70</v>
      </c>
      <c r="B71" s="16"/>
      <c r="C71" s="4"/>
      <c r="D71" s="4"/>
      <c r="E71" s="20"/>
    </row>
    <row r="72" spans="1:5" x14ac:dyDescent="0.3">
      <c r="A72" s="62">
        <v>71</v>
      </c>
      <c r="B72" s="16"/>
      <c r="C72" s="4"/>
      <c r="D72" s="4"/>
      <c r="E72" s="20"/>
    </row>
    <row r="73" spans="1:5" x14ac:dyDescent="0.3">
      <c r="A73" s="62">
        <v>72</v>
      </c>
      <c r="B73" s="16"/>
      <c r="C73" s="4"/>
      <c r="D73" s="4"/>
      <c r="E73" s="20"/>
    </row>
    <row r="74" spans="1:5" x14ac:dyDescent="0.3">
      <c r="A74" s="62">
        <v>73</v>
      </c>
      <c r="B74" s="16"/>
      <c r="C74" s="4"/>
      <c r="D74" s="4"/>
      <c r="E74" s="20"/>
    </row>
    <row r="75" spans="1:5" ht="17.25" thickBot="1" x14ac:dyDescent="0.35">
      <c r="A75" s="62">
        <v>74</v>
      </c>
      <c r="B75" s="60"/>
      <c r="C75" s="15"/>
      <c r="D75" s="15"/>
      <c r="E75" s="54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9"/>
  <sheetViews>
    <sheetView workbookViewId="0">
      <selection sqref="A1:XFD1048576"/>
    </sheetView>
  </sheetViews>
  <sheetFormatPr defaultRowHeight="16.5" x14ac:dyDescent="0.3"/>
  <cols>
    <col min="1" max="1" width="9" style="21"/>
    <col min="2" max="2" width="11.5" style="21" customWidth="1"/>
    <col min="3" max="3" width="11.75" style="21" customWidth="1"/>
    <col min="4" max="4" width="14.375" style="21" customWidth="1"/>
    <col min="5" max="5" width="13.5" style="21" customWidth="1"/>
    <col min="6" max="16384" width="9" style="21"/>
  </cols>
  <sheetData>
    <row r="1" spans="1:5" ht="27.75" customHeight="1" x14ac:dyDescent="0.3">
      <c r="A1" s="42"/>
      <c r="B1" s="41" t="s">
        <v>1818</v>
      </c>
      <c r="C1" s="41" t="s">
        <v>1</v>
      </c>
      <c r="D1" s="41" t="s">
        <v>2</v>
      </c>
      <c r="E1" s="63" t="s">
        <v>1819</v>
      </c>
    </row>
    <row r="2" spans="1:5" x14ac:dyDescent="0.3">
      <c r="A2" s="64">
        <v>1</v>
      </c>
      <c r="B2" s="26" t="s">
        <v>97</v>
      </c>
      <c r="C2" s="26">
        <v>11323</v>
      </c>
      <c r="D2" s="26" t="s">
        <v>1941</v>
      </c>
      <c r="E2" s="27" t="s">
        <v>323</v>
      </c>
    </row>
    <row r="3" spans="1:5" x14ac:dyDescent="0.3">
      <c r="A3" s="64">
        <v>2</v>
      </c>
      <c r="B3" s="26" t="s">
        <v>441</v>
      </c>
      <c r="C3" s="26">
        <v>11324</v>
      </c>
      <c r="D3" s="26" t="s">
        <v>1940</v>
      </c>
      <c r="E3" s="27" t="s">
        <v>192</v>
      </c>
    </row>
    <row r="4" spans="1:5" x14ac:dyDescent="0.3">
      <c r="A4" s="64">
        <v>3</v>
      </c>
      <c r="B4" s="26" t="s">
        <v>1942</v>
      </c>
      <c r="C4" s="26">
        <v>11325</v>
      </c>
      <c r="D4" s="26" t="s">
        <v>1943</v>
      </c>
      <c r="E4" s="27" t="s">
        <v>1944</v>
      </c>
    </row>
    <row r="5" spans="1:5" x14ac:dyDescent="0.3">
      <c r="A5" s="64">
        <v>4</v>
      </c>
      <c r="B5" s="26" t="s">
        <v>1666</v>
      </c>
      <c r="C5" s="26">
        <v>11326</v>
      </c>
      <c r="D5" s="26" t="s">
        <v>1945</v>
      </c>
      <c r="E5" s="27" t="s">
        <v>28</v>
      </c>
    </row>
    <row r="6" spans="1:5" x14ac:dyDescent="0.3">
      <c r="A6" s="64">
        <v>5</v>
      </c>
      <c r="B6" s="26" t="s">
        <v>179</v>
      </c>
      <c r="C6" s="26">
        <v>11327</v>
      </c>
      <c r="D6" s="26" t="s">
        <v>1946</v>
      </c>
      <c r="E6" s="27" t="s">
        <v>323</v>
      </c>
    </row>
    <row r="7" spans="1:5" x14ac:dyDescent="0.3">
      <c r="A7" s="64">
        <v>6</v>
      </c>
      <c r="B7" s="26" t="s">
        <v>1947</v>
      </c>
      <c r="C7" s="26">
        <v>11328</v>
      </c>
      <c r="D7" s="26" t="s">
        <v>1948</v>
      </c>
      <c r="E7" s="27" t="s">
        <v>1949</v>
      </c>
    </row>
    <row r="8" spans="1:5" x14ac:dyDescent="0.3">
      <c r="A8" s="64">
        <v>7</v>
      </c>
      <c r="B8" s="26" t="s">
        <v>1950</v>
      </c>
      <c r="C8" s="26">
        <v>11329</v>
      </c>
      <c r="D8" s="26" t="s">
        <v>1951</v>
      </c>
      <c r="E8" s="27" t="s">
        <v>1888</v>
      </c>
    </row>
    <row r="9" spans="1:5" x14ac:dyDescent="0.3">
      <c r="A9" s="64">
        <v>8</v>
      </c>
      <c r="B9" s="26" t="s">
        <v>925</v>
      </c>
      <c r="C9" s="26">
        <v>11330</v>
      </c>
      <c r="D9" s="26" t="s">
        <v>1952</v>
      </c>
      <c r="E9" s="27"/>
    </row>
    <row r="10" spans="1:5" x14ac:dyDescent="0.3">
      <c r="A10" s="64">
        <v>9</v>
      </c>
      <c r="B10" s="26" t="s">
        <v>1448</v>
      </c>
      <c r="C10" s="26">
        <v>11331</v>
      </c>
      <c r="D10" s="26" t="s">
        <v>1631</v>
      </c>
      <c r="E10" s="27" t="s">
        <v>28</v>
      </c>
    </row>
    <row r="11" spans="1:5" x14ac:dyDescent="0.3">
      <c r="A11" s="64">
        <v>10</v>
      </c>
      <c r="B11" s="26" t="s">
        <v>1953</v>
      </c>
      <c r="C11" s="26">
        <v>11332</v>
      </c>
      <c r="D11" s="26" t="s">
        <v>1954</v>
      </c>
      <c r="E11" s="27" t="s">
        <v>28</v>
      </c>
    </row>
    <row r="12" spans="1:5" x14ac:dyDescent="0.3">
      <c r="A12" s="64">
        <v>11</v>
      </c>
      <c r="B12" s="26" t="s">
        <v>1955</v>
      </c>
      <c r="C12" s="26">
        <v>11333</v>
      </c>
      <c r="D12" s="26" t="s">
        <v>1956</v>
      </c>
      <c r="E12" s="27" t="s">
        <v>520</v>
      </c>
    </row>
    <row r="13" spans="1:5" x14ac:dyDescent="0.3">
      <c r="A13" s="64">
        <v>12</v>
      </c>
      <c r="B13" s="26" t="s">
        <v>1957</v>
      </c>
      <c r="C13" s="26">
        <v>11334</v>
      </c>
      <c r="D13" s="26" t="s">
        <v>1958</v>
      </c>
      <c r="E13" s="27" t="s">
        <v>323</v>
      </c>
    </row>
    <row r="14" spans="1:5" x14ac:dyDescent="0.3">
      <c r="A14" s="64">
        <v>13</v>
      </c>
      <c r="B14" s="26" t="s">
        <v>1959</v>
      </c>
      <c r="C14" s="26">
        <v>11335</v>
      </c>
      <c r="D14" s="26" t="s">
        <v>1005</v>
      </c>
      <c r="E14" s="27" t="s">
        <v>192</v>
      </c>
    </row>
    <row r="15" spans="1:5" x14ac:dyDescent="0.3">
      <c r="A15" s="64">
        <v>14</v>
      </c>
      <c r="B15" s="26" t="s">
        <v>1084</v>
      </c>
      <c r="C15" s="26">
        <v>11336</v>
      </c>
      <c r="D15" s="26" t="s">
        <v>1960</v>
      </c>
      <c r="E15" s="27"/>
    </row>
    <row r="16" spans="1:5" x14ac:dyDescent="0.3">
      <c r="A16" s="64">
        <v>15</v>
      </c>
      <c r="B16" s="26" t="s">
        <v>1961</v>
      </c>
      <c r="C16" s="26">
        <v>11337</v>
      </c>
      <c r="D16" s="26" t="s">
        <v>1962</v>
      </c>
      <c r="E16" s="27"/>
    </row>
    <row r="17" spans="1:5" x14ac:dyDescent="0.3">
      <c r="A17" s="64">
        <v>16</v>
      </c>
      <c r="B17" s="26" t="s">
        <v>1963</v>
      </c>
      <c r="C17" s="26">
        <v>11338</v>
      </c>
      <c r="D17" s="26" t="s">
        <v>1964</v>
      </c>
      <c r="E17" s="27" t="s">
        <v>28</v>
      </c>
    </row>
    <row r="18" spans="1:5" x14ac:dyDescent="0.3">
      <c r="A18" s="64">
        <v>17</v>
      </c>
      <c r="B18" s="26" t="s">
        <v>1474</v>
      </c>
      <c r="C18" s="26">
        <v>11339</v>
      </c>
      <c r="D18" s="26" t="s">
        <v>1965</v>
      </c>
      <c r="E18" s="27"/>
    </row>
    <row r="19" spans="1:5" x14ac:dyDescent="0.3">
      <c r="A19" s="64">
        <v>18</v>
      </c>
      <c r="B19" s="26" t="s">
        <v>1967</v>
      </c>
      <c r="C19" s="26">
        <v>11340</v>
      </c>
      <c r="D19" s="26" t="s">
        <v>1966</v>
      </c>
      <c r="E19" s="27" t="s">
        <v>28</v>
      </c>
    </row>
    <row r="20" spans="1:5" x14ac:dyDescent="0.3">
      <c r="A20" s="64">
        <v>19</v>
      </c>
      <c r="B20" s="26" t="s">
        <v>776</v>
      </c>
      <c r="C20" s="26">
        <v>11341</v>
      </c>
      <c r="D20" s="26" t="s">
        <v>1968</v>
      </c>
      <c r="E20" s="27" t="s">
        <v>323</v>
      </c>
    </row>
    <row r="21" spans="1:5" x14ac:dyDescent="0.3">
      <c r="A21" s="64">
        <v>20</v>
      </c>
      <c r="B21" s="26" t="s">
        <v>1969</v>
      </c>
      <c r="C21" s="26">
        <v>11342</v>
      </c>
      <c r="D21" s="26" t="s">
        <v>1970</v>
      </c>
      <c r="E21" s="27" t="s">
        <v>28</v>
      </c>
    </row>
    <row r="22" spans="1:5" x14ac:dyDescent="0.3">
      <c r="A22" s="64">
        <v>21</v>
      </c>
      <c r="B22" s="26" t="s">
        <v>1972</v>
      </c>
      <c r="C22" s="26">
        <v>11343</v>
      </c>
      <c r="D22" s="26" t="s">
        <v>1971</v>
      </c>
      <c r="E22" s="27" t="s">
        <v>1888</v>
      </c>
    </row>
    <row r="23" spans="1:5" x14ac:dyDescent="0.3">
      <c r="A23" s="64">
        <v>22</v>
      </c>
      <c r="B23" s="26" t="s">
        <v>1973</v>
      </c>
      <c r="C23" s="26">
        <v>11344</v>
      </c>
      <c r="D23" s="26" t="s">
        <v>544</v>
      </c>
      <c r="E23" s="27" t="s">
        <v>28</v>
      </c>
    </row>
    <row r="24" spans="1:5" x14ac:dyDescent="0.3">
      <c r="A24" s="64">
        <v>23</v>
      </c>
      <c r="B24" s="26" t="s">
        <v>318</v>
      </c>
      <c r="C24" s="26">
        <v>11345</v>
      </c>
      <c r="D24" s="26" t="s">
        <v>1974</v>
      </c>
      <c r="E24" s="27" t="s">
        <v>28</v>
      </c>
    </row>
    <row r="25" spans="1:5" x14ac:dyDescent="0.3">
      <c r="A25" s="64">
        <v>24</v>
      </c>
      <c r="B25" s="26"/>
      <c r="C25" s="26">
        <v>11346</v>
      </c>
      <c r="D25" s="26"/>
      <c r="E25" s="27"/>
    </row>
    <row r="26" spans="1:5" x14ac:dyDescent="0.3">
      <c r="A26" s="64">
        <v>25</v>
      </c>
      <c r="B26" s="26" t="s">
        <v>1977</v>
      </c>
      <c r="C26" s="26">
        <v>11347</v>
      </c>
      <c r="D26" s="26" t="s">
        <v>1978</v>
      </c>
      <c r="E26" s="27" t="s">
        <v>28</v>
      </c>
    </row>
    <row r="27" spans="1:5" x14ac:dyDescent="0.3">
      <c r="A27" s="64">
        <v>26</v>
      </c>
      <c r="B27" s="26" t="s">
        <v>1975</v>
      </c>
      <c r="C27" s="26">
        <v>11348</v>
      </c>
      <c r="D27" s="26" t="s">
        <v>1976</v>
      </c>
      <c r="E27" s="27" t="s">
        <v>28</v>
      </c>
    </row>
    <row r="28" spans="1:5" x14ac:dyDescent="0.3">
      <c r="A28" s="64">
        <v>27</v>
      </c>
      <c r="B28" s="26" t="s">
        <v>560</v>
      </c>
      <c r="C28" s="26">
        <v>11349</v>
      </c>
      <c r="D28" s="26" t="s">
        <v>1979</v>
      </c>
      <c r="E28" s="27" t="s">
        <v>28</v>
      </c>
    </row>
    <row r="29" spans="1:5" x14ac:dyDescent="0.3">
      <c r="A29" s="64">
        <v>28</v>
      </c>
      <c r="B29" s="26" t="s">
        <v>1980</v>
      </c>
      <c r="C29" s="26">
        <v>11350</v>
      </c>
      <c r="D29" s="26" t="s">
        <v>1981</v>
      </c>
      <c r="E29" s="27" t="s">
        <v>323</v>
      </c>
    </row>
    <row r="30" spans="1:5" x14ac:dyDescent="0.3">
      <c r="A30" s="64">
        <v>29</v>
      </c>
      <c r="B30" s="26" t="s">
        <v>1982</v>
      </c>
      <c r="C30" s="26">
        <v>11351</v>
      </c>
      <c r="D30" s="26" t="s">
        <v>1983</v>
      </c>
      <c r="E30" s="27" t="s">
        <v>28</v>
      </c>
    </row>
    <row r="31" spans="1:5" x14ac:dyDescent="0.3">
      <c r="A31" s="64">
        <v>30</v>
      </c>
      <c r="B31" s="26" t="s">
        <v>1984</v>
      </c>
      <c r="C31" s="26">
        <v>11352</v>
      </c>
      <c r="D31" s="26" t="s">
        <v>1985</v>
      </c>
      <c r="E31" s="27" t="s">
        <v>192</v>
      </c>
    </row>
    <row r="32" spans="1:5" x14ac:dyDescent="0.3">
      <c r="A32" s="64">
        <v>31</v>
      </c>
      <c r="B32" s="26" t="s">
        <v>1986</v>
      </c>
      <c r="C32" s="26">
        <v>11353</v>
      </c>
      <c r="D32" s="26" t="s">
        <v>1987</v>
      </c>
      <c r="E32" s="27" t="s">
        <v>192</v>
      </c>
    </row>
    <row r="33" spans="1:5" x14ac:dyDescent="0.3">
      <c r="A33" s="64">
        <v>32</v>
      </c>
      <c r="B33" s="26" t="s">
        <v>1376</v>
      </c>
      <c r="C33" s="26">
        <v>11354</v>
      </c>
      <c r="D33" s="26" t="s">
        <v>1997</v>
      </c>
      <c r="E33" s="27" t="s">
        <v>28</v>
      </c>
    </row>
    <row r="34" spans="1:5" x14ac:dyDescent="0.3">
      <c r="A34" s="64">
        <v>33</v>
      </c>
      <c r="B34" s="26" t="s">
        <v>1998</v>
      </c>
      <c r="C34" s="26">
        <v>11355</v>
      </c>
      <c r="D34" s="26" t="s">
        <v>1999</v>
      </c>
      <c r="E34" s="27" t="s">
        <v>28</v>
      </c>
    </row>
    <row r="35" spans="1:5" x14ac:dyDescent="0.3">
      <c r="A35" s="64">
        <v>34</v>
      </c>
      <c r="B35" s="26" t="s">
        <v>2000</v>
      </c>
      <c r="C35" s="26">
        <v>11356</v>
      </c>
      <c r="D35" s="26" t="s">
        <v>2001</v>
      </c>
      <c r="E35" s="27" t="s">
        <v>192</v>
      </c>
    </row>
    <row r="36" spans="1:5" x14ac:dyDescent="0.3">
      <c r="A36" s="64">
        <v>35</v>
      </c>
      <c r="B36" s="26" t="s">
        <v>1771</v>
      </c>
      <c r="C36" s="26">
        <v>11357</v>
      </c>
      <c r="D36" s="26" t="s">
        <v>701</v>
      </c>
      <c r="E36" s="27" t="s">
        <v>520</v>
      </c>
    </row>
    <row r="37" spans="1:5" x14ac:dyDescent="0.3">
      <c r="A37" s="64">
        <v>36</v>
      </c>
      <c r="B37" s="26" t="s">
        <v>1988</v>
      </c>
      <c r="C37" s="26">
        <v>11358</v>
      </c>
      <c r="D37" s="26" t="s">
        <v>1989</v>
      </c>
      <c r="E37" s="27" t="s">
        <v>520</v>
      </c>
    </row>
    <row r="38" spans="1:5" x14ac:dyDescent="0.3">
      <c r="A38" s="64">
        <v>37</v>
      </c>
      <c r="B38" s="26" t="s">
        <v>1967</v>
      </c>
      <c r="C38" s="26">
        <v>11359</v>
      </c>
      <c r="D38" s="26" t="s">
        <v>1990</v>
      </c>
      <c r="E38" s="27" t="s">
        <v>1991</v>
      </c>
    </row>
    <row r="39" spans="1:5" x14ac:dyDescent="0.3">
      <c r="A39" s="64">
        <v>38</v>
      </c>
      <c r="B39" s="26" t="s">
        <v>824</v>
      </c>
      <c r="C39" s="26">
        <v>11360</v>
      </c>
      <c r="D39" s="26" t="s">
        <v>1992</v>
      </c>
      <c r="E39" s="27" t="s">
        <v>28</v>
      </c>
    </row>
    <row r="40" spans="1:5" x14ac:dyDescent="0.3">
      <c r="A40" s="64">
        <v>39</v>
      </c>
      <c r="B40" s="26" t="s">
        <v>1993</v>
      </c>
      <c r="C40" s="26">
        <v>11361</v>
      </c>
      <c r="D40" s="26" t="s">
        <v>1443</v>
      </c>
      <c r="E40" s="27" t="s">
        <v>28</v>
      </c>
    </row>
    <row r="41" spans="1:5" x14ac:dyDescent="0.3">
      <c r="A41" s="64">
        <v>40</v>
      </c>
      <c r="B41" s="26" t="s">
        <v>1994</v>
      </c>
      <c r="C41" s="26">
        <v>11362</v>
      </c>
      <c r="D41" s="26" t="s">
        <v>1995</v>
      </c>
      <c r="E41" s="27" t="s">
        <v>520</v>
      </c>
    </row>
    <row r="42" spans="1:5" x14ac:dyDescent="0.3">
      <c r="A42" s="64">
        <v>41</v>
      </c>
      <c r="B42" s="26" t="s">
        <v>1996</v>
      </c>
      <c r="C42" s="26">
        <v>11363</v>
      </c>
      <c r="D42" s="26" t="s">
        <v>2004</v>
      </c>
      <c r="E42" s="27" t="s">
        <v>323</v>
      </c>
    </row>
    <row r="43" spans="1:5" x14ac:dyDescent="0.3">
      <c r="A43" s="64">
        <v>42</v>
      </c>
      <c r="B43" s="26" t="s">
        <v>1084</v>
      </c>
      <c r="C43" s="26">
        <v>11364</v>
      </c>
      <c r="D43" s="26" t="s">
        <v>2002</v>
      </c>
      <c r="E43" s="27" t="s">
        <v>323</v>
      </c>
    </row>
    <row r="44" spans="1:5" x14ac:dyDescent="0.3">
      <c r="A44" s="64">
        <v>43</v>
      </c>
      <c r="B44" s="26" t="s">
        <v>74</v>
      </c>
      <c r="C44" s="26">
        <v>11365</v>
      </c>
      <c r="D44" s="26" t="s">
        <v>2003</v>
      </c>
      <c r="E44" s="27" t="s">
        <v>520</v>
      </c>
    </row>
    <row r="45" spans="1:5" x14ac:dyDescent="0.3">
      <c r="A45" s="64">
        <v>44</v>
      </c>
      <c r="B45" s="26" t="s">
        <v>2005</v>
      </c>
      <c r="C45" s="26">
        <v>11366</v>
      </c>
      <c r="D45" s="26" t="s">
        <v>2006</v>
      </c>
      <c r="E45" s="27" t="s">
        <v>192</v>
      </c>
    </row>
    <row r="46" spans="1:5" x14ac:dyDescent="0.3">
      <c r="A46" s="64">
        <v>45</v>
      </c>
      <c r="B46" s="26" t="s">
        <v>1298</v>
      </c>
      <c r="C46" s="26">
        <v>11367</v>
      </c>
      <c r="D46" s="26" t="s">
        <v>2007</v>
      </c>
      <c r="E46" s="27" t="s">
        <v>192</v>
      </c>
    </row>
    <row r="47" spans="1:5" x14ac:dyDescent="0.3">
      <c r="A47" s="64">
        <v>46</v>
      </c>
      <c r="B47" s="26" t="s">
        <v>2008</v>
      </c>
      <c r="C47" s="26">
        <v>11368</v>
      </c>
      <c r="D47" s="26" t="s">
        <v>2009</v>
      </c>
      <c r="E47" s="27" t="s">
        <v>2015</v>
      </c>
    </row>
    <row r="48" spans="1:5" x14ac:dyDescent="0.3">
      <c r="A48" s="64">
        <v>47</v>
      </c>
      <c r="B48" s="26" t="s">
        <v>2011</v>
      </c>
      <c r="C48" s="26">
        <v>11369</v>
      </c>
      <c r="D48" s="26" t="s">
        <v>2012</v>
      </c>
      <c r="E48" s="27" t="s">
        <v>28</v>
      </c>
    </row>
    <row r="49" spans="1:5" x14ac:dyDescent="0.3">
      <c r="A49" s="64">
        <v>48</v>
      </c>
      <c r="B49" s="26" t="s">
        <v>2013</v>
      </c>
      <c r="C49" s="26">
        <v>11370</v>
      </c>
      <c r="D49" s="26" t="s">
        <v>2014</v>
      </c>
      <c r="E49" s="27" t="s">
        <v>28</v>
      </c>
    </row>
    <row r="50" spans="1:5" x14ac:dyDescent="0.3">
      <c r="A50" s="64">
        <v>49</v>
      </c>
      <c r="B50" s="26" t="s">
        <v>2016</v>
      </c>
      <c r="C50" s="26">
        <v>11371</v>
      </c>
      <c r="D50" s="26" t="s">
        <v>2017</v>
      </c>
      <c r="E50" s="27" t="s">
        <v>28</v>
      </c>
    </row>
    <row r="51" spans="1:5" x14ac:dyDescent="0.3">
      <c r="A51" s="64">
        <v>50</v>
      </c>
      <c r="B51" s="26" t="s">
        <v>1243</v>
      </c>
      <c r="C51" s="26">
        <v>11372</v>
      </c>
      <c r="D51" s="26" t="s">
        <v>856</v>
      </c>
      <c r="E51" s="27"/>
    </row>
    <row r="52" spans="1:5" x14ac:dyDescent="0.3">
      <c r="A52" s="64">
        <v>51</v>
      </c>
      <c r="B52" s="26" t="s">
        <v>621</v>
      </c>
      <c r="C52" s="26">
        <v>11373</v>
      </c>
      <c r="D52" s="26" t="s">
        <v>2020</v>
      </c>
      <c r="E52" s="27" t="s">
        <v>28</v>
      </c>
    </row>
    <row r="53" spans="1:5" x14ac:dyDescent="0.3">
      <c r="A53" s="64">
        <v>52</v>
      </c>
      <c r="B53" s="26" t="s">
        <v>2018</v>
      </c>
      <c r="C53" s="26">
        <v>11374</v>
      </c>
      <c r="D53" s="26" t="s">
        <v>2019</v>
      </c>
      <c r="E53" s="27" t="s">
        <v>28</v>
      </c>
    </row>
    <row r="54" spans="1:5" x14ac:dyDescent="0.3">
      <c r="A54" s="64">
        <v>53</v>
      </c>
      <c r="B54" s="26" t="s">
        <v>491</v>
      </c>
      <c r="C54" s="26">
        <v>11375</v>
      </c>
      <c r="D54" s="26" t="s">
        <v>2021</v>
      </c>
      <c r="E54" s="27" t="s">
        <v>28</v>
      </c>
    </row>
    <row r="55" spans="1:5" x14ac:dyDescent="0.3">
      <c r="A55" s="64">
        <v>54</v>
      </c>
      <c r="B55" s="26" t="s">
        <v>358</v>
      </c>
      <c r="C55" s="26">
        <v>11376</v>
      </c>
      <c r="D55" s="26" t="s">
        <v>2010</v>
      </c>
      <c r="E55" s="27"/>
    </row>
    <row r="56" spans="1:5" x14ac:dyDescent="0.3">
      <c r="A56" s="64">
        <v>55</v>
      </c>
      <c r="B56" s="26" t="s">
        <v>2022</v>
      </c>
      <c r="C56" s="26">
        <v>11377</v>
      </c>
      <c r="D56" s="26" t="s">
        <v>2023</v>
      </c>
      <c r="E56" s="27" t="s">
        <v>28</v>
      </c>
    </row>
    <row r="57" spans="1:5" x14ac:dyDescent="0.3">
      <c r="A57" s="64">
        <v>56</v>
      </c>
      <c r="B57" s="26" t="s">
        <v>32</v>
      </c>
      <c r="C57" s="26">
        <v>11378</v>
      </c>
      <c r="D57" s="26" t="s">
        <v>2024</v>
      </c>
      <c r="E57" s="27" t="s">
        <v>192</v>
      </c>
    </row>
    <row r="58" spans="1:5" x14ac:dyDescent="0.3">
      <c r="A58" s="64">
        <v>57</v>
      </c>
      <c r="B58" s="26" t="s">
        <v>1926</v>
      </c>
      <c r="C58" s="26">
        <v>11379</v>
      </c>
      <c r="D58" s="26" t="s">
        <v>2025</v>
      </c>
      <c r="E58" s="27" t="s">
        <v>28</v>
      </c>
    </row>
    <row r="59" spans="1:5" x14ac:dyDescent="0.3">
      <c r="A59" s="64">
        <v>58</v>
      </c>
      <c r="B59" s="26" t="s">
        <v>32</v>
      </c>
      <c r="C59" s="26">
        <v>11380</v>
      </c>
      <c r="D59" s="26" t="s">
        <v>2027</v>
      </c>
      <c r="E59" s="27"/>
    </row>
    <row r="60" spans="1:5" x14ac:dyDescent="0.3">
      <c r="A60" s="64">
        <v>59</v>
      </c>
      <c r="B60" s="26" t="s">
        <v>2026</v>
      </c>
      <c r="C60" s="26">
        <v>11381</v>
      </c>
      <c r="D60" s="26" t="s">
        <v>2028</v>
      </c>
      <c r="E60" s="27" t="s">
        <v>581</v>
      </c>
    </row>
    <row r="61" spans="1:5" x14ac:dyDescent="0.3">
      <c r="A61" s="64">
        <v>60</v>
      </c>
      <c r="B61" s="26" t="s">
        <v>1841</v>
      </c>
      <c r="C61" s="26">
        <v>11382</v>
      </c>
      <c r="D61" s="26" t="s">
        <v>2029</v>
      </c>
      <c r="E61" s="27" t="s">
        <v>323</v>
      </c>
    </row>
    <row r="62" spans="1:5" x14ac:dyDescent="0.3">
      <c r="A62" s="64">
        <v>61</v>
      </c>
      <c r="B62" s="26" t="s">
        <v>285</v>
      </c>
      <c r="C62" s="26">
        <v>11383</v>
      </c>
      <c r="D62" s="26" t="s">
        <v>2030</v>
      </c>
      <c r="E62" s="27" t="s">
        <v>28</v>
      </c>
    </row>
    <row r="63" spans="1:5" x14ac:dyDescent="0.3">
      <c r="A63" s="64">
        <v>62</v>
      </c>
      <c r="B63" s="26" t="s">
        <v>1448</v>
      </c>
      <c r="C63" s="26">
        <v>11384</v>
      </c>
      <c r="D63" s="26" t="s">
        <v>2031</v>
      </c>
      <c r="E63" s="27" t="s">
        <v>28</v>
      </c>
    </row>
    <row r="64" spans="1:5" x14ac:dyDescent="0.3">
      <c r="A64" s="64">
        <v>63</v>
      </c>
      <c r="B64" s="26" t="s">
        <v>2032</v>
      </c>
      <c r="C64" s="26">
        <v>11385</v>
      </c>
      <c r="D64" s="26" t="s">
        <v>2033</v>
      </c>
      <c r="E64" s="27" t="s">
        <v>323</v>
      </c>
    </row>
    <row r="65" spans="1:5" x14ac:dyDescent="0.3">
      <c r="A65" s="64">
        <v>64</v>
      </c>
      <c r="B65" s="26" t="s">
        <v>2034</v>
      </c>
      <c r="C65" s="26">
        <v>11386</v>
      </c>
      <c r="D65" s="26" t="s">
        <v>2035</v>
      </c>
      <c r="E65" s="27" t="s">
        <v>192</v>
      </c>
    </row>
    <row r="66" spans="1:5" x14ac:dyDescent="0.3">
      <c r="A66" s="64">
        <v>65</v>
      </c>
      <c r="B66" s="26" t="s">
        <v>2036</v>
      </c>
      <c r="C66" s="26">
        <v>11387</v>
      </c>
      <c r="D66" s="26" t="s">
        <v>2037</v>
      </c>
      <c r="E66" s="27" t="s">
        <v>28</v>
      </c>
    </row>
    <row r="67" spans="1:5" x14ac:dyDescent="0.3">
      <c r="A67" s="64">
        <v>66</v>
      </c>
      <c r="B67" s="26" t="s">
        <v>2038</v>
      </c>
      <c r="C67" s="26">
        <v>11388</v>
      </c>
      <c r="D67" s="26" t="s">
        <v>2039</v>
      </c>
      <c r="E67" s="27" t="s">
        <v>28</v>
      </c>
    </row>
    <row r="68" spans="1:5" x14ac:dyDescent="0.3">
      <c r="A68" s="64">
        <v>67</v>
      </c>
      <c r="B68" s="26" t="s">
        <v>1215</v>
      </c>
      <c r="C68" s="26">
        <v>11389</v>
      </c>
      <c r="D68" s="26" t="s">
        <v>2040</v>
      </c>
      <c r="E68" s="27" t="s">
        <v>28</v>
      </c>
    </row>
    <row r="69" spans="1:5" x14ac:dyDescent="0.3">
      <c r="A69" s="64">
        <v>68</v>
      </c>
      <c r="B69" s="26" t="s">
        <v>300</v>
      </c>
      <c r="C69" s="26">
        <v>11390</v>
      </c>
      <c r="D69" s="26" t="s">
        <v>2041</v>
      </c>
      <c r="E69" s="27" t="s">
        <v>323</v>
      </c>
    </row>
    <row r="70" spans="1:5" x14ac:dyDescent="0.3">
      <c r="A70" s="64">
        <v>69</v>
      </c>
      <c r="B70" s="26" t="s">
        <v>2042</v>
      </c>
      <c r="C70" s="26">
        <v>11391</v>
      </c>
      <c r="D70" s="26" t="s">
        <v>414</v>
      </c>
      <c r="E70" s="27" t="s">
        <v>28</v>
      </c>
    </row>
    <row r="71" spans="1:5" x14ac:dyDescent="0.3">
      <c r="A71" s="64">
        <v>70</v>
      </c>
      <c r="B71" s="26" t="s">
        <v>2043</v>
      </c>
      <c r="C71" s="26">
        <v>11392</v>
      </c>
      <c r="D71" s="26" t="s">
        <v>2044</v>
      </c>
      <c r="E71" s="27" t="s">
        <v>323</v>
      </c>
    </row>
    <row r="72" spans="1:5" x14ac:dyDescent="0.3">
      <c r="A72" s="64">
        <v>71</v>
      </c>
      <c r="B72" s="26" t="s">
        <v>1947</v>
      </c>
      <c r="C72" s="26">
        <v>11393</v>
      </c>
      <c r="D72" s="26" t="s">
        <v>2045</v>
      </c>
      <c r="E72" s="27" t="s">
        <v>28</v>
      </c>
    </row>
    <row r="73" spans="1:5" x14ac:dyDescent="0.3">
      <c r="A73" s="64">
        <v>72</v>
      </c>
      <c r="B73" s="26" t="s">
        <v>1686</v>
      </c>
      <c r="C73" s="26">
        <v>11394</v>
      </c>
      <c r="D73" s="26" t="s">
        <v>2046</v>
      </c>
      <c r="E73" s="27" t="s">
        <v>1949</v>
      </c>
    </row>
    <row r="74" spans="1:5" x14ac:dyDescent="0.3">
      <c r="A74" s="64">
        <v>73</v>
      </c>
      <c r="B74" s="26" t="s">
        <v>2047</v>
      </c>
      <c r="C74" s="26">
        <v>11395</v>
      </c>
      <c r="D74" s="26" t="s">
        <v>2048</v>
      </c>
      <c r="E74" s="27" t="s">
        <v>192</v>
      </c>
    </row>
    <row r="75" spans="1:5" x14ac:dyDescent="0.3">
      <c r="A75" s="64">
        <v>74</v>
      </c>
      <c r="B75" s="26" t="s">
        <v>300</v>
      </c>
      <c r="C75" s="26">
        <v>11396</v>
      </c>
      <c r="D75" s="26" t="s">
        <v>2049</v>
      </c>
      <c r="E75" s="27" t="s">
        <v>192</v>
      </c>
    </row>
    <row r="76" spans="1:5" x14ac:dyDescent="0.3">
      <c r="A76" s="64">
        <v>75</v>
      </c>
      <c r="B76" s="26" t="s">
        <v>2050</v>
      </c>
      <c r="C76" s="26">
        <v>11397</v>
      </c>
      <c r="D76" s="26" t="s">
        <v>2051</v>
      </c>
      <c r="E76" s="27" t="s">
        <v>581</v>
      </c>
    </row>
    <row r="77" spans="1:5" x14ac:dyDescent="0.3">
      <c r="A77" s="64">
        <v>76</v>
      </c>
      <c r="B77" s="26" t="s">
        <v>2053</v>
      </c>
      <c r="C77" s="26">
        <v>11398</v>
      </c>
      <c r="D77" s="26" t="s">
        <v>2052</v>
      </c>
      <c r="E77" s="27" t="s">
        <v>192</v>
      </c>
    </row>
    <row r="78" spans="1:5" x14ac:dyDescent="0.3">
      <c r="A78" s="64">
        <v>77</v>
      </c>
      <c r="B78" s="26" t="s">
        <v>198</v>
      </c>
      <c r="C78" s="26">
        <v>11399</v>
      </c>
      <c r="D78" s="26" t="s">
        <v>2054</v>
      </c>
      <c r="E78" s="27" t="s">
        <v>28</v>
      </c>
    </row>
    <row r="79" spans="1:5" ht="17.25" thickBot="1" x14ac:dyDescent="0.35">
      <c r="A79" s="64">
        <v>78</v>
      </c>
      <c r="B79" s="56" t="s">
        <v>2056</v>
      </c>
      <c r="C79" s="56">
        <v>11400</v>
      </c>
      <c r="D79" s="56" t="s">
        <v>2055</v>
      </c>
      <c r="E79" s="47" t="s">
        <v>28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10"/>
  <sheetViews>
    <sheetView workbookViewId="0">
      <selection activeCell="A93" sqref="A93"/>
    </sheetView>
  </sheetViews>
  <sheetFormatPr defaultRowHeight="16.5" x14ac:dyDescent="0.3"/>
  <cols>
    <col min="1" max="2" width="9" style="21"/>
    <col min="3" max="3" width="11.5" style="21" customWidth="1"/>
    <col min="4" max="4" width="11.625" style="21" customWidth="1"/>
    <col min="5" max="16384" width="9" style="21"/>
  </cols>
  <sheetData>
    <row r="1" spans="1:4" x14ac:dyDescent="0.3">
      <c r="A1" s="26"/>
      <c r="B1" s="26" t="s">
        <v>2</v>
      </c>
      <c r="C1" s="26" t="s">
        <v>1818</v>
      </c>
      <c r="D1" s="26" t="s">
        <v>1819</v>
      </c>
    </row>
    <row r="2" spans="1:4" x14ac:dyDescent="0.3">
      <c r="A2" s="26">
        <v>1</v>
      </c>
      <c r="B2" s="26" t="s">
        <v>2057</v>
      </c>
      <c r="C2" s="26" t="s">
        <v>74</v>
      </c>
      <c r="D2" s="26"/>
    </row>
    <row r="3" spans="1:4" x14ac:dyDescent="0.3">
      <c r="A3" s="26">
        <v>2</v>
      </c>
      <c r="B3" s="26" t="s">
        <v>2058</v>
      </c>
      <c r="C3" s="26" t="s">
        <v>967</v>
      </c>
      <c r="D3" s="26" t="s">
        <v>28</v>
      </c>
    </row>
    <row r="4" spans="1:4" x14ac:dyDescent="0.3">
      <c r="A4" s="26">
        <v>3</v>
      </c>
      <c r="B4" s="26" t="s">
        <v>2059</v>
      </c>
      <c r="C4" s="26" t="s">
        <v>2060</v>
      </c>
      <c r="D4" s="26" t="s">
        <v>28</v>
      </c>
    </row>
    <row r="5" spans="1:4" x14ac:dyDescent="0.3">
      <c r="A5" s="26">
        <v>4</v>
      </c>
      <c r="B5" s="26" t="s">
        <v>2061</v>
      </c>
      <c r="C5" s="26" t="s">
        <v>2062</v>
      </c>
      <c r="D5" s="26" t="s">
        <v>28</v>
      </c>
    </row>
    <row r="6" spans="1:4" x14ac:dyDescent="0.3">
      <c r="A6" s="26">
        <v>5</v>
      </c>
      <c r="B6" s="26" t="s">
        <v>2063</v>
      </c>
      <c r="C6" s="26" t="s">
        <v>631</v>
      </c>
      <c r="D6" s="26" t="s">
        <v>487</v>
      </c>
    </row>
    <row r="7" spans="1:4" x14ac:dyDescent="0.3">
      <c r="A7" s="26">
        <v>6</v>
      </c>
      <c r="B7" s="26" t="s">
        <v>1428</v>
      </c>
      <c r="C7" s="26" t="s">
        <v>861</v>
      </c>
      <c r="D7" s="26" t="s">
        <v>28</v>
      </c>
    </row>
    <row r="8" spans="1:4" x14ac:dyDescent="0.3">
      <c r="A8" s="26">
        <v>7</v>
      </c>
      <c r="B8" s="26" t="s">
        <v>1103</v>
      </c>
      <c r="C8" s="26" t="s">
        <v>2064</v>
      </c>
      <c r="D8" s="26" t="s">
        <v>28</v>
      </c>
    </row>
    <row r="9" spans="1:4" x14ac:dyDescent="0.3">
      <c r="A9" s="26">
        <v>8</v>
      </c>
      <c r="B9" s="26" t="s">
        <v>2065</v>
      </c>
      <c r="C9" s="26" t="s">
        <v>2066</v>
      </c>
      <c r="D9" s="26" t="s">
        <v>2065</v>
      </c>
    </row>
    <row r="10" spans="1:4" x14ac:dyDescent="0.3">
      <c r="A10" s="26">
        <v>9</v>
      </c>
      <c r="B10" s="26" t="s">
        <v>2067</v>
      </c>
      <c r="C10" s="26" t="s">
        <v>2068</v>
      </c>
      <c r="D10" s="26" t="s">
        <v>581</v>
      </c>
    </row>
    <row r="11" spans="1:4" x14ac:dyDescent="0.3">
      <c r="A11" s="26">
        <v>10</v>
      </c>
      <c r="B11" s="26" t="s">
        <v>2069</v>
      </c>
      <c r="C11" s="26" t="s">
        <v>996</v>
      </c>
      <c r="D11" s="26" t="s">
        <v>28</v>
      </c>
    </row>
    <row r="12" spans="1:4" x14ac:dyDescent="0.3">
      <c r="A12" s="26">
        <v>11</v>
      </c>
      <c r="B12" s="26" t="s">
        <v>2070</v>
      </c>
      <c r="C12" s="26" t="s">
        <v>2071</v>
      </c>
      <c r="D12" s="26" t="s">
        <v>2072</v>
      </c>
    </row>
    <row r="13" spans="1:4" x14ac:dyDescent="0.3">
      <c r="A13" s="26">
        <v>12</v>
      </c>
      <c r="B13" s="26" t="s">
        <v>2073</v>
      </c>
      <c r="C13" s="26" t="s">
        <v>2074</v>
      </c>
      <c r="D13" s="26"/>
    </row>
    <row r="14" spans="1:4" x14ac:dyDescent="0.3">
      <c r="A14" s="26">
        <v>13</v>
      </c>
      <c r="B14" s="26" t="s">
        <v>2075</v>
      </c>
      <c r="C14" s="26" t="s">
        <v>2076</v>
      </c>
      <c r="D14" s="26"/>
    </row>
    <row r="15" spans="1:4" x14ac:dyDescent="0.3">
      <c r="A15" s="26">
        <v>14</v>
      </c>
      <c r="B15" s="26" t="s">
        <v>2077</v>
      </c>
      <c r="C15" s="26" t="s">
        <v>2078</v>
      </c>
      <c r="D15" s="26"/>
    </row>
    <row r="16" spans="1:4" x14ac:dyDescent="0.3">
      <c r="A16" s="26">
        <v>15</v>
      </c>
      <c r="B16" s="26" t="s">
        <v>2079</v>
      </c>
      <c r="C16" s="26" t="s">
        <v>2080</v>
      </c>
      <c r="D16" s="26" t="s">
        <v>2081</v>
      </c>
    </row>
    <row r="17" spans="1:4" x14ac:dyDescent="0.3">
      <c r="A17" s="26">
        <v>16</v>
      </c>
      <c r="B17" s="26" t="s">
        <v>2082</v>
      </c>
      <c r="C17" s="26" t="s">
        <v>2083</v>
      </c>
      <c r="D17" s="26" t="s">
        <v>2084</v>
      </c>
    </row>
    <row r="18" spans="1:4" x14ac:dyDescent="0.3">
      <c r="A18" s="26">
        <v>17</v>
      </c>
      <c r="B18" s="26" t="s">
        <v>2085</v>
      </c>
      <c r="C18" s="26" t="s">
        <v>2086</v>
      </c>
      <c r="D18" s="26" t="s">
        <v>2087</v>
      </c>
    </row>
    <row r="19" spans="1:4" x14ac:dyDescent="0.3">
      <c r="A19" s="26">
        <v>18</v>
      </c>
      <c r="B19" s="26" t="s">
        <v>2088</v>
      </c>
      <c r="C19" s="26" t="s">
        <v>2089</v>
      </c>
      <c r="D19" s="26" t="s">
        <v>2090</v>
      </c>
    </row>
    <row r="20" spans="1:4" x14ac:dyDescent="0.3">
      <c r="A20" s="26">
        <v>19</v>
      </c>
      <c r="B20" s="26" t="s">
        <v>2091</v>
      </c>
      <c r="C20" s="26" t="s">
        <v>2092</v>
      </c>
      <c r="D20" s="26" t="s">
        <v>2093</v>
      </c>
    </row>
    <row r="21" spans="1:4" x14ac:dyDescent="0.3">
      <c r="A21" s="26">
        <v>20</v>
      </c>
      <c r="B21" s="26" t="s">
        <v>2094</v>
      </c>
      <c r="C21" s="26" t="s">
        <v>2095</v>
      </c>
      <c r="D21" s="26" t="s">
        <v>2096</v>
      </c>
    </row>
    <row r="22" spans="1:4" x14ac:dyDescent="0.3">
      <c r="A22" s="26">
        <v>21</v>
      </c>
      <c r="B22" s="26" t="s">
        <v>2097</v>
      </c>
      <c r="C22" s="26" t="s">
        <v>2098</v>
      </c>
      <c r="D22" s="26" t="s">
        <v>2099</v>
      </c>
    </row>
    <row r="23" spans="1:4" x14ac:dyDescent="0.3">
      <c r="A23" s="26">
        <v>22</v>
      </c>
      <c r="B23" s="26" t="s">
        <v>2101</v>
      </c>
      <c r="C23" s="26" t="s">
        <v>2100</v>
      </c>
      <c r="D23" s="26" t="s">
        <v>2102</v>
      </c>
    </row>
    <row r="24" spans="1:4" x14ac:dyDescent="0.3">
      <c r="A24" s="26">
        <v>23</v>
      </c>
      <c r="B24" s="26" t="s">
        <v>2103</v>
      </c>
      <c r="C24" s="26" t="s">
        <v>2104</v>
      </c>
      <c r="D24" s="26" t="s">
        <v>2105</v>
      </c>
    </row>
    <row r="25" spans="1:4" x14ac:dyDescent="0.3">
      <c r="A25" s="26">
        <v>24</v>
      </c>
      <c r="B25" s="26" t="s">
        <v>2106</v>
      </c>
      <c r="C25" s="26" t="s">
        <v>2107</v>
      </c>
      <c r="D25" s="26" t="s">
        <v>2099</v>
      </c>
    </row>
    <row r="26" spans="1:4" x14ac:dyDescent="0.3">
      <c r="A26" s="26">
        <v>25</v>
      </c>
      <c r="B26" s="26" t="s">
        <v>2108</v>
      </c>
      <c r="C26" s="26" t="s">
        <v>2109</v>
      </c>
      <c r="D26" s="26"/>
    </row>
    <row r="27" spans="1:4" x14ac:dyDescent="0.3">
      <c r="A27" s="26">
        <v>26</v>
      </c>
      <c r="B27" s="26" t="s">
        <v>2110</v>
      </c>
      <c r="C27" s="26" t="s">
        <v>2111</v>
      </c>
      <c r="D27" s="26" t="s">
        <v>323</v>
      </c>
    </row>
    <row r="28" spans="1:4" x14ac:dyDescent="0.3">
      <c r="A28" s="26">
        <v>27</v>
      </c>
      <c r="B28" s="26" t="s">
        <v>2112</v>
      </c>
      <c r="C28" s="26" t="s">
        <v>2113</v>
      </c>
      <c r="D28" s="26" t="s">
        <v>2114</v>
      </c>
    </row>
    <row r="29" spans="1:4" x14ac:dyDescent="0.3">
      <c r="A29" s="26">
        <v>28</v>
      </c>
      <c r="B29" s="26" t="s">
        <v>2115</v>
      </c>
      <c r="C29" s="26" t="s">
        <v>2116</v>
      </c>
      <c r="D29" s="26" t="s">
        <v>2099</v>
      </c>
    </row>
    <row r="30" spans="1:4" x14ac:dyDescent="0.3">
      <c r="A30" s="26">
        <v>29</v>
      </c>
      <c r="B30" s="26" t="s">
        <v>2117</v>
      </c>
      <c r="C30" s="26" t="s">
        <v>2118</v>
      </c>
      <c r="D30" s="26" t="s">
        <v>2119</v>
      </c>
    </row>
    <row r="31" spans="1:4" x14ac:dyDescent="0.3">
      <c r="A31" s="26">
        <v>30</v>
      </c>
      <c r="B31" s="26" t="s">
        <v>2120</v>
      </c>
      <c r="C31" s="26" t="s">
        <v>2121</v>
      </c>
      <c r="D31" s="26" t="s">
        <v>2119</v>
      </c>
    </row>
    <row r="32" spans="1:4" x14ac:dyDescent="0.3">
      <c r="A32" s="26">
        <v>31</v>
      </c>
      <c r="B32" s="26" t="s">
        <v>2122</v>
      </c>
      <c r="C32" s="26" t="s">
        <v>2123</v>
      </c>
      <c r="D32" s="26"/>
    </row>
    <row r="33" spans="1:4" x14ac:dyDescent="0.3">
      <c r="A33" s="26">
        <v>32</v>
      </c>
      <c r="B33" s="26" t="s">
        <v>2124</v>
      </c>
      <c r="C33" s="26" t="s">
        <v>2125</v>
      </c>
      <c r="D33" s="26" t="s">
        <v>2126</v>
      </c>
    </row>
    <row r="34" spans="1:4" x14ac:dyDescent="0.3">
      <c r="A34" s="26">
        <v>33</v>
      </c>
      <c r="B34" s="26" t="s">
        <v>2127</v>
      </c>
      <c r="C34" s="26" t="s">
        <v>2128</v>
      </c>
      <c r="D34" s="26" t="s">
        <v>323</v>
      </c>
    </row>
    <row r="35" spans="1:4" x14ac:dyDescent="0.3">
      <c r="A35" s="26">
        <v>34</v>
      </c>
      <c r="B35" s="26" t="s">
        <v>2129</v>
      </c>
      <c r="C35" s="26" t="s">
        <v>2130</v>
      </c>
      <c r="D35" s="26" t="s">
        <v>2131</v>
      </c>
    </row>
    <row r="36" spans="1:4" x14ac:dyDescent="0.3">
      <c r="A36" s="26">
        <v>35</v>
      </c>
      <c r="B36" s="26" t="s">
        <v>2132</v>
      </c>
      <c r="C36" s="26" t="s">
        <v>2133</v>
      </c>
      <c r="D36" s="26" t="s">
        <v>2099</v>
      </c>
    </row>
    <row r="37" spans="1:4" x14ac:dyDescent="0.3">
      <c r="A37" s="26">
        <v>36</v>
      </c>
      <c r="B37" s="26" t="s">
        <v>2134</v>
      </c>
      <c r="C37" s="26" t="s">
        <v>2135</v>
      </c>
      <c r="D37" s="26" t="s">
        <v>2099</v>
      </c>
    </row>
    <row r="38" spans="1:4" x14ac:dyDescent="0.3">
      <c r="A38" s="26">
        <v>37</v>
      </c>
      <c r="B38" s="26" t="s">
        <v>2136</v>
      </c>
      <c r="C38" s="26" t="s">
        <v>2137</v>
      </c>
      <c r="D38" s="26" t="s">
        <v>2126</v>
      </c>
    </row>
    <row r="39" spans="1:4" x14ac:dyDescent="0.3">
      <c r="A39" s="26">
        <v>38</v>
      </c>
      <c r="B39" s="26" t="s">
        <v>2138</v>
      </c>
      <c r="C39" s="26" t="s">
        <v>2139</v>
      </c>
      <c r="D39" s="26" t="s">
        <v>323</v>
      </c>
    </row>
    <row r="40" spans="1:4" x14ac:dyDescent="0.3">
      <c r="A40" s="26">
        <v>39</v>
      </c>
      <c r="B40" s="26" t="s">
        <v>2140</v>
      </c>
      <c r="C40" s="26" t="s">
        <v>2141</v>
      </c>
      <c r="D40" s="26" t="s">
        <v>2142</v>
      </c>
    </row>
    <row r="41" spans="1:4" x14ac:dyDescent="0.3">
      <c r="A41" s="26">
        <v>40</v>
      </c>
      <c r="B41" s="26" t="s">
        <v>2143</v>
      </c>
      <c r="C41" s="26" t="s">
        <v>2144</v>
      </c>
      <c r="D41" s="26" t="s">
        <v>2145</v>
      </c>
    </row>
    <row r="42" spans="1:4" x14ac:dyDescent="0.3">
      <c r="A42" s="26">
        <v>41</v>
      </c>
      <c r="B42" s="26" t="s">
        <v>2146</v>
      </c>
      <c r="C42" s="26" t="s">
        <v>2147</v>
      </c>
      <c r="D42" s="26" t="s">
        <v>2148</v>
      </c>
    </row>
    <row r="43" spans="1:4" x14ac:dyDescent="0.3">
      <c r="A43" s="26">
        <v>42</v>
      </c>
      <c r="B43" s="26" t="s">
        <v>2149</v>
      </c>
      <c r="C43" s="26" t="s">
        <v>2150</v>
      </c>
      <c r="D43" s="26" t="s">
        <v>323</v>
      </c>
    </row>
    <row r="44" spans="1:4" x14ac:dyDescent="0.3">
      <c r="A44" s="26">
        <v>43</v>
      </c>
      <c r="B44" s="26" t="s">
        <v>2151</v>
      </c>
      <c r="C44" s="26" t="s">
        <v>2152</v>
      </c>
      <c r="D44" s="26" t="s">
        <v>2145</v>
      </c>
    </row>
    <row r="45" spans="1:4" x14ac:dyDescent="0.3">
      <c r="A45" s="26">
        <v>44</v>
      </c>
      <c r="B45" s="26" t="s">
        <v>2153</v>
      </c>
      <c r="C45" s="26" t="s">
        <v>2154</v>
      </c>
      <c r="D45" s="26" t="s">
        <v>2145</v>
      </c>
    </row>
    <row r="46" spans="1:4" x14ac:dyDescent="0.3">
      <c r="A46" s="26">
        <v>45</v>
      </c>
      <c r="B46" s="26" t="s">
        <v>2155</v>
      </c>
      <c r="C46" s="26" t="s">
        <v>2156</v>
      </c>
      <c r="D46" s="26" t="s">
        <v>2157</v>
      </c>
    </row>
    <row r="47" spans="1:4" x14ac:dyDescent="0.3">
      <c r="A47" s="26">
        <v>46</v>
      </c>
      <c r="B47" s="26" t="s">
        <v>2158</v>
      </c>
      <c r="C47" s="26" t="s">
        <v>2159</v>
      </c>
      <c r="D47" s="26" t="s">
        <v>28</v>
      </c>
    </row>
    <row r="48" spans="1:4" x14ac:dyDescent="0.3">
      <c r="A48" s="26">
        <v>47</v>
      </c>
      <c r="B48" s="26" t="s">
        <v>2160</v>
      </c>
      <c r="C48" s="26" t="s">
        <v>2161</v>
      </c>
      <c r="D48" s="26" t="s">
        <v>2162</v>
      </c>
    </row>
    <row r="49" spans="1:4" x14ac:dyDescent="0.3">
      <c r="A49" s="26">
        <v>48</v>
      </c>
      <c r="B49" s="26" t="s">
        <v>2163</v>
      </c>
      <c r="C49" s="26" t="s">
        <v>2164</v>
      </c>
      <c r="D49" s="26" t="s">
        <v>2165</v>
      </c>
    </row>
    <row r="50" spans="1:4" x14ac:dyDescent="0.3">
      <c r="A50" s="26">
        <v>49</v>
      </c>
      <c r="B50" s="26" t="s">
        <v>2166</v>
      </c>
      <c r="C50" s="26" t="s">
        <v>2167</v>
      </c>
      <c r="D50" s="26" t="s">
        <v>2165</v>
      </c>
    </row>
    <row r="51" spans="1:4" x14ac:dyDescent="0.3">
      <c r="A51" s="26">
        <v>50</v>
      </c>
      <c r="B51" s="26" t="s">
        <v>2168</v>
      </c>
      <c r="C51" s="26" t="s">
        <v>2169</v>
      </c>
      <c r="D51" s="26" t="s">
        <v>2165</v>
      </c>
    </row>
    <row r="52" spans="1:4" x14ac:dyDescent="0.3">
      <c r="A52" s="26">
        <v>51</v>
      </c>
      <c r="B52" s="26" t="s">
        <v>2170</v>
      </c>
      <c r="C52" s="26" t="s">
        <v>2171</v>
      </c>
      <c r="D52" s="26" t="s">
        <v>2165</v>
      </c>
    </row>
    <row r="53" spans="1:4" x14ac:dyDescent="0.3">
      <c r="A53" s="26">
        <v>52</v>
      </c>
      <c r="B53" s="26" t="s">
        <v>2172</v>
      </c>
      <c r="C53" s="26" t="s">
        <v>2173</v>
      </c>
      <c r="D53" s="26" t="s">
        <v>323</v>
      </c>
    </row>
    <row r="54" spans="1:4" x14ac:dyDescent="0.3">
      <c r="A54" s="26">
        <v>53</v>
      </c>
      <c r="B54" s="26" t="s">
        <v>2174</v>
      </c>
      <c r="C54" s="26" t="s">
        <v>2175</v>
      </c>
      <c r="D54" s="26"/>
    </row>
    <row r="55" spans="1:4" x14ac:dyDescent="0.3">
      <c r="A55" s="26">
        <v>54</v>
      </c>
      <c r="B55" s="26" t="s">
        <v>2176</v>
      </c>
      <c r="C55" s="26" t="s">
        <v>2177</v>
      </c>
      <c r="D55" s="26" t="s">
        <v>2178</v>
      </c>
    </row>
    <row r="56" spans="1:4" x14ac:dyDescent="0.3">
      <c r="A56" s="26">
        <v>55</v>
      </c>
      <c r="B56" s="26" t="s">
        <v>2179</v>
      </c>
      <c r="C56" s="26" t="s">
        <v>2180</v>
      </c>
      <c r="D56" s="26"/>
    </row>
    <row r="57" spans="1:4" x14ac:dyDescent="0.3">
      <c r="A57" s="26">
        <v>56</v>
      </c>
      <c r="B57" s="26" t="s">
        <v>2181</v>
      </c>
      <c r="C57" s="26" t="s">
        <v>2182</v>
      </c>
      <c r="D57" s="26" t="s">
        <v>2178</v>
      </c>
    </row>
    <row r="58" spans="1:4" x14ac:dyDescent="0.3">
      <c r="A58" s="26">
        <v>57</v>
      </c>
      <c r="B58" s="26" t="s">
        <v>2183</v>
      </c>
      <c r="C58" s="26" t="s">
        <v>2184</v>
      </c>
      <c r="D58" s="26" t="s">
        <v>2178</v>
      </c>
    </row>
    <row r="59" spans="1:4" x14ac:dyDescent="0.3">
      <c r="A59" s="26">
        <v>58</v>
      </c>
      <c r="B59" s="26" t="s">
        <v>2185</v>
      </c>
      <c r="C59" s="26" t="s">
        <v>409</v>
      </c>
      <c r="D59" s="26" t="s">
        <v>2186</v>
      </c>
    </row>
    <row r="60" spans="1:4" x14ac:dyDescent="0.3">
      <c r="A60" s="26">
        <v>59</v>
      </c>
      <c r="B60" s="26" t="s">
        <v>2187</v>
      </c>
      <c r="C60" s="26" t="s">
        <v>2188</v>
      </c>
      <c r="D60" s="26" t="s">
        <v>2178</v>
      </c>
    </row>
    <row r="61" spans="1:4" x14ac:dyDescent="0.3">
      <c r="A61" s="26">
        <v>60</v>
      </c>
      <c r="B61" s="26" t="s">
        <v>2189</v>
      </c>
      <c r="C61" s="26" t="s">
        <v>2190</v>
      </c>
      <c r="D61" s="26"/>
    </row>
    <row r="62" spans="1:4" x14ac:dyDescent="0.3">
      <c r="A62" s="26">
        <v>61</v>
      </c>
      <c r="B62" s="26" t="s">
        <v>2191</v>
      </c>
      <c r="C62" s="26" t="s">
        <v>2192</v>
      </c>
      <c r="D62" s="26"/>
    </row>
    <row r="63" spans="1:4" x14ac:dyDescent="0.3">
      <c r="A63" s="26">
        <v>62</v>
      </c>
      <c r="B63" s="26" t="s">
        <v>2193</v>
      </c>
      <c r="C63" s="26" t="s">
        <v>2194</v>
      </c>
      <c r="D63" s="26" t="s">
        <v>2195</v>
      </c>
    </row>
    <row r="64" spans="1:4" x14ac:dyDescent="0.3">
      <c r="A64" s="26">
        <v>63</v>
      </c>
      <c r="B64" s="26" t="s">
        <v>2196</v>
      </c>
      <c r="C64" s="26" t="s">
        <v>2197</v>
      </c>
      <c r="D64" s="26" t="s">
        <v>2178</v>
      </c>
    </row>
    <row r="65" spans="1:4" x14ac:dyDescent="0.3">
      <c r="A65" s="26">
        <v>64</v>
      </c>
      <c r="B65" s="26" t="s">
        <v>2198</v>
      </c>
      <c r="C65" s="26" t="s">
        <v>2199</v>
      </c>
      <c r="D65" s="26" t="s">
        <v>2178</v>
      </c>
    </row>
    <row r="66" spans="1:4" x14ac:dyDescent="0.3">
      <c r="A66" s="26">
        <v>65</v>
      </c>
      <c r="B66" s="26" t="s">
        <v>2200</v>
      </c>
      <c r="C66" s="26" t="s">
        <v>2201</v>
      </c>
      <c r="D66" s="26" t="s">
        <v>2195</v>
      </c>
    </row>
    <row r="67" spans="1:4" x14ac:dyDescent="0.3">
      <c r="A67" s="26">
        <v>66</v>
      </c>
      <c r="B67" s="26" t="s">
        <v>2202</v>
      </c>
      <c r="C67" s="26" t="s">
        <v>2203</v>
      </c>
      <c r="D67" s="26" t="s">
        <v>2178</v>
      </c>
    </row>
    <row r="68" spans="1:4" x14ac:dyDescent="0.3">
      <c r="A68" s="26">
        <v>67</v>
      </c>
      <c r="B68" s="26" t="s">
        <v>2204</v>
      </c>
      <c r="C68" s="26" t="s">
        <v>2192</v>
      </c>
      <c r="D68" s="26"/>
    </row>
    <row r="69" spans="1:4" x14ac:dyDescent="0.3">
      <c r="A69" s="26">
        <v>68</v>
      </c>
      <c r="B69" s="26" t="s">
        <v>2205</v>
      </c>
      <c r="C69" s="26" t="s">
        <v>358</v>
      </c>
      <c r="D69" s="26" t="s">
        <v>2195</v>
      </c>
    </row>
    <row r="70" spans="1:4" x14ac:dyDescent="0.3">
      <c r="A70" s="26">
        <v>69</v>
      </c>
      <c r="B70" s="26" t="s">
        <v>2206</v>
      </c>
      <c r="C70" s="26" t="s">
        <v>2207</v>
      </c>
      <c r="D70" s="26" t="s">
        <v>2178</v>
      </c>
    </row>
    <row r="71" spans="1:4" x14ac:dyDescent="0.3">
      <c r="A71" s="26">
        <v>70</v>
      </c>
      <c r="B71" s="26" t="s">
        <v>2208</v>
      </c>
      <c r="C71" s="26" t="s">
        <v>2246</v>
      </c>
      <c r="D71" s="26"/>
    </row>
    <row r="72" spans="1:4" x14ac:dyDescent="0.3">
      <c r="A72" s="26">
        <v>71</v>
      </c>
      <c r="B72" s="26" t="s">
        <v>2209</v>
      </c>
      <c r="C72" s="26" t="s">
        <v>2210</v>
      </c>
      <c r="D72" s="26" t="s">
        <v>1240</v>
      </c>
    </row>
    <row r="73" spans="1:4" x14ac:dyDescent="0.3">
      <c r="A73" s="26">
        <v>72</v>
      </c>
      <c r="B73" s="26" t="s">
        <v>2211</v>
      </c>
      <c r="C73" s="26" t="s">
        <v>2212</v>
      </c>
      <c r="D73" s="26" t="s">
        <v>2195</v>
      </c>
    </row>
    <row r="74" spans="1:4" x14ac:dyDescent="0.3">
      <c r="A74" s="26">
        <v>73</v>
      </c>
      <c r="B74" s="26" t="s">
        <v>2213</v>
      </c>
      <c r="C74" s="26" t="s">
        <v>2214</v>
      </c>
      <c r="D74" s="26" t="s">
        <v>2195</v>
      </c>
    </row>
    <row r="75" spans="1:4" x14ac:dyDescent="0.3">
      <c r="A75" s="26">
        <v>74</v>
      </c>
      <c r="B75" s="26" t="s">
        <v>2215</v>
      </c>
      <c r="C75" s="26" t="s">
        <v>2216</v>
      </c>
      <c r="D75" s="26" t="s">
        <v>2217</v>
      </c>
    </row>
    <row r="76" spans="1:4" x14ac:dyDescent="0.3">
      <c r="A76" s="26">
        <v>75</v>
      </c>
      <c r="B76" s="26" t="s">
        <v>2218</v>
      </c>
      <c r="C76" s="26" t="s">
        <v>2219</v>
      </c>
      <c r="D76" s="26"/>
    </row>
    <row r="77" spans="1:4" x14ac:dyDescent="0.3">
      <c r="A77" s="26">
        <v>76</v>
      </c>
      <c r="B77" s="26" t="s">
        <v>2220</v>
      </c>
      <c r="C77" s="26" t="s">
        <v>2221</v>
      </c>
      <c r="D77" s="26"/>
    </row>
    <row r="78" spans="1:4" x14ac:dyDescent="0.3">
      <c r="A78" s="26">
        <v>77</v>
      </c>
      <c r="B78" s="26" t="s">
        <v>2222</v>
      </c>
      <c r="C78" s="26" t="s">
        <v>2223</v>
      </c>
      <c r="D78" s="26" t="s">
        <v>28</v>
      </c>
    </row>
    <row r="79" spans="1:4" x14ac:dyDescent="0.3">
      <c r="A79" s="26">
        <v>78</v>
      </c>
      <c r="B79" s="26" t="s">
        <v>2224</v>
      </c>
      <c r="C79" s="26" t="s">
        <v>2225</v>
      </c>
      <c r="D79" s="26" t="s">
        <v>28</v>
      </c>
    </row>
    <row r="80" spans="1:4" x14ac:dyDescent="0.3">
      <c r="A80" s="26">
        <v>79</v>
      </c>
      <c r="B80" s="26" t="s">
        <v>2226</v>
      </c>
      <c r="C80" s="26" t="s">
        <v>2227</v>
      </c>
      <c r="D80" s="26" t="s">
        <v>2228</v>
      </c>
    </row>
    <row r="81" spans="1:4" x14ac:dyDescent="0.3">
      <c r="A81" s="26">
        <v>80</v>
      </c>
      <c r="B81" s="26" t="s">
        <v>2229</v>
      </c>
      <c r="C81" s="26" t="s">
        <v>2230</v>
      </c>
      <c r="D81" s="26" t="s">
        <v>2178</v>
      </c>
    </row>
    <row r="82" spans="1:4" x14ac:dyDescent="0.3">
      <c r="A82" s="26">
        <v>81</v>
      </c>
      <c r="B82" s="26" t="s">
        <v>2231</v>
      </c>
      <c r="C82" s="26" t="s">
        <v>2232</v>
      </c>
      <c r="D82" s="26" t="s">
        <v>2178</v>
      </c>
    </row>
    <row r="83" spans="1:4" x14ac:dyDescent="0.3">
      <c r="A83" s="26">
        <v>82</v>
      </c>
      <c r="B83" s="26" t="s">
        <v>2233</v>
      </c>
      <c r="C83" s="26" t="s">
        <v>2234</v>
      </c>
      <c r="D83" s="26" t="s">
        <v>2178</v>
      </c>
    </row>
    <row r="84" spans="1:4" x14ac:dyDescent="0.3">
      <c r="A84" s="26">
        <v>83</v>
      </c>
      <c r="B84" s="26" t="s">
        <v>2235</v>
      </c>
      <c r="C84" s="26" t="s">
        <v>2236</v>
      </c>
      <c r="D84" s="26" t="s">
        <v>2178</v>
      </c>
    </row>
    <row r="85" spans="1:4" x14ac:dyDescent="0.3">
      <c r="A85" s="26">
        <v>84</v>
      </c>
      <c r="B85" s="26" t="s">
        <v>2237</v>
      </c>
      <c r="C85" s="26" t="s">
        <v>2238</v>
      </c>
      <c r="D85" s="26" t="s">
        <v>2178</v>
      </c>
    </row>
    <row r="86" spans="1:4" x14ac:dyDescent="0.3">
      <c r="A86" s="26">
        <v>85</v>
      </c>
      <c r="B86" s="26" t="s">
        <v>2239</v>
      </c>
      <c r="C86" s="26" t="s">
        <v>2240</v>
      </c>
      <c r="D86" s="26" t="s">
        <v>2178</v>
      </c>
    </row>
    <row r="87" spans="1:4" x14ac:dyDescent="0.3">
      <c r="A87" s="26">
        <v>86</v>
      </c>
      <c r="B87" s="26" t="s">
        <v>2241</v>
      </c>
      <c r="C87" s="26" t="s">
        <v>2242</v>
      </c>
      <c r="D87" s="26"/>
    </row>
    <row r="88" spans="1:4" x14ac:dyDescent="0.3">
      <c r="A88" s="26">
        <v>87</v>
      </c>
      <c r="B88" s="26" t="s">
        <v>2243</v>
      </c>
      <c r="C88" s="26" t="s">
        <v>2244</v>
      </c>
      <c r="D88" s="26" t="s">
        <v>2245</v>
      </c>
    </row>
    <row r="89" spans="1:4" x14ac:dyDescent="0.3">
      <c r="A89" s="26">
        <v>88</v>
      </c>
      <c r="B89" s="26" t="s">
        <v>2247</v>
      </c>
      <c r="C89" s="26" t="s">
        <v>2248</v>
      </c>
      <c r="D89" s="26" t="s">
        <v>2249</v>
      </c>
    </row>
    <row r="90" spans="1:4" x14ac:dyDescent="0.3">
      <c r="A90" s="26">
        <v>89</v>
      </c>
      <c r="B90" s="26" t="s">
        <v>2250</v>
      </c>
      <c r="C90" s="26" t="s">
        <v>2251</v>
      </c>
      <c r="D90" s="26" t="s">
        <v>2252</v>
      </c>
    </row>
    <row r="91" spans="1:4" x14ac:dyDescent="0.3">
      <c r="A91" s="26">
        <v>90</v>
      </c>
      <c r="B91" s="26" t="s">
        <v>2253</v>
      </c>
      <c r="C91" s="26" t="s">
        <v>2254</v>
      </c>
      <c r="D91" s="26" t="s">
        <v>28</v>
      </c>
    </row>
    <row r="92" spans="1:4" x14ac:dyDescent="0.3">
      <c r="A92" s="26">
        <v>91</v>
      </c>
      <c r="B92" s="26" t="s">
        <v>2255</v>
      </c>
      <c r="C92" s="26" t="s">
        <v>2256</v>
      </c>
      <c r="D92" s="26" t="s">
        <v>2257</v>
      </c>
    </row>
    <row r="93" spans="1:4" x14ac:dyDescent="0.3">
      <c r="A93" s="26">
        <v>92</v>
      </c>
      <c r="B93" s="26" t="s">
        <v>2258</v>
      </c>
      <c r="C93" s="26" t="s">
        <v>2259</v>
      </c>
      <c r="D93" s="26" t="s">
        <v>2260</v>
      </c>
    </row>
    <row r="94" spans="1:4" x14ac:dyDescent="0.3">
      <c r="A94" s="26">
        <v>93</v>
      </c>
      <c r="B94" s="26"/>
      <c r="C94" s="26"/>
      <c r="D94" s="26"/>
    </row>
    <row r="95" spans="1:4" x14ac:dyDescent="0.3">
      <c r="A95" s="26">
        <v>94</v>
      </c>
      <c r="B95" s="26"/>
      <c r="C95" s="26"/>
      <c r="D95" s="26"/>
    </row>
    <row r="96" spans="1:4" x14ac:dyDescent="0.3">
      <c r="A96" s="26">
        <v>95</v>
      </c>
      <c r="B96" s="26"/>
      <c r="C96" s="26"/>
      <c r="D96" s="26"/>
    </row>
    <row r="97" spans="1:4" x14ac:dyDescent="0.3">
      <c r="A97" s="26">
        <v>96</v>
      </c>
      <c r="B97" s="26"/>
      <c r="C97" s="26"/>
      <c r="D97" s="26"/>
    </row>
    <row r="98" spans="1:4" x14ac:dyDescent="0.3">
      <c r="A98" s="26">
        <v>97</v>
      </c>
      <c r="B98" s="26"/>
      <c r="C98" s="26"/>
      <c r="D98" s="26"/>
    </row>
    <row r="99" spans="1:4" x14ac:dyDescent="0.3">
      <c r="A99" s="26">
        <v>98</v>
      </c>
      <c r="B99" s="26"/>
      <c r="C99" s="26"/>
      <c r="D99" s="26"/>
    </row>
    <row r="100" spans="1:4" x14ac:dyDescent="0.3">
      <c r="A100" s="26">
        <v>99</v>
      </c>
      <c r="B100" s="26"/>
      <c r="C100" s="26"/>
      <c r="D100" s="26"/>
    </row>
    <row r="101" spans="1:4" x14ac:dyDescent="0.3">
      <c r="A101" s="26">
        <v>100</v>
      </c>
      <c r="B101" s="26"/>
      <c r="C101" s="26"/>
      <c r="D101" s="26"/>
    </row>
    <row r="102" spans="1:4" x14ac:dyDescent="0.3">
      <c r="A102" s="26">
        <v>101</v>
      </c>
      <c r="B102" s="26"/>
      <c r="C102" s="26"/>
      <c r="D102" s="26"/>
    </row>
    <row r="103" spans="1:4" x14ac:dyDescent="0.3">
      <c r="A103" s="26">
        <v>102</v>
      </c>
      <c r="B103" s="26"/>
      <c r="C103" s="26"/>
      <c r="D103" s="26"/>
    </row>
    <row r="104" spans="1:4" x14ac:dyDescent="0.3">
      <c r="A104" s="26">
        <v>103</v>
      </c>
      <c r="B104" s="26"/>
      <c r="C104" s="26"/>
      <c r="D104" s="26"/>
    </row>
    <row r="105" spans="1:4" x14ac:dyDescent="0.3">
      <c r="A105" s="26">
        <v>104</v>
      </c>
      <c r="B105" s="26"/>
      <c r="C105" s="26"/>
      <c r="D105" s="26"/>
    </row>
    <row r="106" spans="1:4" x14ac:dyDescent="0.3">
      <c r="A106" s="26">
        <v>105</v>
      </c>
      <c r="B106" s="26"/>
      <c r="C106" s="26"/>
      <c r="D106" s="26"/>
    </row>
    <row r="107" spans="1:4" x14ac:dyDescent="0.3">
      <c r="A107" s="26">
        <v>106</v>
      </c>
      <c r="B107" s="26"/>
      <c r="C107" s="26"/>
      <c r="D107" s="26"/>
    </row>
    <row r="108" spans="1:4" x14ac:dyDescent="0.3">
      <c r="A108" s="26">
        <v>107</v>
      </c>
      <c r="B108" s="26"/>
      <c r="C108" s="26"/>
      <c r="D108" s="26"/>
    </row>
    <row r="109" spans="1:4" x14ac:dyDescent="0.3">
      <c r="A109" s="26">
        <v>108</v>
      </c>
      <c r="B109" s="26"/>
      <c r="C109" s="26"/>
      <c r="D109" s="26"/>
    </row>
    <row r="110" spans="1:4" x14ac:dyDescent="0.3">
      <c r="A110" s="26">
        <v>109</v>
      </c>
      <c r="B110" s="26"/>
      <c r="C110" s="26"/>
      <c r="D110" s="26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79"/>
  <sheetViews>
    <sheetView workbookViewId="0">
      <selection activeCell="H57" sqref="H57"/>
    </sheetView>
  </sheetViews>
  <sheetFormatPr defaultRowHeight="16.5" x14ac:dyDescent="0.3"/>
  <cols>
    <col min="1" max="1" width="9" style="21"/>
    <col min="2" max="2" width="11.5" style="21" customWidth="1"/>
    <col min="3" max="3" width="11.75" style="21" customWidth="1"/>
    <col min="4" max="4" width="14.375" style="21" customWidth="1"/>
    <col min="5" max="5" width="13.5" style="21" customWidth="1"/>
    <col min="6" max="16384" width="9" style="21"/>
  </cols>
  <sheetData>
    <row r="1" spans="1:5" ht="27.75" customHeight="1" thickBot="1" x14ac:dyDescent="0.35">
      <c r="A1" s="59"/>
      <c r="B1" s="45" t="s">
        <v>1818</v>
      </c>
      <c r="C1" s="44" t="s">
        <v>1</v>
      </c>
      <c r="D1" s="44" t="s">
        <v>2</v>
      </c>
      <c r="E1" s="7" t="s">
        <v>1819</v>
      </c>
    </row>
    <row r="2" spans="1:5" x14ac:dyDescent="0.3">
      <c r="A2" s="61">
        <v>1</v>
      </c>
      <c r="B2" s="39" t="s">
        <v>2261</v>
      </c>
      <c r="C2" s="37">
        <v>11495</v>
      </c>
      <c r="D2" s="37" t="s">
        <v>2250</v>
      </c>
      <c r="E2" s="28" t="s">
        <v>28</v>
      </c>
    </row>
    <row r="3" spans="1:5" x14ac:dyDescent="0.3">
      <c r="A3" s="62">
        <v>2</v>
      </c>
      <c r="B3" s="31" t="s">
        <v>2262</v>
      </c>
      <c r="C3" s="37">
        <v>11496</v>
      </c>
      <c r="D3" s="26" t="s">
        <v>2263</v>
      </c>
      <c r="E3" s="27" t="s">
        <v>284</v>
      </c>
    </row>
    <row r="4" spans="1:5" x14ac:dyDescent="0.3">
      <c r="A4" s="62">
        <v>3</v>
      </c>
      <c r="B4" s="31" t="s">
        <v>2264</v>
      </c>
      <c r="C4" s="37">
        <v>11497</v>
      </c>
      <c r="D4" s="26" t="s">
        <v>2265</v>
      </c>
      <c r="E4" s="27" t="s">
        <v>28</v>
      </c>
    </row>
    <row r="5" spans="1:5" x14ac:dyDescent="0.3">
      <c r="A5" s="62">
        <v>4</v>
      </c>
      <c r="B5" s="31" t="s">
        <v>2266</v>
      </c>
      <c r="C5" s="37">
        <v>11498</v>
      </c>
      <c r="D5" s="26" t="s">
        <v>2267</v>
      </c>
      <c r="E5" s="27" t="s">
        <v>2268</v>
      </c>
    </row>
    <row r="6" spans="1:5" x14ac:dyDescent="0.3">
      <c r="A6" s="62">
        <v>5</v>
      </c>
      <c r="B6" s="31" t="s">
        <v>2269</v>
      </c>
      <c r="C6" s="37">
        <v>11499</v>
      </c>
      <c r="D6" s="26" t="s">
        <v>2270</v>
      </c>
      <c r="E6" s="27" t="s">
        <v>2268</v>
      </c>
    </row>
    <row r="7" spans="1:5" x14ac:dyDescent="0.3">
      <c r="A7" s="62">
        <v>6</v>
      </c>
      <c r="B7" s="31" t="s">
        <v>2271</v>
      </c>
      <c r="C7" s="37">
        <v>11500</v>
      </c>
      <c r="D7" s="26" t="s">
        <v>2272</v>
      </c>
      <c r="E7" s="27" t="s">
        <v>2268</v>
      </c>
    </row>
    <row r="8" spans="1:5" x14ac:dyDescent="0.3">
      <c r="A8" s="62">
        <v>7</v>
      </c>
      <c r="B8" s="31" t="s">
        <v>2273</v>
      </c>
      <c r="C8" s="37">
        <v>11501</v>
      </c>
      <c r="D8" s="26" t="s">
        <v>2274</v>
      </c>
      <c r="E8" s="27" t="s">
        <v>2275</v>
      </c>
    </row>
    <row r="9" spans="1:5" x14ac:dyDescent="0.3">
      <c r="A9" s="62">
        <v>8</v>
      </c>
      <c r="B9" s="31" t="s">
        <v>2276</v>
      </c>
      <c r="C9" s="37">
        <v>11502</v>
      </c>
      <c r="D9" s="26" t="s">
        <v>2277</v>
      </c>
      <c r="E9" s="27" t="s">
        <v>2268</v>
      </c>
    </row>
    <row r="10" spans="1:5" x14ac:dyDescent="0.3">
      <c r="A10" s="62">
        <v>9</v>
      </c>
      <c r="B10" s="31" t="s">
        <v>2278</v>
      </c>
      <c r="C10" s="37">
        <v>11503</v>
      </c>
      <c r="D10" s="26" t="s">
        <v>2279</v>
      </c>
      <c r="E10" s="27" t="s">
        <v>2280</v>
      </c>
    </row>
    <row r="11" spans="1:5" x14ac:dyDescent="0.3">
      <c r="A11" s="62">
        <v>10</v>
      </c>
      <c r="B11" s="31" t="s">
        <v>2282</v>
      </c>
      <c r="C11" s="37">
        <v>11504</v>
      </c>
      <c r="D11" s="26" t="s">
        <v>2281</v>
      </c>
      <c r="E11" s="27" t="s">
        <v>2280</v>
      </c>
    </row>
    <row r="12" spans="1:5" x14ac:dyDescent="0.3">
      <c r="A12" s="62">
        <v>11</v>
      </c>
      <c r="B12" s="31" t="s">
        <v>2283</v>
      </c>
      <c r="C12" s="37">
        <v>11505</v>
      </c>
      <c r="D12" s="26" t="s">
        <v>2284</v>
      </c>
      <c r="E12" s="27" t="s">
        <v>2268</v>
      </c>
    </row>
    <row r="13" spans="1:5" x14ac:dyDescent="0.3">
      <c r="A13" s="62">
        <v>12</v>
      </c>
      <c r="B13" s="31" t="s">
        <v>2286</v>
      </c>
      <c r="C13" s="37">
        <v>11506</v>
      </c>
      <c r="D13" s="26" t="s">
        <v>2287</v>
      </c>
      <c r="E13" s="27" t="s">
        <v>2288</v>
      </c>
    </row>
    <row r="14" spans="1:5" x14ac:dyDescent="0.3">
      <c r="A14" s="62">
        <v>13</v>
      </c>
      <c r="B14" s="31" t="s">
        <v>2285</v>
      </c>
      <c r="C14" s="37">
        <v>11507</v>
      </c>
      <c r="D14" s="26" t="s">
        <v>2289</v>
      </c>
      <c r="E14" s="27" t="s">
        <v>2268</v>
      </c>
    </row>
    <row r="15" spans="1:5" x14ac:dyDescent="0.3">
      <c r="A15" s="62">
        <v>14</v>
      </c>
      <c r="B15" s="31" t="s">
        <v>2290</v>
      </c>
      <c r="C15" s="37">
        <v>11508</v>
      </c>
      <c r="D15" s="26" t="s">
        <v>2291</v>
      </c>
      <c r="E15" s="27" t="s">
        <v>2268</v>
      </c>
    </row>
    <row r="16" spans="1:5" x14ac:dyDescent="0.3">
      <c r="A16" s="62">
        <v>15</v>
      </c>
      <c r="B16" s="31" t="s">
        <v>2292</v>
      </c>
      <c r="C16" s="37">
        <v>11509</v>
      </c>
      <c r="D16" s="26" t="s">
        <v>2293</v>
      </c>
      <c r="E16" s="27" t="s">
        <v>2275</v>
      </c>
    </row>
    <row r="17" spans="1:5" x14ac:dyDescent="0.3">
      <c r="A17" s="62">
        <v>16</v>
      </c>
      <c r="B17" s="31" t="s">
        <v>2294</v>
      </c>
      <c r="C17" s="37">
        <v>11510</v>
      </c>
      <c r="D17" s="26" t="s">
        <v>2295</v>
      </c>
      <c r="E17" s="27" t="s">
        <v>2268</v>
      </c>
    </row>
    <row r="18" spans="1:5" x14ac:dyDescent="0.3">
      <c r="A18" s="62">
        <v>17</v>
      </c>
      <c r="B18" s="31" t="s">
        <v>2298</v>
      </c>
      <c r="C18" s="37">
        <v>11511</v>
      </c>
      <c r="D18" s="26" t="s">
        <v>2296</v>
      </c>
      <c r="E18" s="27" t="s">
        <v>2280</v>
      </c>
    </row>
    <row r="19" spans="1:5" x14ac:dyDescent="0.3">
      <c r="A19" s="62">
        <v>18</v>
      </c>
      <c r="B19" s="31" t="s">
        <v>2297</v>
      </c>
      <c r="C19" s="37">
        <v>11512</v>
      </c>
      <c r="D19" s="26" t="s">
        <v>2299</v>
      </c>
      <c r="E19" s="27" t="s">
        <v>2268</v>
      </c>
    </row>
    <row r="20" spans="1:5" x14ac:dyDescent="0.3">
      <c r="A20" s="62">
        <v>19</v>
      </c>
      <c r="B20" s="31" t="s">
        <v>2286</v>
      </c>
      <c r="C20" s="37">
        <v>11513</v>
      </c>
      <c r="D20" s="26" t="s">
        <v>2300</v>
      </c>
      <c r="E20" s="27" t="s">
        <v>2268</v>
      </c>
    </row>
    <row r="21" spans="1:5" x14ac:dyDescent="0.3">
      <c r="A21" s="62">
        <v>20</v>
      </c>
      <c r="B21" s="31" t="s">
        <v>2301</v>
      </c>
      <c r="C21" s="37">
        <v>11514</v>
      </c>
      <c r="D21" s="26" t="s">
        <v>2302</v>
      </c>
      <c r="E21" s="27" t="s">
        <v>2268</v>
      </c>
    </row>
    <row r="22" spans="1:5" x14ac:dyDescent="0.3">
      <c r="A22" s="62">
        <v>21</v>
      </c>
      <c r="B22" s="31" t="s">
        <v>2307</v>
      </c>
      <c r="C22" s="37">
        <v>11515</v>
      </c>
      <c r="D22" s="26" t="s">
        <v>2308</v>
      </c>
      <c r="E22" s="27" t="s">
        <v>2306</v>
      </c>
    </row>
    <row r="23" spans="1:5" x14ac:dyDescent="0.3">
      <c r="A23" s="62">
        <v>22</v>
      </c>
      <c r="B23" s="31" t="s">
        <v>2304</v>
      </c>
      <c r="C23" s="37">
        <v>11516</v>
      </c>
      <c r="D23" s="26" t="s">
        <v>2303</v>
      </c>
      <c r="E23" s="27" t="s">
        <v>2305</v>
      </c>
    </row>
    <row r="24" spans="1:5" x14ac:dyDescent="0.3">
      <c r="A24" s="62">
        <v>23</v>
      </c>
      <c r="B24" s="31" t="s">
        <v>2309</v>
      </c>
      <c r="C24" s="37">
        <v>11517</v>
      </c>
      <c r="D24" s="26" t="s">
        <v>2310</v>
      </c>
      <c r="E24" s="27" t="s">
        <v>2311</v>
      </c>
    </row>
    <row r="25" spans="1:5" x14ac:dyDescent="0.3">
      <c r="A25" s="62">
        <v>24</v>
      </c>
      <c r="B25" s="31" t="s">
        <v>2312</v>
      </c>
      <c r="C25" s="37">
        <v>11518</v>
      </c>
      <c r="D25" s="26" t="s">
        <v>2313</v>
      </c>
      <c r="E25" s="27" t="s">
        <v>2311</v>
      </c>
    </row>
    <row r="26" spans="1:5" x14ac:dyDescent="0.3">
      <c r="A26" s="62">
        <v>25</v>
      </c>
      <c r="B26" s="31" t="s">
        <v>2314</v>
      </c>
      <c r="C26" s="37">
        <v>11519</v>
      </c>
      <c r="D26" s="26" t="s">
        <v>2315</v>
      </c>
      <c r="E26" s="27" t="s">
        <v>2311</v>
      </c>
    </row>
    <row r="27" spans="1:5" x14ac:dyDescent="0.3">
      <c r="A27" s="62">
        <v>26</v>
      </c>
      <c r="B27" s="31" t="s">
        <v>2316</v>
      </c>
      <c r="C27" s="37">
        <v>11520</v>
      </c>
      <c r="D27" s="26" t="s">
        <v>2317</v>
      </c>
      <c r="E27" s="27" t="s">
        <v>2311</v>
      </c>
    </row>
    <row r="28" spans="1:5" x14ac:dyDescent="0.3">
      <c r="A28" s="62">
        <v>27</v>
      </c>
      <c r="B28" s="31" t="s">
        <v>2318</v>
      </c>
      <c r="C28" s="37">
        <v>11521</v>
      </c>
      <c r="D28" s="26" t="s">
        <v>2319</v>
      </c>
      <c r="E28" s="27" t="s">
        <v>2311</v>
      </c>
    </row>
    <row r="29" spans="1:5" x14ac:dyDescent="0.3">
      <c r="A29" s="62">
        <v>28</v>
      </c>
      <c r="B29" s="31" t="s">
        <v>2320</v>
      </c>
      <c r="C29" s="37">
        <v>11522</v>
      </c>
      <c r="D29" s="26" t="s">
        <v>2321</v>
      </c>
      <c r="E29" s="27" t="s">
        <v>2311</v>
      </c>
    </row>
    <row r="30" spans="1:5" x14ac:dyDescent="0.3">
      <c r="A30" s="62">
        <v>29</v>
      </c>
      <c r="B30" s="31" t="s">
        <v>2322</v>
      </c>
      <c r="C30" s="37">
        <v>11523</v>
      </c>
      <c r="D30" s="26" t="s">
        <v>2323</v>
      </c>
      <c r="E30" s="27" t="s">
        <v>2311</v>
      </c>
    </row>
    <row r="31" spans="1:5" x14ac:dyDescent="0.3">
      <c r="A31" s="62">
        <v>30</v>
      </c>
      <c r="B31" s="31" t="s">
        <v>2324</v>
      </c>
      <c r="C31" s="26">
        <v>11524</v>
      </c>
      <c r="D31" s="26" t="s">
        <v>2325</v>
      </c>
      <c r="E31" s="27" t="s">
        <v>2311</v>
      </c>
    </row>
    <row r="32" spans="1:5" x14ac:dyDescent="0.3">
      <c r="A32" s="62">
        <v>31</v>
      </c>
      <c r="B32" s="31" t="s">
        <v>2326</v>
      </c>
      <c r="C32" s="26">
        <v>11525</v>
      </c>
      <c r="D32" s="26" t="s">
        <v>2327</v>
      </c>
      <c r="E32" s="27" t="s">
        <v>2311</v>
      </c>
    </row>
    <row r="33" spans="1:5" x14ac:dyDescent="0.3">
      <c r="A33" s="62">
        <v>32</v>
      </c>
      <c r="B33" s="31" t="s">
        <v>2328</v>
      </c>
      <c r="C33" s="26">
        <v>11526</v>
      </c>
      <c r="D33" s="26" t="s">
        <v>2329</v>
      </c>
      <c r="E33" s="27" t="s">
        <v>2311</v>
      </c>
    </row>
    <row r="34" spans="1:5" x14ac:dyDescent="0.3">
      <c r="A34" s="62">
        <v>33</v>
      </c>
      <c r="B34" s="31" t="s">
        <v>2330</v>
      </c>
      <c r="C34" s="26">
        <v>11527</v>
      </c>
      <c r="D34" s="26" t="s">
        <v>2331</v>
      </c>
      <c r="E34" s="27" t="s">
        <v>2311</v>
      </c>
    </row>
    <row r="35" spans="1:5" x14ac:dyDescent="0.3">
      <c r="A35" s="62">
        <v>34</v>
      </c>
      <c r="B35" s="31" t="s">
        <v>2332</v>
      </c>
      <c r="C35" s="26">
        <v>11528</v>
      </c>
      <c r="D35" s="26" t="s">
        <v>2333</v>
      </c>
      <c r="E35" s="27" t="s">
        <v>2334</v>
      </c>
    </row>
    <row r="36" spans="1:5" x14ac:dyDescent="0.3">
      <c r="A36" s="62">
        <v>35</v>
      </c>
      <c r="B36" s="31" t="s">
        <v>2335</v>
      </c>
      <c r="C36" s="26">
        <v>11529</v>
      </c>
      <c r="D36" s="26" t="s">
        <v>2336</v>
      </c>
      <c r="E36" s="27" t="s">
        <v>2337</v>
      </c>
    </row>
    <row r="37" spans="1:5" x14ac:dyDescent="0.3">
      <c r="A37" s="62">
        <v>36</v>
      </c>
      <c r="B37" s="31" t="s">
        <v>2338</v>
      </c>
      <c r="C37" s="26">
        <v>11530</v>
      </c>
      <c r="D37" s="26" t="s">
        <v>2339</v>
      </c>
      <c r="E37" s="27" t="s">
        <v>2340</v>
      </c>
    </row>
    <row r="38" spans="1:5" x14ac:dyDescent="0.3">
      <c r="A38" s="62">
        <v>37</v>
      </c>
      <c r="B38" s="31" t="s">
        <v>2341</v>
      </c>
      <c r="C38" s="26">
        <v>11531</v>
      </c>
      <c r="D38" s="26" t="s">
        <v>2358</v>
      </c>
      <c r="E38" s="27" t="s">
        <v>2342</v>
      </c>
    </row>
    <row r="39" spans="1:5" x14ac:dyDescent="0.3">
      <c r="A39" s="62">
        <v>38</v>
      </c>
      <c r="B39" s="31" t="s">
        <v>2343</v>
      </c>
      <c r="C39" s="26">
        <v>11532</v>
      </c>
      <c r="D39" s="26" t="s">
        <v>2344</v>
      </c>
      <c r="E39" s="27" t="s">
        <v>2342</v>
      </c>
    </row>
    <row r="40" spans="1:5" x14ac:dyDescent="0.3">
      <c r="A40" s="62">
        <v>39</v>
      </c>
      <c r="B40" s="31" t="s">
        <v>2345</v>
      </c>
      <c r="C40" s="26">
        <v>11533</v>
      </c>
      <c r="D40" s="26" t="s">
        <v>2346</v>
      </c>
      <c r="E40" s="27" t="s">
        <v>2347</v>
      </c>
    </row>
    <row r="41" spans="1:5" x14ac:dyDescent="0.3">
      <c r="A41" s="62">
        <v>40</v>
      </c>
      <c r="B41" s="31" t="s">
        <v>2348</v>
      </c>
      <c r="C41" s="26">
        <v>11534</v>
      </c>
      <c r="D41" s="26" t="s">
        <v>2349</v>
      </c>
      <c r="E41" s="27" t="s">
        <v>2342</v>
      </c>
    </row>
    <row r="42" spans="1:5" x14ac:dyDescent="0.3">
      <c r="A42" s="62">
        <v>41</v>
      </c>
      <c r="B42" s="31" t="s">
        <v>2350</v>
      </c>
      <c r="C42" s="26">
        <v>11535</v>
      </c>
      <c r="D42" s="26" t="s">
        <v>2351</v>
      </c>
      <c r="E42" s="27" t="s">
        <v>2340</v>
      </c>
    </row>
    <row r="43" spans="1:5" x14ac:dyDescent="0.3">
      <c r="A43" s="62">
        <v>42</v>
      </c>
      <c r="B43" s="31" t="s">
        <v>2352</v>
      </c>
      <c r="C43" s="26">
        <v>11536</v>
      </c>
      <c r="D43" s="26" t="s">
        <v>2353</v>
      </c>
      <c r="E43" s="27" t="s">
        <v>2342</v>
      </c>
    </row>
    <row r="44" spans="1:5" x14ac:dyDescent="0.3">
      <c r="A44" s="62">
        <v>43</v>
      </c>
      <c r="B44" s="31" t="s">
        <v>2354</v>
      </c>
      <c r="C44" s="26">
        <v>11537</v>
      </c>
      <c r="D44" s="26" t="s">
        <v>2355</v>
      </c>
      <c r="E44" s="27" t="s">
        <v>2340</v>
      </c>
    </row>
    <row r="45" spans="1:5" x14ac:dyDescent="0.3">
      <c r="A45" s="62">
        <v>44</v>
      </c>
      <c r="B45" s="31" t="s">
        <v>2356</v>
      </c>
      <c r="C45" s="26">
        <v>11538</v>
      </c>
      <c r="D45" s="26" t="s">
        <v>2357</v>
      </c>
      <c r="E45" s="27" t="s">
        <v>2340</v>
      </c>
    </row>
    <row r="46" spans="1:5" x14ac:dyDescent="0.3">
      <c r="A46" s="62">
        <v>45</v>
      </c>
      <c r="B46" s="31" t="s">
        <v>2359</v>
      </c>
      <c r="C46" s="26">
        <v>11539</v>
      </c>
      <c r="D46" s="26" t="s">
        <v>2360</v>
      </c>
      <c r="E46" s="27" t="s">
        <v>2361</v>
      </c>
    </row>
    <row r="47" spans="1:5" x14ac:dyDescent="0.3">
      <c r="A47" s="62">
        <v>46</v>
      </c>
      <c r="B47" s="31" t="s">
        <v>2362</v>
      </c>
      <c r="C47" s="26">
        <v>11540</v>
      </c>
      <c r="D47" s="26" t="s">
        <v>2363</v>
      </c>
      <c r="E47" s="27" t="s">
        <v>2364</v>
      </c>
    </row>
    <row r="48" spans="1:5" x14ac:dyDescent="0.3">
      <c r="A48" s="62">
        <v>47</v>
      </c>
      <c r="B48" s="31" t="s">
        <v>2365</v>
      </c>
      <c r="C48" s="26">
        <v>11541</v>
      </c>
      <c r="D48" s="26" t="s">
        <v>2366</v>
      </c>
      <c r="E48" s="27" t="s">
        <v>2367</v>
      </c>
    </row>
    <row r="49" spans="1:5" x14ac:dyDescent="0.3">
      <c r="A49" s="62">
        <v>48</v>
      </c>
      <c r="B49" s="31" t="s">
        <v>2368</v>
      </c>
      <c r="C49" s="26">
        <v>11542</v>
      </c>
      <c r="D49" s="26" t="s">
        <v>2369</v>
      </c>
      <c r="E49" s="27" t="s">
        <v>2370</v>
      </c>
    </row>
    <row r="50" spans="1:5" x14ac:dyDescent="0.3">
      <c r="A50" s="62">
        <v>49</v>
      </c>
      <c r="B50" s="31" t="s">
        <v>2371</v>
      </c>
      <c r="C50" s="26">
        <v>11543</v>
      </c>
      <c r="D50" s="26" t="s">
        <v>2372</v>
      </c>
      <c r="E50" s="27" t="s">
        <v>2373</v>
      </c>
    </row>
    <row r="51" spans="1:5" x14ac:dyDescent="0.3">
      <c r="A51" s="62">
        <v>50</v>
      </c>
      <c r="B51" s="31" t="s">
        <v>2374</v>
      </c>
      <c r="C51" s="26">
        <v>11544</v>
      </c>
      <c r="D51" s="26" t="s">
        <v>2375</v>
      </c>
      <c r="E51" s="27" t="s">
        <v>2376</v>
      </c>
    </row>
    <row r="52" spans="1:5" x14ac:dyDescent="0.3">
      <c r="A52" s="62">
        <v>51</v>
      </c>
      <c r="B52" s="31" t="s">
        <v>2378</v>
      </c>
      <c r="C52" s="26">
        <v>11545</v>
      </c>
      <c r="D52" s="26" t="s">
        <v>2377</v>
      </c>
      <c r="E52" s="27" t="s">
        <v>2379</v>
      </c>
    </row>
    <row r="53" spans="1:5" x14ac:dyDescent="0.3">
      <c r="A53" s="62">
        <v>52</v>
      </c>
      <c r="B53" s="31" t="s">
        <v>2380</v>
      </c>
      <c r="C53" s="26">
        <v>11546</v>
      </c>
      <c r="D53" s="26" t="s">
        <v>2381</v>
      </c>
      <c r="E53" s="27" t="s">
        <v>2382</v>
      </c>
    </row>
    <row r="54" spans="1:5" x14ac:dyDescent="0.3">
      <c r="A54" s="62">
        <v>53</v>
      </c>
      <c r="B54" s="31" t="s">
        <v>2383</v>
      </c>
      <c r="C54" s="26">
        <v>11547</v>
      </c>
      <c r="D54" s="26" t="s">
        <v>2384</v>
      </c>
      <c r="E54" s="27" t="s">
        <v>2382</v>
      </c>
    </row>
    <row r="55" spans="1:5" x14ac:dyDescent="0.3">
      <c r="A55" s="62">
        <v>54</v>
      </c>
      <c r="B55" s="31" t="s">
        <v>2385</v>
      </c>
      <c r="C55" s="26">
        <v>11548</v>
      </c>
      <c r="D55" s="26" t="s">
        <v>2386</v>
      </c>
      <c r="E55" s="27" t="s">
        <v>520</v>
      </c>
    </row>
    <row r="56" spans="1:5" x14ac:dyDescent="0.3">
      <c r="A56" s="62">
        <v>55</v>
      </c>
      <c r="B56" s="31" t="s">
        <v>2387</v>
      </c>
      <c r="C56" s="26">
        <v>11549</v>
      </c>
      <c r="D56" s="26" t="s">
        <v>2388</v>
      </c>
      <c r="E56" s="27" t="s">
        <v>2382</v>
      </c>
    </row>
    <row r="57" spans="1:5" x14ac:dyDescent="0.3">
      <c r="A57" s="62">
        <v>56</v>
      </c>
      <c r="B57" s="31" t="s">
        <v>2389</v>
      </c>
      <c r="C57" s="26">
        <v>11560</v>
      </c>
      <c r="D57" s="26" t="s">
        <v>2390</v>
      </c>
      <c r="E57" s="27" t="s">
        <v>2391</v>
      </c>
    </row>
    <row r="58" spans="1:5" x14ac:dyDescent="0.3">
      <c r="A58" s="62">
        <v>57</v>
      </c>
      <c r="B58" s="31" t="s">
        <v>2392</v>
      </c>
      <c r="C58" s="26">
        <v>11561</v>
      </c>
      <c r="D58" s="26" t="s">
        <v>2393</v>
      </c>
      <c r="E58" s="27" t="s">
        <v>2394</v>
      </c>
    </row>
    <row r="59" spans="1:5" x14ac:dyDescent="0.3">
      <c r="A59" s="62">
        <v>58</v>
      </c>
      <c r="B59" s="31" t="s">
        <v>2395</v>
      </c>
      <c r="C59" s="26">
        <v>11562</v>
      </c>
      <c r="D59" s="26" t="s">
        <v>2396</v>
      </c>
      <c r="E59" s="27" t="s">
        <v>2397</v>
      </c>
    </row>
    <row r="60" spans="1:5" x14ac:dyDescent="0.3">
      <c r="A60" s="62">
        <v>59</v>
      </c>
      <c r="B60" s="31" t="s">
        <v>2398</v>
      </c>
      <c r="C60" s="26">
        <v>11563</v>
      </c>
      <c r="D60" s="26" t="s">
        <v>2399</v>
      </c>
      <c r="E60" s="27" t="s">
        <v>2397</v>
      </c>
    </row>
    <row r="61" spans="1:5" x14ac:dyDescent="0.3">
      <c r="A61" s="62">
        <v>60</v>
      </c>
      <c r="B61" s="31"/>
      <c r="C61" s="26"/>
      <c r="D61" s="26"/>
      <c r="E61" s="27"/>
    </row>
    <row r="62" spans="1:5" x14ac:dyDescent="0.3">
      <c r="A62" s="62">
        <v>61</v>
      </c>
      <c r="B62" s="31"/>
      <c r="C62" s="26"/>
      <c r="D62" s="26"/>
      <c r="E62" s="27"/>
    </row>
    <row r="63" spans="1:5" x14ac:dyDescent="0.3">
      <c r="A63" s="62">
        <v>62</v>
      </c>
      <c r="B63" s="31"/>
      <c r="C63" s="26"/>
      <c r="D63" s="26"/>
      <c r="E63" s="27"/>
    </row>
    <row r="64" spans="1:5" x14ac:dyDescent="0.3">
      <c r="A64" s="62">
        <v>63</v>
      </c>
      <c r="B64" s="31"/>
      <c r="C64" s="26"/>
      <c r="D64" s="26"/>
      <c r="E64" s="27"/>
    </row>
    <row r="65" spans="1:5" x14ac:dyDescent="0.3">
      <c r="A65" s="62">
        <v>64</v>
      </c>
      <c r="B65" s="31"/>
      <c r="C65" s="26"/>
      <c r="D65" s="26"/>
      <c r="E65" s="27"/>
    </row>
    <row r="66" spans="1:5" x14ac:dyDescent="0.3">
      <c r="A66" s="62">
        <v>65</v>
      </c>
      <c r="B66" s="31"/>
      <c r="C66" s="26"/>
      <c r="D66" s="26"/>
      <c r="E66" s="27"/>
    </row>
    <row r="67" spans="1:5" x14ac:dyDescent="0.3">
      <c r="A67" s="62">
        <v>66</v>
      </c>
      <c r="B67" s="31"/>
      <c r="C67" s="26"/>
      <c r="D67" s="26"/>
      <c r="E67" s="27"/>
    </row>
    <row r="68" spans="1:5" x14ac:dyDescent="0.3">
      <c r="A68" s="62">
        <v>67</v>
      </c>
      <c r="B68" s="31"/>
      <c r="C68" s="26"/>
      <c r="D68" s="26"/>
      <c r="E68" s="27"/>
    </row>
    <row r="69" spans="1:5" x14ac:dyDescent="0.3">
      <c r="A69" s="62">
        <v>68</v>
      </c>
      <c r="B69" s="31"/>
      <c r="C69" s="26"/>
      <c r="D69" s="26"/>
      <c r="E69" s="27"/>
    </row>
    <row r="70" spans="1:5" x14ac:dyDescent="0.3">
      <c r="A70" s="62">
        <v>69</v>
      </c>
      <c r="B70" s="31"/>
      <c r="C70" s="26"/>
      <c r="D70" s="26"/>
      <c r="E70" s="27"/>
    </row>
    <row r="71" spans="1:5" x14ac:dyDescent="0.3">
      <c r="A71" s="62">
        <v>70</v>
      </c>
      <c r="B71" s="31"/>
      <c r="C71" s="26"/>
      <c r="D71" s="26"/>
      <c r="E71" s="27"/>
    </row>
    <row r="72" spans="1:5" x14ac:dyDescent="0.3">
      <c r="A72" s="62">
        <v>71</v>
      </c>
      <c r="B72" s="31"/>
      <c r="C72" s="26"/>
      <c r="D72" s="26"/>
      <c r="E72" s="27"/>
    </row>
    <row r="73" spans="1:5" x14ac:dyDescent="0.3">
      <c r="A73" s="62">
        <v>72</v>
      </c>
      <c r="B73" s="31"/>
      <c r="C73" s="26"/>
      <c r="D73" s="26"/>
      <c r="E73" s="27"/>
    </row>
    <row r="74" spans="1:5" x14ac:dyDescent="0.3">
      <c r="A74" s="62">
        <v>73</v>
      </c>
      <c r="B74" s="31"/>
      <c r="C74" s="26"/>
      <c r="D74" s="26"/>
      <c r="E74" s="27"/>
    </row>
    <row r="75" spans="1:5" x14ac:dyDescent="0.3">
      <c r="A75" s="62">
        <v>74</v>
      </c>
      <c r="B75" s="31"/>
      <c r="C75" s="26"/>
      <c r="D75" s="26"/>
      <c r="E75" s="27"/>
    </row>
    <row r="76" spans="1:5" x14ac:dyDescent="0.3">
      <c r="A76" s="62">
        <v>75</v>
      </c>
      <c r="B76" s="31"/>
      <c r="C76" s="26"/>
      <c r="D76" s="26"/>
      <c r="E76" s="27"/>
    </row>
    <row r="77" spans="1:5" x14ac:dyDescent="0.3">
      <c r="A77" s="62">
        <v>76</v>
      </c>
      <c r="B77" s="31"/>
      <c r="C77" s="26"/>
      <c r="D77" s="26"/>
      <c r="E77" s="27"/>
    </row>
    <row r="78" spans="1:5" x14ac:dyDescent="0.3">
      <c r="A78" s="62">
        <v>77</v>
      </c>
      <c r="B78" s="31"/>
      <c r="C78" s="26"/>
      <c r="D78" s="26"/>
      <c r="E78" s="27"/>
    </row>
    <row r="79" spans="1:5" ht="17.25" thickBot="1" x14ac:dyDescent="0.35">
      <c r="A79" s="65">
        <v>78</v>
      </c>
      <c r="B79" s="55"/>
      <c r="C79" s="56"/>
      <c r="D79" s="56"/>
      <c r="E79" s="47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79"/>
  <sheetViews>
    <sheetView workbookViewId="0">
      <selection sqref="A1:E79"/>
    </sheetView>
  </sheetViews>
  <sheetFormatPr defaultRowHeight="16.5" x14ac:dyDescent="0.3"/>
  <cols>
    <col min="4" max="4" width="11" bestFit="1" customWidth="1"/>
    <col min="5" max="5" width="11.625" bestFit="1" customWidth="1"/>
  </cols>
  <sheetData>
    <row r="1" spans="1:5" ht="17.25" thickBot="1" x14ac:dyDescent="0.35">
      <c r="A1" s="59"/>
      <c r="B1" s="45" t="s">
        <v>1818</v>
      </c>
      <c r="C1" s="44" t="s">
        <v>1</v>
      </c>
      <c r="D1" s="44" t="s">
        <v>2</v>
      </c>
      <c r="E1" s="7" t="s">
        <v>1819</v>
      </c>
    </row>
    <row r="2" spans="1:5" x14ac:dyDescent="0.3">
      <c r="A2" s="61">
        <v>2</v>
      </c>
      <c r="B2" s="39" t="s">
        <v>2403</v>
      </c>
      <c r="C2" s="37">
        <v>11555</v>
      </c>
      <c r="D2" s="37" t="s">
        <v>2404</v>
      </c>
      <c r="E2" s="28" t="s">
        <v>2405</v>
      </c>
    </row>
    <row r="3" spans="1:5" x14ac:dyDescent="0.3">
      <c r="A3" s="62">
        <v>3</v>
      </c>
      <c r="B3" s="31" t="s">
        <v>2406</v>
      </c>
      <c r="C3" s="37">
        <v>11556</v>
      </c>
      <c r="D3" s="26" t="s">
        <v>2407</v>
      </c>
      <c r="E3" s="27" t="s">
        <v>2402</v>
      </c>
    </row>
    <row r="4" spans="1:5" x14ac:dyDescent="0.3">
      <c r="A4" s="62">
        <v>4</v>
      </c>
      <c r="B4" s="31" t="s">
        <v>2408</v>
      </c>
      <c r="C4" s="37">
        <v>11557</v>
      </c>
      <c r="D4" s="26" t="s">
        <v>2409</v>
      </c>
      <c r="E4" s="27" t="s">
        <v>2410</v>
      </c>
    </row>
    <row r="5" spans="1:5" x14ac:dyDescent="0.3">
      <c r="A5" s="62">
        <v>5</v>
      </c>
      <c r="B5" s="31" t="s">
        <v>2411</v>
      </c>
      <c r="C5" s="37">
        <v>11559</v>
      </c>
      <c r="D5" s="26" t="s">
        <v>2412</v>
      </c>
      <c r="E5" s="27" t="s">
        <v>2402</v>
      </c>
    </row>
    <row r="6" spans="1:5" x14ac:dyDescent="0.3">
      <c r="A6" s="62">
        <v>6</v>
      </c>
      <c r="B6" s="31" t="s">
        <v>2413</v>
      </c>
      <c r="C6" s="37">
        <v>11561</v>
      </c>
      <c r="D6" s="26" t="s">
        <v>2469</v>
      </c>
      <c r="E6" s="27" t="s">
        <v>2402</v>
      </c>
    </row>
    <row r="7" spans="1:5" x14ac:dyDescent="0.3">
      <c r="A7" s="62">
        <v>7</v>
      </c>
      <c r="B7" s="31" t="s">
        <v>2415</v>
      </c>
      <c r="C7" s="37">
        <v>11562</v>
      </c>
      <c r="D7" s="26" t="s">
        <v>2414</v>
      </c>
      <c r="E7" s="27" t="s">
        <v>2402</v>
      </c>
    </row>
    <row r="8" spans="1:5" x14ac:dyDescent="0.3">
      <c r="A8" s="62">
        <v>8</v>
      </c>
      <c r="B8" s="31" t="s">
        <v>2416</v>
      </c>
      <c r="C8" s="37">
        <v>11563</v>
      </c>
      <c r="D8" s="26" t="s">
        <v>2417</v>
      </c>
      <c r="E8" s="27" t="s">
        <v>2402</v>
      </c>
    </row>
    <row r="9" spans="1:5" x14ac:dyDescent="0.3">
      <c r="A9" s="62">
        <v>1</v>
      </c>
      <c r="B9" s="31" t="s">
        <v>2400</v>
      </c>
      <c r="C9" s="37">
        <v>11564</v>
      </c>
      <c r="D9" s="26" t="s">
        <v>2401</v>
      </c>
      <c r="E9" s="27" t="s">
        <v>2402</v>
      </c>
    </row>
    <row r="10" spans="1:5" x14ac:dyDescent="0.3">
      <c r="A10" s="62">
        <v>9</v>
      </c>
      <c r="B10" s="31" t="s">
        <v>2418</v>
      </c>
      <c r="C10" s="37">
        <v>11564</v>
      </c>
      <c r="D10" s="26" t="s">
        <v>2419</v>
      </c>
      <c r="E10" s="27" t="s">
        <v>2402</v>
      </c>
    </row>
    <row r="11" spans="1:5" x14ac:dyDescent="0.3">
      <c r="A11" s="62">
        <v>10</v>
      </c>
      <c r="B11" s="31" t="s">
        <v>2420</v>
      </c>
      <c r="C11" s="37">
        <v>11565</v>
      </c>
      <c r="D11" s="26" t="s">
        <v>2421</v>
      </c>
      <c r="E11" s="27" t="s">
        <v>2410</v>
      </c>
    </row>
    <row r="12" spans="1:5" x14ac:dyDescent="0.3">
      <c r="A12" s="62">
        <v>11</v>
      </c>
      <c r="B12" s="31" t="s">
        <v>2422</v>
      </c>
      <c r="C12" s="37">
        <v>11566</v>
      </c>
      <c r="D12" s="26" t="s">
        <v>2423</v>
      </c>
      <c r="E12" s="27" t="s">
        <v>2405</v>
      </c>
    </row>
    <row r="13" spans="1:5" x14ac:dyDescent="0.3">
      <c r="A13" s="62">
        <v>12</v>
      </c>
      <c r="B13" s="31" t="s">
        <v>2424</v>
      </c>
      <c r="C13" s="37">
        <v>11567</v>
      </c>
      <c r="D13" s="26" t="s">
        <v>2425</v>
      </c>
      <c r="E13" s="27" t="s">
        <v>2426</v>
      </c>
    </row>
    <row r="14" spans="1:5" x14ac:dyDescent="0.3">
      <c r="A14" s="62">
        <v>13</v>
      </c>
      <c r="B14" s="31" t="s">
        <v>2427</v>
      </c>
      <c r="C14" s="37">
        <v>11568</v>
      </c>
      <c r="D14" s="26" t="s">
        <v>2428</v>
      </c>
      <c r="E14" s="27" t="s">
        <v>2402</v>
      </c>
    </row>
    <row r="15" spans="1:5" x14ac:dyDescent="0.3">
      <c r="A15" s="62">
        <v>14</v>
      </c>
      <c r="B15" s="31" t="s">
        <v>2429</v>
      </c>
      <c r="C15" s="37">
        <v>11569</v>
      </c>
      <c r="D15" s="26" t="s">
        <v>2430</v>
      </c>
      <c r="E15" s="27" t="s">
        <v>2410</v>
      </c>
    </row>
    <row r="16" spans="1:5" x14ac:dyDescent="0.3">
      <c r="A16" s="62">
        <v>15</v>
      </c>
      <c r="B16" s="31" t="s">
        <v>2431</v>
      </c>
      <c r="C16" s="37">
        <v>11570</v>
      </c>
      <c r="D16" s="26" t="s">
        <v>2432</v>
      </c>
      <c r="E16" s="27" t="s">
        <v>2402</v>
      </c>
    </row>
    <row r="17" spans="1:5" x14ac:dyDescent="0.3">
      <c r="A17" s="62">
        <v>16</v>
      </c>
      <c r="B17" s="31" t="s">
        <v>2433</v>
      </c>
      <c r="C17" s="37">
        <v>11571</v>
      </c>
      <c r="D17" s="26" t="s">
        <v>2434</v>
      </c>
      <c r="E17" s="27" t="s">
        <v>2402</v>
      </c>
    </row>
    <row r="18" spans="1:5" x14ac:dyDescent="0.3">
      <c r="A18" s="62">
        <v>17</v>
      </c>
      <c r="B18" s="31" t="s">
        <v>2435</v>
      </c>
      <c r="C18" s="37">
        <v>11572</v>
      </c>
      <c r="D18" s="26" t="s">
        <v>2436</v>
      </c>
      <c r="E18" s="27" t="s">
        <v>2437</v>
      </c>
    </row>
    <row r="19" spans="1:5" x14ac:dyDescent="0.3">
      <c r="A19" s="62">
        <v>20</v>
      </c>
      <c r="B19" s="31" t="s">
        <v>2441</v>
      </c>
      <c r="C19" s="37">
        <v>11573</v>
      </c>
      <c r="D19" s="26" t="s">
        <v>2442</v>
      </c>
      <c r="E19" s="27" t="s">
        <v>2437</v>
      </c>
    </row>
    <row r="20" spans="1:5" x14ac:dyDescent="0.3">
      <c r="A20" s="62">
        <v>18</v>
      </c>
      <c r="B20" s="31" t="s">
        <v>2438</v>
      </c>
      <c r="C20" s="37">
        <v>11574</v>
      </c>
      <c r="D20" s="26" t="s">
        <v>2439</v>
      </c>
      <c r="E20" s="27" t="s">
        <v>2410</v>
      </c>
    </row>
    <row r="21" spans="1:5" x14ac:dyDescent="0.3">
      <c r="A21" s="62">
        <v>21</v>
      </c>
      <c r="B21" s="31" t="s">
        <v>2443</v>
      </c>
      <c r="C21" s="37">
        <v>11574</v>
      </c>
      <c r="D21" s="26" t="s">
        <v>2444</v>
      </c>
      <c r="E21" s="27" t="s">
        <v>2410</v>
      </c>
    </row>
    <row r="22" spans="1:5" x14ac:dyDescent="0.3">
      <c r="A22" s="62">
        <v>19</v>
      </c>
      <c r="B22" s="31" t="s">
        <v>2440</v>
      </c>
      <c r="C22" s="37">
        <v>11575</v>
      </c>
      <c r="D22" s="26" t="s">
        <v>2470</v>
      </c>
      <c r="E22" s="27" t="s">
        <v>2437</v>
      </c>
    </row>
    <row r="23" spans="1:5" x14ac:dyDescent="0.3">
      <c r="A23" s="62">
        <v>22</v>
      </c>
      <c r="B23" s="31" t="s">
        <v>2445</v>
      </c>
      <c r="C23" s="37">
        <v>11577</v>
      </c>
      <c r="D23" s="26" t="s">
        <v>2446</v>
      </c>
      <c r="E23" s="27" t="s">
        <v>2402</v>
      </c>
    </row>
    <row r="24" spans="1:5" x14ac:dyDescent="0.3">
      <c r="A24" s="62">
        <v>23</v>
      </c>
      <c r="B24" s="31" t="s">
        <v>2447</v>
      </c>
      <c r="C24" s="37">
        <v>11578</v>
      </c>
      <c r="D24" s="26" t="s">
        <v>2448</v>
      </c>
      <c r="E24" s="27" t="s">
        <v>2402</v>
      </c>
    </row>
    <row r="25" spans="1:5" x14ac:dyDescent="0.3">
      <c r="A25" s="62">
        <v>24</v>
      </c>
      <c r="B25" s="31" t="s">
        <v>2449</v>
      </c>
      <c r="C25" s="37">
        <v>11579</v>
      </c>
      <c r="D25" s="26" t="s">
        <v>2471</v>
      </c>
      <c r="E25" s="27" t="s">
        <v>2450</v>
      </c>
    </row>
    <row r="26" spans="1:5" x14ac:dyDescent="0.3">
      <c r="A26" s="62">
        <v>25</v>
      </c>
      <c r="B26" s="31" t="s">
        <v>2451</v>
      </c>
      <c r="C26" s="37">
        <v>11580</v>
      </c>
      <c r="D26" s="26" t="s">
        <v>2452</v>
      </c>
      <c r="E26" s="27" t="s">
        <v>2402</v>
      </c>
    </row>
    <row r="27" spans="1:5" x14ac:dyDescent="0.3">
      <c r="A27" s="62">
        <v>28</v>
      </c>
      <c r="B27" s="31" t="s">
        <v>2468</v>
      </c>
      <c r="C27" s="37">
        <v>11581</v>
      </c>
      <c r="D27" s="26" t="s">
        <v>2456</v>
      </c>
      <c r="E27" s="27" t="s">
        <v>2455</v>
      </c>
    </row>
    <row r="28" spans="1:5" x14ac:dyDescent="0.3">
      <c r="A28" s="62">
        <v>29</v>
      </c>
      <c r="B28" s="31" t="s">
        <v>2457</v>
      </c>
      <c r="C28" s="37">
        <v>11582</v>
      </c>
      <c r="D28" s="26" t="s">
        <v>2458</v>
      </c>
      <c r="E28" s="27" t="s">
        <v>2455</v>
      </c>
    </row>
    <row r="29" spans="1:5" x14ac:dyDescent="0.3">
      <c r="A29" s="62">
        <v>30</v>
      </c>
      <c r="B29" s="31" t="s">
        <v>2459</v>
      </c>
      <c r="C29" s="37">
        <v>11583</v>
      </c>
      <c r="D29" s="26" t="s">
        <v>2460</v>
      </c>
      <c r="E29" s="27" t="s">
        <v>2461</v>
      </c>
    </row>
    <row r="30" spans="1:5" x14ac:dyDescent="0.3">
      <c r="A30" s="62">
        <v>26</v>
      </c>
      <c r="B30" s="31" t="s">
        <v>2453</v>
      </c>
      <c r="C30" s="37">
        <v>11584</v>
      </c>
      <c r="D30" s="26" t="s">
        <v>2454</v>
      </c>
      <c r="E30" s="27" t="s">
        <v>2455</v>
      </c>
    </row>
    <row r="31" spans="1:5" x14ac:dyDescent="0.3">
      <c r="A31" s="62">
        <v>31</v>
      </c>
      <c r="B31" s="31" t="s">
        <v>2462</v>
      </c>
      <c r="C31" s="26">
        <v>11585</v>
      </c>
      <c r="D31" s="26" t="s">
        <v>2463</v>
      </c>
      <c r="E31" s="27" t="s">
        <v>2455</v>
      </c>
    </row>
    <row r="32" spans="1:5" x14ac:dyDescent="0.3">
      <c r="A32" s="62">
        <v>32</v>
      </c>
      <c r="B32" s="31" t="s">
        <v>2464</v>
      </c>
      <c r="C32" s="26">
        <v>11586</v>
      </c>
      <c r="D32" s="26" t="s">
        <v>2465</v>
      </c>
      <c r="E32" s="27" t="s">
        <v>2455</v>
      </c>
    </row>
    <row r="33" spans="1:5" x14ac:dyDescent="0.3">
      <c r="A33" s="62">
        <v>33</v>
      </c>
      <c r="B33" s="31" t="s">
        <v>2466</v>
      </c>
      <c r="C33" s="26">
        <v>11587</v>
      </c>
      <c r="D33" s="26" t="s">
        <v>2467</v>
      </c>
      <c r="E33" s="27" t="s">
        <v>2455</v>
      </c>
    </row>
    <row r="34" spans="1:5" x14ac:dyDescent="0.3">
      <c r="A34" s="62">
        <v>27</v>
      </c>
      <c r="B34" s="31" t="s">
        <v>2472</v>
      </c>
      <c r="C34" s="26">
        <v>11588</v>
      </c>
      <c r="D34" s="26" t="s">
        <v>2473</v>
      </c>
      <c r="E34" s="27" t="s">
        <v>2474</v>
      </c>
    </row>
    <row r="35" spans="1:5" x14ac:dyDescent="0.3">
      <c r="A35" s="62">
        <v>34</v>
      </c>
      <c r="B35" s="31" t="s">
        <v>2475</v>
      </c>
      <c r="C35" s="26">
        <v>11589</v>
      </c>
      <c r="D35" s="26" t="s">
        <v>2476</v>
      </c>
      <c r="E35" s="27" t="s">
        <v>2474</v>
      </c>
    </row>
    <row r="36" spans="1:5" x14ac:dyDescent="0.3">
      <c r="A36" s="62">
        <v>35</v>
      </c>
      <c r="B36" s="31" t="s">
        <v>2477</v>
      </c>
      <c r="C36" s="26">
        <v>11590</v>
      </c>
      <c r="D36" s="26" t="s">
        <v>2478</v>
      </c>
      <c r="E36" s="27" t="s">
        <v>872</v>
      </c>
    </row>
    <row r="37" spans="1:5" x14ac:dyDescent="0.3">
      <c r="A37" s="62">
        <v>36</v>
      </c>
      <c r="B37" s="31" t="s">
        <v>2479</v>
      </c>
      <c r="C37" s="26">
        <v>11591</v>
      </c>
      <c r="D37" s="26" t="s">
        <v>2480</v>
      </c>
      <c r="E37" s="27" t="s">
        <v>2481</v>
      </c>
    </row>
    <row r="38" spans="1:5" x14ac:dyDescent="0.3">
      <c r="A38" s="62">
        <v>37</v>
      </c>
      <c r="B38" s="31" t="s">
        <v>2482</v>
      </c>
      <c r="C38" s="26">
        <v>11592</v>
      </c>
      <c r="D38" s="26" t="s">
        <v>2483</v>
      </c>
      <c r="E38" s="27" t="s">
        <v>2484</v>
      </c>
    </row>
    <row r="39" spans="1:5" x14ac:dyDescent="0.3">
      <c r="A39" s="62">
        <v>38</v>
      </c>
      <c r="B39" s="31" t="s">
        <v>2485</v>
      </c>
      <c r="C39" s="26">
        <v>11593</v>
      </c>
      <c r="D39" s="26" t="s">
        <v>2486</v>
      </c>
      <c r="E39" s="27" t="s">
        <v>2487</v>
      </c>
    </row>
    <row r="40" spans="1:5" x14ac:dyDescent="0.3">
      <c r="A40" s="62">
        <v>39</v>
      </c>
      <c r="B40" s="31" t="s">
        <v>2488</v>
      </c>
      <c r="C40" s="26">
        <v>11594</v>
      </c>
      <c r="D40" s="26" t="s">
        <v>2489</v>
      </c>
      <c r="E40" s="27" t="s">
        <v>2484</v>
      </c>
    </row>
    <row r="41" spans="1:5" x14ac:dyDescent="0.3">
      <c r="A41" s="62">
        <v>40</v>
      </c>
      <c r="B41" s="31" t="s">
        <v>2490</v>
      </c>
      <c r="C41" s="26">
        <v>11595</v>
      </c>
      <c r="D41" s="26" t="s">
        <v>2491</v>
      </c>
      <c r="E41" s="27" t="s">
        <v>2484</v>
      </c>
    </row>
    <row r="42" spans="1:5" x14ac:dyDescent="0.3">
      <c r="A42" s="62">
        <v>41</v>
      </c>
      <c r="B42" s="31" t="s">
        <v>2492</v>
      </c>
      <c r="C42" s="26">
        <v>11596</v>
      </c>
      <c r="D42" s="26" t="s">
        <v>2493</v>
      </c>
      <c r="E42" s="27" t="s">
        <v>2484</v>
      </c>
    </row>
    <row r="43" spans="1:5" x14ac:dyDescent="0.3">
      <c r="A43" s="62">
        <v>42</v>
      </c>
      <c r="B43" s="31" t="s">
        <v>2494</v>
      </c>
      <c r="C43" s="26">
        <v>11597</v>
      </c>
      <c r="D43" s="26" t="s">
        <v>2495</v>
      </c>
      <c r="E43" s="27" t="s">
        <v>2484</v>
      </c>
    </row>
    <row r="44" spans="1:5" x14ac:dyDescent="0.3">
      <c r="A44" s="62">
        <v>43</v>
      </c>
      <c r="B44" s="31" t="s">
        <v>2496</v>
      </c>
      <c r="C44" s="26">
        <v>11598</v>
      </c>
      <c r="D44" s="26" t="s">
        <v>2497</v>
      </c>
      <c r="E44" s="27" t="s">
        <v>2498</v>
      </c>
    </row>
    <row r="45" spans="1:5" x14ac:dyDescent="0.3">
      <c r="A45" s="62">
        <v>44</v>
      </c>
      <c r="B45" s="31" t="s">
        <v>2499</v>
      </c>
      <c r="C45" s="26">
        <v>11599</v>
      </c>
      <c r="D45" s="26" t="s">
        <v>2500</v>
      </c>
      <c r="E45" s="27" t="s">
        <v>2484</v>
      </c>
    </row>
    <row r="46" spans="1:5" x14ac:dyDescent="0.3">
      <c r="A46" s="62">
        <v>45</v>
      </c>
      <c r="B46" s="31" t="s">
        <v>2501</v>
      </c>
      <c r="C46" s="26">
        <v>11600</v>
      </c>
      <c r="D46" s="26" t="s">
        <v>2502</v>
      </c>
      <c r="E46" s="27" t="s">
        <v>2503</v>
      </c>
    </row>
    <row r="47" spans="1:5" x14ac:dyDescent="0.3">
      <c r="A47" s="62">
        <v>46</v>
      </c>
      <c r="B47" s="31" t="s">
        <v>2504</v>
      </c>
      <c r="C47" s="26">
        <v>11601</v>
      </c>
      <c r="D47" s="26" t="s">
        <v>2505</v>
      </c>
      <c r="E47" s="27" t="s">
        <v>2484</v>
      </c>
    </row>
    <row r="48" spans="1:5" x14ac:dyDescent="0.3">
      <c r="A48" s="62">
        <v>47</v>
      </c>
      <c r="B48" s="31" t="s">
        <v>2506</v>
      </c>
      <c r="C48" s="26">
        <v>11602</v>
      </c>
      <c r="D48" s="26" t="s">
        <v>2507</v>
      </c>
      <c r="E48" s="27" t="s">
        <v>2503</v>
      </c>
    </row>
    <row r="49" spans="1:5" x14ac:dyDescent="0.3">
      <c r="A49" s="62">
        <v>48</v>
      </c>
      <c r="B49" s="31" t="s">
        <v>2508</v>
      </c>
      <c r="C49" s="26">
        <v>11603</v>
      </c>
      <c r="D49" s="26" t="s">
        <v>2509</v>
      </c>
      <c r="E49" s="27" t="s">
        <v>2510</v>
      </c>
    </row>
    <row r="50" spans="1:5" x14ac:dyDescent="0.3">
      <c r="A50" s="62">
        <v>49</v>
      </c>
      <c r="B50" s="31" t="s">
        <v>2511</v>
      </c>
      <c r="C50" s="26">
        <v>11604</v>
      </c>
      <c r="D50" s="26" t="s">
        <v>2512</v>
      </c>
      <c r="E50" s="27" t="s">
        <v>2503</v>
      </c>
    </row>
    <row r="51" spans="1:5" x14ac:dyDescent="0.3">
      <c r="A51" s="62">
        <v>50</v>
      </c>
      <c r="B51" s="31" t="s">
        <v>2513</v>
      </c>
      <c r="C51" s="26">
        <v>11605</v>
      </c>
      <c r="D51" s="26" t="s">
        <v>2514</v>
      </c>
      <c r="E51" s="27" t="s">
        <v>2498</v>
      </c>
    </row>
    <row r="52" spans="1:5" x14ac:dyDescent="0.3">
      <c r="A52" s="62">
        <v>51</v>
      </c>
      <c r="B52" s="31" t="s">
        <v>2515</v>
      </c>
      <c r="C52" s="26">
        <v>11606</v>
      </c>
      <c r="D52" s="26" t="s">
        <v>2516</v>
      </c>
      <c r="E52" s="27" t="s">
        <v>2484</v>
      </c>
    </row>
    <row r="53" spans="1:5" x14ac:dyDescent="0.3">
      <c r="A53" s="62">
        <v>52</v>
      </c>
      <c r="B53" s="31" t="s">
        <v>2517</v>
      </c>
      <c r="C53" s="26">
        <v>11607</v>
      </c>
      <c r="D53" s="26" t="s">
        <v>2518</v>
      </c>
      <c r="E53" s="27" t="s">
        <v>2484</v>
      </c>
    </row>
    <row r="54" spans="1:5" x14ac:dyDescent="0.3">
      <c r="A54" s="62">
        <v>53</v>
      </c>
      <c r="B54" s="31" t="s">
        <v>2519</v>
      </c>
      <c r="C54" s="26">
        <v>11608</v>
      </c>
      <c r="D54" s="26" t="s">
        <v>2520</v>
      </c>
      <c r="E54" s="27" t="s">
        <v>2521</v>
      </c>
    </row>
    <row r="55" spans="1:5" x14ac:dyDescent="0.3">
      <c r="A55" s="62">
        <v>54</v>
      </c>
      <c r="B55" s="31" t="s">
        <v>2522</v>
      </c>
      <c r="C55" s="26">
        <v>11609</v>
      </c>
      <c r="D55" s="26" t="s">
        <v>2523</v>
      </c>
      <c r="E55" s="27" t="s">
        <v>2484</v>
      </c>
    </row>
    <row r="56" spans="1:5" x14ac:dyDescent="0.3">
      <c r="A56" s="62">
        <v>55</v>
      </c>
      <c r="B56" s="31" t="s">
        <v>2524</v>
      </c>
      <c r="C56" s="26">
        <v>11610</v>
      </c>
      <c r="D56" s="26" t="s">
        <v>2525</v>
      </c>
      <c r="E56" s="27" t="s">
        <v>2484</v>
      </c>
    </row>
    <row r="57" spans="1:5" x14ac:dyDescent="0.3">
      <c r="A57" s="62">
        <v>56</v>
      </c>
      <c r="B57" s="31"/>
      <c r="C57" s="26"/>
      <c r="D57" s="26"/>
      <c r="E57" s="27"/>
    </row>
    <row r="58" spans="1:5" x14ac:dyDescent="0.3">
      <c r="A58" s="62">
        <v>57</v>
      </c>
      <c r="B58" s="31"/>
      <c r="C58" s="26"/>
      <c r="D58" s="26"/>
      <c r="E58" s="27"/>
    </row>
    <row r="59" spans="1:5" x14ac:dyDescent="0.3">
      <c r="A59" s="62">
        <v>58</v>
      </c>
      <c r="B59" s="31"/>
      <c r="C59" s="26"/>
      <c r="D59" s="26"/>
      <c r="E59" s="27"/>
    </row>
    <row r="60" spans="1:5" x14ac:dyDescent="0.3">
      <c r="A60" s="62">
        <v>59</v>
      </c>
      <c r="B60" s="31"/>
      <c r="C60" s="26"/>
      <c r="D60" s="26"/>
      <c r="E60" s="27"/>
    </row>
    <row r="61" spans="1:5" x14ac:dyDescent="0.3">
      <c r="A61" s="62">
        <v>60</v>
      </c>
      <c r="B61" s="31"/>
      <c r="C61" s="26"/>
      <c r="D61" s="26"/>
      <c r="E61" s="27"/>
    </row>
    <row r="62" spans="1:5" x14ac:dyDescent="0.3">
      <c r="A62" s="62">
        <v>61</v>
      </c>
      <c r="B62" s="31"/>
      <c r="C62" s="26"/>
      <c r="D62" s="26"/>
      <c r="E62" s="27"/>
    </row>
    <row r="63" spans="1:5" x14ac:dyDescent="0.3">
      <c r="A63" s="62">
        <v>62</v>
      </c>
      <c r="B63" s="31"/>
      <c r="C63" s="26"/>
      <c r="D63" s="26"/>
      <c r="E63" s="27"/>
    </row>
    <row r="64" spans="1:5" x14ac:dyDescent="0.3">
      <c r="A64" s="62">
        <v>63</v>
      </c>
      <c r="B64" s="31"/>
      <c r="C64" s="26"/>
      <c r="D64" s="26"/>
      <c r="E64" s="27"/>
    </row>
    <row r="65" spans="1:5" x14ac:dyDescent="0.3">
      <c r="A65" s="62">
        <v>64</v>
      </c>
      <c r="B65" s="31"/>
      <c r="C65" s="26"/>
      <c r="D65" s="26"/>
      <c r="E65" s="27"/>
    </row>
    <row r="66" spans="1:5" x14ac:dyDescent="0.3">
      <c r="A66" s="62">
        <v>65</v>
      </c>
      <c r="B66" s="31"/>
      <c r="C66" s="26"/>
      <c r="D66" s="26"/>
      <c r="E66" s="27"/>
    </row>
    <row r="67" spans="1:5" x14ac:dyDescent="0.3">
      <c r="A67" s="62">
        <v>66</v>
      </c>
      <c r="B67" s="31"/>
      <c r="C67" s="26"/>
      <c r="D67" s="26"/>
      <c r="E67" s="27"/>
    </row>
    <row r="68" spans="1:5" x14ac:dyDescent="0.3">
      <c r="A68" s="62">
        <v>67</v>
      </c>
      <c r="B68" s="31"/>
      <c r="C68" s="26"/>
      <c r="D68" s="26"/>
      <c r="E68" s="27"/>
    </row>
    <row r="69" spans="1:5" x14ac:dyDescent="0.3">
      <c r="A69" s="62">
        <v>68</v>
      </c>
      <c r="B69" s="31"/>
      <c r="C69" s="26"/>
      <c r="D69" s="26"/>
      <c r="E69" s="27"/>
    </row>
    <row r="70" spans="1:5" x14ac:dyDescent="0.3">
      <c r="A70" s="62">
        <v>69</v>
      </c>
      <c r="B70" s="31"/>
      <c r="C70" s="26"/>
      <c r="D70" s="26"/>
      <c r="E70" s="27"/>
    </row>
    <row r="71" spans="1:5" x14ac:dyDescent="0.3">
      <c r="A71" s="62">
        <v>70</v>
      </c>
      <c r="B71" s="31"/>
      <c r="C71" s="26"/>
      <c r="D71" s="26"/>
      <c r="E71" s="27"/>
    </row>
    <row r="72" spans="1:5" x14ac:dyDescent="0.3">
      <c r="A72" s="62">
        <v>71</v>
      </c>
      <c r="B72" s="31"/>
      <c r="C72" s="26"/>
      <c r="D72" s="26"/>
      <c r="E72" s="27"/>
    </row>
    <row r="73" spans="1:5" x14ac:dyDescent="0.3">
      <c r="A73" s="62">
        <v>72</v>
      </c>
      <c r="B73" s="31"/>
      <c r="C73" s="26"/>
      <c r="D73" s="26"/>
      <c r="E73" s="27"/>
    </row>
    <row r="74" spans="1:5" x14ac:dyDescent="0.3">
      <c r="A74" s="62">
        <v>73</v>
      </c>
      <c r="B74" s="31"/>
      <c r="C74" s="26"/>
      <c r="D74" s="26"/>
      <c r="E74" s="27"/>
    </row>
    <row r="75" spans="1:5" x14ac:dyDescent="0.3">
      <c r="A75" s="62">
        <v>74</v>
      </c>
      <c r="B75" s="31"/>
      <c r="C75" s="26"/>
      <c r="D75" s="26"/>
      <c r="E75" s="27"/>
    </row>
    <row r="76" spans="1:5" x14ac:dyDescent="0.3">
      <c r="A76" s="62">
        <v>75</v>
      </c>
      <c r="B76" s="31"/>
      <c r="C76" s="26"/>
      <c r="D76" s="26"/>
      <c r="E76" s="27"/>
    </row>
    <row r="77" spans="1:5" x14ac:dyDescent="0.3">
      <c r="A77" s="62">
        <v>76</v>
      </c>
      <c r="B77" s="31"/>
      <c r="C77" s="26"/>
      <c r="D77" s="26"/>
      <c r="E77" s="27"/>
    </row>
    <row r="78" spans="1:5" x14ac:dyDescent="0.3">
      <c r="A78" s="62">
        <v>77</v>
      </c>
      <c r="B78" s="31"/>
      <c r="C78" s="26"/>
      <c r="D78" s="26"/>
      <c r="E78" s="27"/>
    </row>
    <row r="79" spans="1:5" ht="17.25" thickBot="1" x14ac:dyDescent="0.35">
      <c r="A79" s="65">
        <v>78</v>
      </c>
      <c r="B79" s="55"/>
      <c r="C79" s="56"/>
      <c r="D79" s="56"/>
      <c r="E79" s="47"/>
    </row>
  </sheetData>
  <sortState xmlns:xlrd2="http://schemas.microsoft.com/office/spreadsheetml/2017/richdata2" ref="A2:E79">
    <sortCondition ref="C2:C79"/>
  </sortState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79"/>
  <sheetViews>
    <sheetView topLeftCell="A46" workbookViewId="0">
      <selection sqref="A1:E79"/>
    </sheetView>
  </sheetViews>
  <sheetFormatPr defaultRowHeight="16.5" x14ac:dyDescent="0.3"/>
  <sheetData>
    <row r="1" spans="1:5" ht="17.25" thickBot="1" x14ac:dyDescent="0.35">
      <c r="A1" s="59"/>
      <c r="B1" s="45" t="s">
        <v>1818</v>
      </c>
      <c r="C1" s="44" t="s">
        <v>1</v>
      </c>
      <c r="D1" s="44" t="s">
        <v>2</v>
      </c>
      <c r="E1" s="7" t="s">
        <v>1819</v>
      </c>
    </row>
    <row r="2" spans="1:5" x14ac:dyDescent="0.3">
      <c r="A2" s="61">
        <v>2</v>
      </c>
      <c r="B2" s="39" t="s">
        <v>2527</v>
      </c>
      <c r="C2" s="37"/>
      <c r="D2" s="37" t="s">
        <v>2526</v>
      </c>
      <c r="E2" s="28" t="s">
        <v>1824</v>
      </c>
    </row>
    <row r="3" spans="1:5" x14ac:dyDescent="0.3">
      <c r="A3" s="62">
        <v>3</v>
      </c>
      <c r="B3" s="31" t="s">
        <v>2528</v>
      </c>
      <c r="C3" s="37"/>
      <c r="D3" s="26" t="s">
        <v>2529</v>
      </c>
      <c r="E3" s="27" t="s">
        <v>581</v>
      </c>
    </row>
    <row r="4" spans="1:5" x14ac:dyDescent="0.3">
      <c r="A4" s="62">
        <v>4</v>
      </c>
      <c r="B4" s="31" t="s">
        <v>2530</v>
      </c>
      <c r="C4" s="37"/>
      <c r="D4" s="26" t="s">
        <v>2531</v>
      </c>
      <c r="E4" s="27" t="s">
        <v>1824</v>
      </c>
    </row>
    <row r="5" spans="1:5" x14ac:dyDescent="0.3">
      <c r="A5" s="62">
        <v>5</v>
      </c>
      <c r="B5" s="31" t="s">
        <v>2532</v>
      </c>
      <c r="C5" s="37"/>
      <c r="D5" s="26" t="s">
        <v>2533</v>
      </c>
      <c r="E5" s="27" t="s">
        <v>506</v>
      </c>
    </row>
    <row r="6" spans="1:5" x14ac:dyDescent="0.3">
      <c r="A6" s="62">
        <v>6</v>
      </c>
      <c r="B6" s="31" t="s">
        <v>2534</v>
      </c>
      <c r="C6" s="37"/>
      <c r="D6" s="26" t="s">
        <v>2535</v>
      </c>
      <c r="E6" s="27" t="s">
        <v>1824</v>
      </c>
    </row>
    <row r="7" spans="1:5" x14ac:dyDescent="0.3">
      <c r="A7" s="62">
        <v>7</v>
      </c>
      <c r="B7" s="31" t="s">
        <v>2536</v>
      </c>
      <c r="C7" s="37"/>
      <c r="D7" s="26" t="s">
        <v>2537</v>
      </c>
      <c r="E7" s="27" t="s">
        <v>1824</v>
      </c>
    </row>
    <row r="8" spans="1:5" x14ac:dyDescent="0.3">
      <c r="A8" s="62">
        <v>8</v>
      </c>
      <c r="B8" s="31" t="s">
        <v>2538</v>
      </c>
      <c r="C8" s="37"/>
      <c r="D8" s="26" t="s">
        <v>2539</v>
      </c>
      <c r="E8" s="27" t="s">
        <v>192</v>
      </c>
    </row>
    <row r="9" spans="1:5" x14ac:dyDescent="0.3">
      <c r="A9" s="62">
        <v>1</v>
      </c>
      <c r="B9" s="31" t="s">
        <v>1451</v>
      </c>
      <c r="C9" s="37"/>
      <c r="D9" s="26" t="s">
        <v>2540</v>
      </c>
      <c r="E9" s="27" t="s">
        <v>1824</v>
      </c>
    </row>
    <row r="10" spans="1:5" x14ac:dyDescent="0.3">
      <c r="A10" s="62">
        <v>9</v>
      </c>
      <c r="B10" s="31" t="s">
        <v>1250</v>
      </c>
      <c r="C10" s="37"/>
      <c r="D10" s="26" t="s">
        <v>2541</v>
      </c>
      <c r="E10" s="27" t="s">
        <v>1824</v>
      </c>
    </row>
    <row r="11" spans="1:5" x14ac:dyDescent="0.3">
      <c r="A11" s="62">
        <v>10</v>
      </c>
      <c r="B11" s="31" t="s">
        <v>2542</v>
      </c>
      <c r="C11" s="37"/>
      <c r="D11" s="26" t="s">
        <v>2543</v>
      </c>
      <c r="E11" s="27" t="s">
        <v>1824</v>
      </c>
    </row>
    <row r="12" spans="1:5" x14ac:dyDescent="0.3">
      <c r="A12" s="62">
        <v>11</v>
      </c>
      <c r="B12" s="31" t="s">
        <v>208</v>
      </c>
      <c r="C12" s="37"/>
      <c r="D12" s="26" t="s">
        <v>2544</v>
      </c>
      <c r="E12" s="27" t="s">
        <v>2545</v>
      </c>
    </row>
    <row r="13" spans="1:5" x14ac:dyDescent="0.3">
      <c r="A13" s="62">
        <v>12</v>
      </c>
      <c r="B13" s="31" t="s">
        <v>409</v>
      </c>
      <c r="C13" s="37"/>
      <c r="D13" s="26" t="s">
        <v>2546</v>
      </c>
      <c r="E13" s="27" t="s">
        <v>1824</v>
      </c>
    </row>
    <row r="14" spans="1:5" x14ac:dyDescent="0.3">
      <c r="A14" s="62">
        <v>13</v>
      </c>
      <c r="B14" s="31" t="s">
        <v>962</v>
      </c>
      <c r="C14" s="37"/>
      <c r="D14" s="26" t="s">
        <v>2547</v>
      </c>
      <c r="E14" s="27" t="s">
        <v>581</v>
      </c>
    </row>
    <row r="15" spans="1:5" x14ac:dyDescent="0.3">
      <c r="A15" s="62">
        <v>14</v>
      </c>
      <c r="B15" s="31" t="s">
        <v>544</v>
      </c>
      <c r="C15" s="37"/>
      <c r="D15" s="26" t="s">
        <v>2548</v>
      </c>
      <c r="E15" s="27" t="s">
        <v>284</v>
      </c>
    </row>
    <row r="16" spans="1:5" x14ac:dyDescent="0.3">
      <c r="A16" s="62">
        <v>15</v>
      </c>
      <c r="B16" s="31" t="s">
        <v>811</v>
      </c>
      <c r="C16" s="37"/>
      <c r="D16" s="26" t="s">
        <v>2549</v>
      </c>
      <c r="E16" s="27" t="s">
        <v>1931</v>
      </c>
    </row>
    <row r="17" spans="1:5" x14ac:dyDescent="0.3">
      <c r="A17" s="62">
        <v>16</v>
      </c>
      <c r="B17" s="31" t="s">
        <v>2550</v>
      </c>
      <c r="C17" s="37"/>
      <c r="D17" s="26" t="s">
        <v>2551</v>
      </c>
      <c r="E17" s="27" t="s">
        <v>1931</v>
      </c>
    </row>
    <row r="18" spans="1:5" x14ac:dyDescent="0.3">
      <c r="A18" s="62">
        <v>17</v>
      </c>
      <c r="B18" s="31" t="s">
        <v>2552</v>
      </c>
      <c r="C18" s="37"/>
      <c r="D18" s="26" t="s">
        <v>2553</v>
      </c>
      <c r="E18" s="27" t="s">
        <v>1824</v>
      </c>
    </row>
    <row r="19" spans="1:5" x14ac:dyDescent="0.3">
      <c r="A19" s="62">
        <v>20</v>
      </c>
      <c r="B19" s="31" t="s">
        <v>967</v>
      </c>
      <c r="C19" s="37"/>
      <c r="D19" s="26" t="s">
        <v>2554</v>
      </c>
      <c r="E19" s="27" t="s">
        <v>1824</v>
      </c>
    </row>
    <row r="20" spans="1:5" x14ac:dyDescent="0.3">
      <c r="A20" s="62">
        <v>18</v>
      </c>
      <c r="B20" s="31" t="s">
        <v>2555</v>
      </c>
      <c r="C20" s="37"/>
      <c r="D20" s="26" t="s">
        <v>2556</v>
      </c>
      <c r="E20" s="27" t="s">
        <v>1931</v>
      </c>
    </row>
    <row r="21" spans="1:5" x14ac:dyDescent="0.3">
      <c r="A21" s="62">
        <v>21</v>
      </c>
      <c r="B21" s="31" t="s">
        <v>502</v>
      </c>
      <c r="C21" s="37"/>
      <c r="D21" s="26" t="s">
        <v>2557</v>
      </c>
      <c r="E21" s="27" t="s">
        <v>1824</v>
      </c>
    </row>
    <row r="22" spans="1:5" x14ac:dyDescent="0.3">
      <c r="A22" s="62">
        <v>19</v>
      </c>
      <c r="B22" s="31" t="s">
        <v>298</v>
      </c>
      <c r="C22" s="37"/>
      <c r="D22" s="26" t="s">
        <v>2558</v>
      </c>
      <c r="E22" s="27" t="s">
        <v>1824</v>
      </c>
    </row>
    <row r="23" spans="1:5" x14ac:dyDescent="0.3">
      <c r="A23" s="62">
        <v>22</v>
      </c>
      <c r="B23" s="31" t="s">
        <v>417</v>
      </c>
      <c r="C23" s="37"/>
      <c r="D23" s="26" t="s">
        <v>2559</v>
      </c>
      <c r="E23" s="27" t="s">
        <v>1824</v>
      </c>
    </row>
    <row r="24" spans="1:5" x14ac:dyDescent="0.3">
      <c r="A24" s="62">
        <v>23</v>
      </c>
      <c r="B24" s="31" t="s">
        <v>2560</v>
      </c>
      <c r="C24" s="37"/>
      <c r="D24" s="26" t="s">
        <v>2561</v>
      </c>
      <c r="E24" s="27" t="s">
        <v>1824</v>
      </c>
    </row>
    <row r="25" spans="1:5" x14ac:dyDescent="0.3">
      <c r="A25" s="62">
        <v>24</v>
      </c>
      <c r="B25" s="31" t="s">
        <v>2562</v>
      </c>
      <c r="C25" s="37"/>
      <c r="D25" s="26" t="s">
        <v>2563</v>
      </c>
      <c r="E25" s="27" t="s">
        <v>1824</v>
      </c>
    </row>
    <row r="26" spans="1:5" x14ac:dyDescent="0.3">
      <c r="A26" s="62">
        <v>25</v>
      </c>
      <c r="B26" s="31" t="s">
        <v>1050</v>
      </c>
      <c r="C26" s="37"/>
      <c r="D26" s="26" t="s">
        <v>2564</v>
      </c>
      <c r="E26" s="27" t="s">
        <v>1824</v>
      </c>
    </row>
    <row r="27" spans="1:5" x14ac:dyDescent="0.3">
      <c r="A27" s="62">
        <v>28</v>
      </c>
      <c r="B27" s="31" t="s">
        <v>2565</v>
      </c>
      <c r="C27" s="37"/>
      <c r="D27" s="26" t="s">
        <v>2566</v>
      </c>
      <c r="E27" s="27" t="s">
        <v>1824</v>
      </c>
    </row>
    <row r="28" spans="1:5" x14ac:dyDescent="0.3">
      <c r="A28" s="62">
        <v>29</v>
      </c>
      <c r="B28" s="31" t="s">
        <v>300</v>
      </c>
      <c r="C28" s="37"/>
      <c r="D28" s="26" t="s">
        <v>2567</v>
      </c>
      <c r="E28" s="27" t="s">
        <v>1824</v>
      </c>
    </row>
    <row r="29" spans="1:5" x14ac:dyDescent="0.3">
      <c r="A29" s="62">
        <v>30</v>
      </c>
      <c r="B29" s="31" t="s">
        <v>2568</v>
      </c>
      <c r="C29" s="37"/>
      <c r="D29" s="26" t="s">
        <v>2569</v>
      </c>
      <c r="E29" s="27" t="s">
        <v>284</v>
      </c>
    </row>
    <row r="30" spans="1:5" x14ac:dyDescent="0.3">
      <c r="A30" s="62">
        <v>26</v>
      </c>
      <c r="B30" s="31" t="s">
        <v>544</v>
      </c>
      <c r="C30" s="37"/>
      <c r="D30" s="26" t="s">
        <v>2570</v>
      </c>
      <c r="E30" s="27" t="s">
        <v>1824</v>
      </c>
    </row>
    <row r="31" spans="1:5" x14ac:dyDescent="0.3">
      <c r="A31" s="62">
        <v>31</v>
      </c>
      <c r="B31" s="31" t="s">
        <v>97</v>
      </c>
      <c r="C31" s="26"/>
      <c r="D31" s="26" t="s">
        <v>2571</v>
      </c>
      <c r="E31" s="27" t="s">
        <v>1824</v>
      </c>
    </row>
    <row r="32" spans="1:5" x14ac:dyDescent="0.3">
      <c r="A32" s="62">
        <v>32</v>
      </c>
      <c r="B32" s="31" t="s">
        <v>2572</v>
      </c>
      <c r="C32" s="26"/>
      <c r="D32" s="26" t="s">
        <v>2573</v>
      </c>
      <c r="E32" s="27" t="s">
        <v>1931</v>
      </c>
    </row>
    <row r="33" spans="1:5" x14ac:dyDescent="0.3">
      <c r="A33" s="62">
        <v>33</v>
      </c>
      <c r="B33" s="31" t="s">
        <v>2574</v>
      </c>
      <c r="C33" s="26"/>
      <c r="D33" s="26" t="s">
        <v>2575</v>
      </c>
      <c r="E33" s="27" t="s">
        <v>192</v>
      </c>
    </row>
    <row r="34" spans="1:5" x14ac:dyDescent="0.3">
      <c r="A34" s="62">
        <v>27</v>
      </c>
      <c r="B34" s="31" t="s">
        <v>2576</v>
      </c>
      <c r="C34" s="26"/>
      <c r="D34" s="26" t="s">
        <v>2577</v>
      </c>
      <c r="E34" s="27" t="s">
        <v>1824</v>
      </c>
    </row>
    <row r="35" spans="1:5" x14ac:dyDescent="0.3">
      <c r="A35" s="62">
        <v>34</v>
      </c>
      <c r="B35" s="31" t="s">
        <v>2578</v>
      </c>
      <c r="C35" s="26"/>
      <c r="D35" s="26" t="s">
        <v>2579</v>
      </c>
      <c r="E35" s="27" t="s">
        <v>581</v>
      </c>
    </row>
    <row r="36" spans="1:5" x14ac:dyDescent="0.3">
      <c r="A36" s="62">
        <v>35</v>
      </c>
      <c r="B36" s="31" t="s">
        <v>861</v>
      </c>
      <c r="C36" s="26"/>
      <c r="D36" s="26" t="s">
        <v>2580</v>
      </c>
      <c r="E36" s="27" t="s">
        <v>1824</v>
      </c>
    </row>
    <row r="37" spans="1:5" x14ac:dyDescent="0.3">
      <c r="A37" s="62">
        <v>36</v>
      </c>
      <c r="B37" s="31" t="s">
        <v>2581</v>
      </c>
      <c r="C37" s="26"/>
      <c r="D37" s="26" t="s">
        <v>2582</v>
      </c>
      <c r="E37" s="27" t="s">
        <v>2583</v>
      </c>
    </row>
    <row r="38" spans="1:5" x14ac:dyDescent="0.3">
      <c r="A38" s="62">
        <v>37</v>
      </c>
      <c r="B38" s="31" t="s">
        <v>2584</v>
      </c>
      <c r="C38" s="26"/>
      <c r="D38" s="26" t="s">
        <v>2585</v>
      </c>
      <c r="E38" s="27" t="s">
        <v>2583</v>
      </c>
    </row>
    <row r="39" spans="1:5" x14ac:dyDescent="0.3">
      <c r="A39" s="62">
        <v>38</v>
      </c>
      <c r="B39" s="31" t="s">
        <v>2586</v>
      </c>
      <c r="C39" s="26"/>
      <c r="D39" s="26" t="s">
        <v>2587</v>
      </c>
      <c r="E39" s="27" t="s">
        <v>2588</v>
      </c>
    </row>
    <row r="40" spans="1:5" x14ac:dyDescent="0.3">
      <c r="A40" s="62">
        <v>39</v>
      </c>
      <c r="B40" s="31" t="s">
        <v>2589</v>
      </c>
      <c r="C40" s="26"/>
      <c r="D40" s="26" t="s">
        <v>2590</v>
      </c>
      <c r="E40" s="27" t="s">
        <v>2583</v>
      </c>
    </row>
    <row r="41" spans="1:5" x14ac:dyDescent="0.3">
      <c r="A41" s="62">
        <v>40</v>
      </c>
      <c r="B41" s="31" t="s">
        <v>2591</v>
      </c>
      <c r="C41" s="26"/>
      <c r="D41" s="26" t="s">
        <v>2592</v>
      </c>
      <c r="E41" s="27" t="s">
        <v>2583</v>
      </c>
    </row>
    <row r="42" spans="1:5" x14ac:dyDescent="0.3">
      <c r="A42" s="62">
        <v>41</v>
      </c>
      <c r="B42" s="31" t="s">
        <v>2593</v>
      </c>
      <c r="C42" s="26"/>
      <c r="D42" s="26" t="s">
        <v>2594</v>
      </c>
      <c r="E42" s="27" t="s">
        <v>2583</v>
      </c>
    </row>
    <row r="43" spans="1:5" x14ac:dyDescent="0.3">
      <c r="A43" s="62">
        <v>42</v>
      </c>
      <c r="B43" s="31" t="s">
        <v>2595</v>
      </c>
      <c r="C43" s="26"/>
      <c r="D43" s="26" t="s">
        <v>2596</v>
      </c>
      <c r="E43" s="27" t="s">
        <v>2583</v>
      </c>
    </row>
    <row r="44" spans="1:5" x14ac:dyDescent="0.3">
      <c r="A44" s="62">
        <v>43</v>
      </c>
      <c r="B44" s="31" t="s">
        <v>2597</v>
      </c>
      <c r="C44" s="26"/>
      <c r="D44" s="26" t="s">
        <v>2598</v>
      </c>
      <c r="E44" s="27" t="s">
        <v>2583</v>
      </c>
    </row>
    <row r="45" spans="1:5" x14ac:dyDescent="0.3">
      <c r="A45" s="62">
        <v>44</v>
      </c>
      <c r="B45" s="31" t="s">
        <v>2599</v>
      </c>
      <c r="C45" s="26"/>
      <c r="D45" s="26" t="s">
        <v>2600</v>
      </c>
      <c r="E45" s="27" t="s">
        <v>2583</v>
      </c>
    </row>
    <row r="46" spans="1:5" x14ac:dyDescent="0.3">
      <c r="A46" s="62">
        <v>45</v>
      </c>
      <c r="B46" s="31" t="s">
        <v>2601</v>
      </c>
      <c r="C46" s="26"/>
      <c r="D46" s="26" t="s">
        <v>2602</v>
      </c>
      <c r="E46" s="27" t="s">
        <v>2583</v>
      </c>
    </row>
    <row r="47" spans="1:5" x14ac:dyDescent="0.3">
      <c r="A47" s="62">
        <v>46</v>
      </c>
      <c r="B47" s="31" t="s">
        <v>2603</v>
      </c>
      <c r="C47" s="26"/>
      <c r="D47" s="26" t="s">
        <v>2604</v>
      </c>
      <c r="E47" s="27" t="s">
        <v>2583</v>
      </c>
    </row>
    <row r="48" spans="1:5" x14ac:dyDescent="0.3">
      <c r="A48" s="62">
        <v>47</v>
      </c>
      <c r="B48" s="31" t="s">
        <v>2605</v>
      </c>
      <c r="C48" s="26"/>
      <c r="D48" s="26" t="s">
        <v>2606</v>
      </c>
      <c r="E48" s="27" t="s">
        <v>2583</v>
      </c>
    </row>
    <row r="49" spans="1:5" x14ac:dyDescent="0.3">
      <c r="A49" s="62">
        <v>48</v>
      </c>
      <c r="B49" s="31" t="s">
        <v>2607</v>
      </c>
      <c r="C49" s="26"/>
      <c r="D49" s="26" t="s">
        <v>2608</v>
      </c>
      <c r="E49" s="27" t="s">
        <v>2609</v>
      </c>
    </row>
    <row r="50" spans="1:5" x14ac:dyDescent="0.3">
      <c r="A50" s="62">
        <v>49</v>
      </c>
      <c r="B50" s="31" t="s">
        <v>2610</v>
      </c>
      <c r="C50" s="26"/>
      <c r="D50" s="26" t="s">
        <v>2611</v>
      </c>
      <c r="E50" s="27" t="s">
        <v>2583</v>
      </c>
    </row>
    <row r="51" spans="1:5" x14ac:dyDescent="0.3">
      <c r="A51" s="62">
        <v>50</v>
      </c>
      <c r="B51" s="31" t="s">
        <v>2612</v>
      </c>
      <c r="C51" s="26"/>
      <c r="D51" s="26" t="s">
        <v>2613</v>
      </c>
      <c r="E51" s="27" t="s">
        <v>2583</v>
      </c>
    </row>
    <row r="52" spans="1:5" x14ac:dyDescent="0.3">
      <c r="A52" s="62">
        <v>51</v>
      </c>
      <c r="B52" s="31" t="s">
        <v>2614</v>
      </c>
      <c r="C52" s="26"/>
      <c r="D52" s="26" t="s">
        <v>2615</v>
      </c>
      <c r="E52" s="27" t="s">
        <v>2616</v>
      </c>
    </row>
    <row r="53" spans="1:5" x14ac:dyDescent="0.3">
      <c r="A53" s="62">
        <v>52</v>
      </c>
      <c r="B53" s="31" t="s">
        <v>2617</v>
      </c>
      <c r="C53" s="26"/>
      <c r="D53" s="26" t="s">
        <v>2618</v>
      </c>
      <c r="E53" s="27" t="s">
        <v>2583</v>
      </c>
    </row>
    <row r="54" spans="1:5" x14ac:dyDescent="0.3">
      <c r="A54" s="62">
        <v>53</v>
      </c>
      <c r="B54" s="31" t="s">
        <v>2619</v>
      </c>
      <c r="C54" s="26"/>
      <c r="D54" s="26" t="s">
        <v>2620</v>
      </c>
      <c r="E54" s="27" t="s">
        <v>2616</v>
      </c>
    </row>
    <row r="55" spans="1:5" x14ac:dyDescent="0.3">
      <c r="A55" s="62">
        <v>54</v>
      </c>
      <c r="B55" s="31" t="s">
        <v>2621</v>
      </c>
      <c r="C55" s="26"/>
      <c r="D55" s="26" t="s">
        <v>2622</v>
      </c>
      <c r="E55" s="27" t="s">
        <v>2583</v>
      </c>
    </row>
    <row r="56" spans="1:5" x14ac:dyDescent="0.3">
      <c r="A56" s="62">
        <v>55</v>
      </c>
      <c r="B56" s="31" t="s">
        <v>2623</v>
      </c>
      <c r="C56" s="26"/>
      <c r="D56" s="26" t="s">
        <v>2624</v>
      </c>
      <c r="E56" s="27" t="s">
        <v>2583</v>
      </c>
    </row>
    <row r="57" spans="1:5" x14ac:dyDescent="0.3">
      <c r="A57" s="62">
        <v>56</v>
      </c>
      <c r="B57" s="31" t="s">
        <v>2625</v>
      </c>
      <c r="C57" s="26"/>
      <c r="D57" s="26" t="s">
        <v>2626</v>
      </c>
      <c r="E57" s="27" t="s">
        <v>2583</v>
      </c>
    </row>
    <row r="58" spans="1:5" x14ac:dyDescent="0.3">
      <c r="A58" s="62">
        <v>57</v>
      </c>
      <c r="B58" s="31" t="s">
        <v>2627</v>
      </c>
      <c r="C58" s="26"/>
      <c r="D58" s="26" t="s">
        <v>2628</v>
      </c>
      <c r="E58" s="27" t="s">
        <v>2583</v>
      </c>
    </row>
    <row r="59" spans="1:5" x14ac:dyDescent="0.3">
      <c r="A59" s="62">
        <v>58</v>
      </c>
      <c r="B59" s="31" t="s">
        <v>2629</v>
      </c>
      <c r="C59" s="26"/>
      <c r="D59" s="26" t="s">
        <v>2630</v>
      </c>
      <c r="E59" s="27" t="s">
        <v>2583</v>
      </c>
    </row>
    <row r="60" spans="1:5" x14ac:dyDescent="0.3">
      <c r="A60" s="62">
        <v>59</v>
      </c>
      <c r="B60" s="31" t="s">
        <v>2631</v>
      </c>
      <c r="C60" s="26"/>
      <c r="D60" s="26" t="s">
        <v>2632</v>
      </c>
      <c r="E60" s="27" t="s">
        <v>2583</v>
      </c>
    </row>
    <row r="61" spans="1:5" x14ac:dyDescent="0.3">
      <c r="A61" s="62">
        <v>60</v>
      </c>
      <c r="B61" s="31" t="s">
        <v>2633</v>
      </c>
      <c r="C61" s="26"/>
      <c r="D61" s="26" t="s">
        <v>2634</v>
      </c>
      <c r="E61" s="27" t="s">
        <v>2583</v>
      </c>
    </row>
    <row r="62" spans="1:5" x14ac:dyDescent="0.3">
      <c r="A62" s="62">
        <v>61</v>
      </c>
      <c r="B62" s="31" t="s">
        <v>2635</v>
      </c>
      <c r="C62" s="26"/>
      <c r="D62" s="26" t="s">
        <v>2636</v>
      </c>
      <c r="E62" s="27" t="s">
        <v>2583</v>
      </c>
    </row>
    <row r="63" spans="1:5" x14ac:dyDescent="0.3">
      <c r="A63" s="62">
        <v>62</v>
      </c>
      <c r="B63" s="31" t="s">
        <v>2637</v>
      </c>
      <c r="C63" s="26"/>
      <c r="D63" s="26" t="s">
        <v>2638</v>
      </c>
      <c r="E63" s="27" t="s">
        <v>2588</v>
      </c>
    </row>
    <row r="64" spans="1:5" x14ac:dyDescent="0.3">
      <c r="A64" s="62">
        <v>63</v>
      </c>
      <c r="B64" s="31" t="s">
        <v>2639</v>
      </c>
      <c r="C64" s="26"/>
      <c r="D64" s="26" t="s">
        <v>2640</v>
      </c>
      <c r="E64" s="27" t="s">
        <v>2588</v>
      </c>
    </row>
    <row r="65" spans="1:5" x14ac:dyDescent="0.3">
      <c r="A65" s="62">
        <v>64</v>
      </c>
      <c r="B65" s="31" t="s">
        <v>2617</v>
      </c>
      <c r="C65" s="26"/>
      <c r="D65" s="26" t="s">
        <v>2641</v>
      </c>
      <c r="E65" s="27" t="s">
        <v>2642</v>
      </c>
    </row>
    <row r="66" spans="1:5" x14ac:dyDescent="0.3">
      <c r="A66" s="62">
        <v>65</v>
      </c>
      <c r="B66" s="31" t="s">
        <v>2643</v>
      </c>
      <c r="C66" s="26"/>
      <c r="D66" s="26" t="s">
        <v>2644</v>
      </c>
      <c r="E66" s="27" t="s">
        <v>2642</v>
      </c>
    </row>
    <row r="67" spans="1:5" x14ac:dyDescent="0.3">
      <c r="A67" s="62">
        <v>66</v>
      </c>
      <c r="B67" s="31" t="s">
        <v>2645</v>
      </c>
      <c r="C67" s="26"/>
      <c r="D67" s="26" t="s">
        <v>2646</v>
      </c>
      <c r="E67" s="27" t="s">
        <v>2583</v>
      </c>
    </row>
    <row r="68" spans="1:5" x14ac:dyDescent="0.3">
      <c r="A68" s="62">
        <v>67</v>
      </c>
      <c r="B68" s="31" t="s">
        <v>2647</v>
      </c>
      <c r="C68" s="26"/>
      <c r="D68" s="26" t="s">
        <v>2648</v>
      </c>
      <c r="E68" s="27" t="s">
        <v>2583</v>
      </c>
    </row>
    <row r="69" spans="1:5" x14ac:dyDescent="0.3">
      <c r="A69" s="62">
        <v>68</v>
      </c>
      <c r="B69" s="31" t="s">
        <v>2649</v>
      </c>
      <c r="C69" s="26"/>
      <c r="D69" s="26" t="s">
        <v>2650</v>
      </c>
      <c r="E69" s="27" t="s">
        <v>2651</v>
      </c>
    </row>
    <row r="70" spans="1:5" x14ac:dyDescent="0.3">
      <c r="A70" s="62">
        <v>69</v>
      </c>
      <c r="B70" s="31" t="s">
        <v>2652</v>
      </c>
      <c r="C70" s="26"/>
      <c r="D70" s="26" t="s">
        <v>2653</v>
      </c>
      <c r="E70" s="27" t="s">
        <v>2651</v>
      </c>
    </row>
    <row r="71" spans="1:5" x14ac:dyDescent="0.3">
      <c r="A71" s="62">
        <v>70</v>
      </c>
      <c r="B71" s="31" t="s">
        <v>2654</v>
      </c>
      <c r="C71" s="26"/>
      <c r="D71" s="26" t="s">
        <v>2655</v>
      </c>
      <c r="E71" s="27" t="s">
        <v>2583</v>
      </c>
    </row>
    <row r="72" spans="1:5" x14ac:dyDescent="0.3">
      <c r="A72" s="62">
        <v>71</v>
      </c>
      <c r="B72" s="31" t="s">
        <v>2656</v>
      </c>
      <c r="C72" s="26"/>
      <c r="D72" s="26" t="s">
        <v>2657</v>
      </c>
      <c r="E72" s="27" t="s">
        <v>2583</v>
      </c>
    </row>
    <row r="73" spans="1:5" x14ac:dyDescent="0.3">
      <c r="A73" s="62">
        <v>72</v>
      </c>
      <c r="B73" s="31" t="s">
        <v>2659</v>
      </c>
      <c r="C73" s="26"/>
      <c r="D73" s="26" t="s">
        <v>2658</v>
      </c>
      <c r="E73" s="27" t="s">
        <v>2583</v>
      </c>
    </row>
    <row r="74" spans="1:5" x14ac:dyDescent="0.3">
      <c r="A74" s="62">
        <v>73</v>
      </c>
      <c r="B74" s="31" t="s">
        <v>2660</v>
      </c>
      <c r="C74" s="26"/>
      <c r="D74" s="26" t="s">
        <v>2661</v>
      </c>
      <c r="E74" s="27" t="s">
        <v>2616</v>
      </c>
    </row>
    <row r="75" spans="1:5" x14ac:dyDescent="0.3">
      <c r="A75" s="62">
        <v>74</v>
      </c>
      <c r="B75" s="31"/>
      <c r="C75" s="26"/>
      <c r="D75" s="26"/>
      <c r="E75" s="27"/>
    </row>
    <row r="76" spans="1:5" x14ac:dyDescent="0.3">
      <c r="A76" s="62">
        <v>75</v>
      </c>
      <c r="B76" s="31"/>
      <c r="C76" s="26"/>
      <c r="D76" s="26"/>
      <c r="E76" s="27"/>
    </row>
    <row r="77" spans="1:5" x14ac:dyDescent="0.3">
      <c r="A77" s="62">
        <v>76</v>
      </c>
      <c r="B77" s="31"/>
      <c r="C77" s="26"/>
      <c r="D77" s="26"/>
      <c r="E77" s="27"/>
    </row>
    <row r="78" spans="1:5" x14ac:dyDescent="0.3">
      <c r="A78" s="62">
        <v>77</v>
      </c>
      <c r="B78" s="31"/>
      <c r="C78" s="26"/>
      <c r="D78" s="26"/>
      <c r="E78" s="27"/>
    </row>
    <row r="79" spans="1:5" ht="17.25" thickBot="1" x14ac:dyDescent="0.35">
      <c r="A79" s="65">
        <v>78</v>
      </c>
      <c r="B79" s="55"/>
      <c r="C79" s="56"/>
      <c r="D79" s="56"/>
      <c r="E79" s="47"/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79"/>
  <sheetViews>
    <sheetView workbookViewId="0">
      <selection activeCell="I48" sqref="I48"/>
    </sheetView>
  </sheetViews>
  <sheetFormatPr defaultRowHeight="16.5" x14ac:dyDescent="0.3"/>
  <sheetData>
    <row r="1" spans="1:5" ht="17.25" thickBot="1" x14ac:dyDescent="0.35">
      <c r="A1" s="59"/>
      <c r="B1" s="45" t="s">
        <v>1818</v>
      </c>
      <c r="C1" s="44" t="s">
        <v>1</v>
      </c>
      <c r="D1" s="44" t="s">
        <v>2</v>
      </c>
      <c r="E1" s="7" t="s">
        <v>1819</v>
      </c>
    </row>
    <row r="2" spans="1:5" x14ac:dyDescent="0.3">
      <c r="A2" s="61">
        <v>2</v>
      </c>
      <c r="B2" s="39" t="s">
        <v>2662</v>
      </c>
      <c r="C2" s="37"/>
      <c r="D2" s="37" t="s">
        <v>2414</v>
      </c>
      <c r="E2" s="28" t="s">
        <v>28</v>
      </c>
    </row>
    <row r="3" spans="1:5" x14ac:dyDescent="0.3">
      <c r="A3" s="62">
        <v>3</v>
      </c>
      <c r="B3" s="31" t="s">
        <v>2663</v>
      </c>
      <c r="C3" s="37"/>
      <c r="D3" s="26" t="s">
        <v>2664</v>
      </c>
      <c r="E3" s="27" t="s">
        <v>1136</v>
      </c>
    </row>
    <row r="4" spans="1:5" x14ac:dyDescent="0.3">
      <c r="A4" s="62">
        <v>4</v>
      </c>
      <c r="B4" s="31" t="s">
        <v>318</v>
      </c>
      <c r="C4" s="37"/>
      <c r="D4" s="26" t="s">
        <v>2665</v>
      </c>
      <c r="E4" s="27" t="s">
        <v>28</v>
      </c>
    </row>
    <row r="5" spans="1:5" x14ac:dyDescent="0.3">
      <c r="A5" s="62">
        <v>5</v>
      </c>
      <c r="B5" s="31" t="s">
        <v>1203</v>
      </c>
      <c r="C5" s="37"/>
      <c r="D5" s="26" t="s">
        <v>2037</v>
      </c>
      <c r="E5" s="27" t="s">
        <v>28</v>
      </c>
    </row>
    <row r="6" spans="1:5" x14ac:dyDescent="0.3">
      <c r="A6" s="62">
        <v>6</v>
      </c>
      <c r="B6" s="31" t="s">
        <v>2666</v>
      </c>
      <c r="C6" s="37"/>
      <c r="D6" s="26" t="s">
        <v>2667</v>
      </c>
      <c r="E6" s="27" t="s">
        <v>28</v>
      </c>
    </row>
    <row r="7" spans="1:5" x14ac:dyDescent="0.3">
      <c r="A7" s="62">
        <v>7</v>
      </c>
      <c r="B7" s="31" t="s">
        <v>2668</v>
      </c>
      <c r="C7" s="37"/>
      <c r="D7" s="26" t="s">
        <v>2669</v>
      </c>
      <c r="E7" s="27" t="s">
        <v>28</v>
      </c>
    </row>
    <row r="8" spans="1:5" x14ac:dyDescent="0.3">
      <c r="A8" s="62">
        <v>8</v>
      </c>
      <c r="B8" s="31" t="s">
        <v>358</v>
      </c>
      <c r="C8" s="37"/>
      <c r="D8" s="26" t="s">
        <v>2670</v>
      </c>
      <c r="E8" s="27" t="s">
        <v>28</v>
      </c>
    </row>
    <row r="9" spans="1:5" x14ac:dyDescent="0.3">
      <c r="A9" s="62">
        <v>1</v>
      </c>
      <c r="B9" s="31" t="s">
        <v>2671</v>
      </c>
      <c r="C9" s="37"/>
      <c r="D9" s="26" t="s">
        <v>2672</v>
      </c>
      <c r="E9" s="27" t="s">
        <v>28</v>
      </c>
    </row>
    <row r="10" spans="1:5" x14ac:dyDescent="0.3">
      <c r="A10" s="62">
        <v>9</v>
      </c>
      <c r="B10" s="31" t="s">
        <v>2673</v>
      </c>
      <c r="C10" s="37"/>
      <c r="D10" s="26" t="s">
        <v>2674</v>
      </c>
      <c r="E10" s="27" t="s">
        <v>28</v>
      </c>
    </row>
    <row r="11" spans="1:5" x14ac:dyDescent="0.3">
      <c r="A11" s="62">
        <v>10</v>
      </c>
      <c r="B11" s="31" t="s">
        <v>1643</v>
      </c>
      <c r="C11" s="37"/>
      <c r="D11" s="26" t="s">
        <v>2675</v>
      </c>
      <c r="E11" s="27" t="s">
        <v>28</v>
      </c>
    </row>
    <row r="12" spans="1:5" x14ac:dyDescent="0.3">
      <c r="A12" s="62">
        <v>11</v>
      </c>
      <c r="B12" s="31" t="s">
        <v>2676</v>
      </c>
      <c r="C12" s="37"/>
      <c r="D12" s="26" t="s">
        <v>2677</v>
      </c>
      <c r="E12" s="27" t="s">
        <v>28</v>
      </c>
    </row>
    <row r="13" spans="1:5" x14ac:dyDescent="0.3">
      <c r="A13" s="62">
        <v>12</v>
      </c>
      <c r="B13" s="31" t="s">
        <v>332</v>
      </c>
      <c r="C13" s="37"/>
      <c r="D13" s="26" t="s">
        <v>2678</v>
      </c>
      <c r="E13" s="27" t="s">
        <v>28</v>
      </c>
    </row>
    <row r="14" spans="1:5" x14ac:dyDescent="0.3">
      <c r="A14" s="62">
        <v>13</v>
      </c>
      <c r="B14" s="31" t="s">
        <v>2679</v>
      </c>
      <c r="C14" s="37"/>
      <c r="D14" s="26" t="s">
        <v>2680</v>
      </c>
      <c r="E14" s="27" t="s">
        <v>28</v>
      </c>
    </row>
    <row r="15" spans="1:5" x14ac:dyDescent="0.3">
      <c r="A15" s="62">
        <v>14</v>
      </c>
      <c r="B15" s="31" t="s">
        <v>2681</v>
      </c>
      <c r="C15" s="37"/>
      <c r="D15" s="26" t="s">
        <v>2682</v>
      </c>
      <c r="E15" s="27" t="s">
        <v>28</v>
      </c>
    </row>
    <row r="16" spans="1:5" x14ac:dyDescent="0.3">
      <c r="A16" s="62">
        <v>15</v>
      </c>
      <c r="B16" s="31" t="s">
        <v>2683</v>
      </c>
      <c r="C16" s="37"/>
      <c r="D16" s="26" t="s">
        <v>2046</v>
      </c>
      <c r="E16" s="27" t="s">
        <v>28</v>
      </c>
    </row>
    <row r="17" spans="1:5" x14ac:dyDescent="0.3">
      <c r="A17" s="62">
        <v>16</v>
      </c>
      <c r="B17" s="31" t="s">
        <v>2416</v>
      </c>
      <c r="C17" s="37"/>
      <c r="D17" s="26" t="s">
        <v>2684</v>
      </c>
      <c r="E17" s="27" t="s">
        <v>28</v>
      </c>
    </row>
    <row r="18" spans="1:5" x14ac:dyDescent="0.3">
      <c r="A18" s="62">
        <v>17</v>
      </c>
      <c r="B18" s="31" t="s">
        <v>2685</v>
      </c>
      <c r="C18" s="37"/>
      <c r="D18" s="26" t="s">
        <v>2686</v>
      </c>
      <c r="E18" s="27" t="s">
        <v>28</v>
      </c>
    </row>
    <row r="19" spans="1:5" x14ac:dyDescent="0.3">
      <c r="A19" s="62">
        <v>20</v>
      </c>
      <c r="B19" s="31" t="s">
        <v>2687</v>
      </c>
      <c r="C19" s="37"/>
      <c r="D19" s="26" t="s">
        <v>2688</v>
      </c>
      <c r="E19" s="27" t="s">
        <v>28</v>
      </c>
    </row>
    <row r="20" spans="1:5" x14ac:dyDescent="0.3">
      <c r="A20" s="62">
        <v>18</v>
      </c>
      <c r="B20" s="31" t="s">
        <v>1557</v>
      </c>
      <c r="C20" s="37"/>
      <c r="D20" s="26" t="s">
        <v>2689</v>
      </c>
      <c r="E20" s="27" t="s">
        <v>28</v>
      </c>
    </row>
    <row r="21" spans="1:5" x14ac:dyDescent="0.3">
      <c r="A21" s="62">
        <v>21</v>
      </c>
      <c r="B21" s="31" t="s">
        <v>1152</v>
      </c>
      <c r="C21" s="37"/>
      <c r="D21" s="26" t="s">
        <v>2690</v>
      </c>
      <c r="E21" s="27" t="s">
        <v>284</v>
      </c>
    </row>
    <row r="22" spans="1:5" x14ac:dyDescent="0.3">
      <c r="A22" s="62">
        <v>19</v>
      </c>
      <c r="B22" s="31" t="s">
        <v>1772</v>
      </c>
      <c r="C22" s="37"/>
      <c r="D22" s="26" t="s">
        <v>2690</v>
      </c>
      <c r="E22" s="27" t="s">
        <v>284</v>
      </c>
    </row>
    <row r="23" spans="1:5" x14ac:dyDescent="0.3">
      <c r="A23" s="62">
        <v>22</v>
      </c>
      <c r="B23" s="31" t="s">
        <v>2691</v>
      </c>
      <c r="C23" s="37"/>
      <c r="D23" s="26" t="s">
        <v>2692</v>
      </c>
      <c r="E23" s="27" t="s">
        <v>28</v>
      </c>
    </row>
    <row r="24" spans="1:5" x14ac:dyDescent="0.3">
      <c r="A24" s="62">
        <v>23</v>
      </c>
      <c r="B24" s="31" t="s">
        <v>2490</v>
      </c>
      <c r="C24" s="37"/>
      <c r="D24" s="26" t="s">
        <v>2620</v>
      </c>
      <c r="E24" s="27" t="s">
        <v>28</v>
      </c>
    </row>
    <row r="25" spans="1:5" x14ac:dyDescent="0.3">
      <c r="A25" s="62">
        <v>24</v>
      </c>
      <c r="B25" s="31" t="s">
        <v>109</v>
      </c>
      <c r="C25" s="37"/>
      <c r="D25" s="26" t="s">
        <v>2693</v>
      </c>
      <c r="E25" s="27" t="s">
        <v>28</v>
      </c>
    </row>
    <row r="26" spans="1:5" x14ac:dyDescent="0.3">
      <c r="A26" s="62">
        <v>25</v>
      </c>
      <c r="B26" s="31" t="s">
        <v>2694</v>
      </c>
      <c r="C26" s="37"/>
      <c r="D26" s="26" t="s">
        <v>2695</v>
      </c>
      <c r="E26" s="27" t="s">
        <v>28</v>
      </c>
    </row>
    <row r="27" spans="1:5" x14ac:dyDescent="0.3">
      <c r="A27" s="62">
        <v>28</v>
      </c>
      <c r="B27" s="31" t="s">
        <v>206</v>
      </c>
      <c r="C27" s="37"/>
      <c r="D27" s="26" t="s">
        <v>2696</v>
      </c>
      <c r="E27" s="27" t="s">
        <v>192</v>
      </c>
    </row>
    <row r="28" spans="1:5" x14ac:dyDescent="0.3">
      <c r="A28" s="62">
        <v>29</v>
      </c>
      <c r="B28" s="31" t="s">
        <v>2697</v>
      </c>
      <c r="C28" s="37"/>
      <c r="D28" s="26" t="s">
        <v>2698</v>
      </c>
      <c r="E28" s="27" t="s">
        <v>28</v>
      </c>
    </row>
    <row r="29" spans="1:5" x14ac:dyDescent="0.3">
      <c r="A29" s="62">
        <v>30</v>
      </c>
      <c r="B29" s="31" t="s">
        <v>370</v>
      </c>
      <c r="C29" s="37"/>
      <c r="D29" s="26" t="s">
        <v>2699</v>
      </c>
      <c r="E29" s="27" t="s">
        <v>28</v>
      </c>
    </row>
    <row r="30" spans="1:5" x14ac:dyDescent="0.3">
      <c r="A30" s="62">
        <v>26</v>
      </c>
      <c r="B30" s="31" t="s">
        <v>2700</v>
      </c>
      <c r="C30" s="37"/>
      <c r="D30" s="26" t="s">
        <v>2701</v>
      </c>
      <c r="E30" s="27" t="s">
        <v>28</v>
      </c>
    </row>
    <row r="31" spans="1:5" x14ac:dyDescent="0.3">
      <c r="A31" s="62">
        <v>31</v>
      </c>
      <c r="B31" s="31" t="s">
        <v>2702</v>
      </c>
      <c r="C31" s="26"/>
      <c r="D31" s="26" t="s">
        <v>2703</v>
      </c>
      <c r="E31" s="27" t="s">
        <v>28</v>
      </c>
    </row>
    <row r="32" spans="1:5" x14ac:dyDescent="0.3">
      <c r="A32" s="62">
        <v>32</v>
      </c>
      <c r="B32" s="31" t="s">
        <v>1586</v>
      </c>
      <c r="C32" s="26"/>
      <c r="D32" s="26" t="s">
        <v>2704</v>
      </c>
      <c r="E32" s="27" t="s">
        <v>28</v>
      </c>
    </row>
    <row r="33" spans="1:5" x14ac:dyDescent="0.3">
      <c r="A33" s="62">
        <v>33</v>
      </c>
      <c r="B33" s="31" t="s">
        <v>2705</v>
      </c>
      <c r="C33" s="26"/>
      <c r="D33" s="26" t="s">
        <v>2706</v>
      </c>
      <c r="E33" s="27" t="s">
        <v>28</v>
      </c>
    </row>
    <row r="34" spans="1:5" x14ac:dyDescent="0.3">
      <c r="A34" s="62">
        <v>27</v>
      </c>
      <c r="B34" s="31" t="s">
        <v>184</v>
      </c>
      <c r="C34" s="26"/>
      <c r="D34" s="26" t="s">
        <v>2707</v>
      </c>
      <c r="E34" s="27" t="s">
        <v>28</v>
      </c>
    </row>
    <row r="35" spans="1:5" x14ac:dyDescent="0.3">
      <c r="A35" s="62">
        <v>34</v>
      </c>
      <c r="B35" s="31" t="s">
        <v>2708</v>
      </c>
      <c r="C35" s="26"/>
      <c r="D35" s="26" t="s">
        <v>2709</v>
      </c>
      <c r="E35" s="27" t="s">
        <v>28</v>
      </c>
    </row>
    <row r="36" spans="1:5" x14ac:dyDescent="0.3">
      <c r="A36" s="62">
        <v>35</v>
      </c>
      <c r="B36" s="31" t="s">
        <v>2710</v>
      </c>
      <c r="C36" s="26"/>
      <c r="D36" s="26" t="s">
        <v>2711</v>
      </c>
      <c r="E36" s="27" t="s">
        <v>28</v>
      </c>
    </row>
    <row r="37" spans="1:5" x14ac:dyDescent="0.3">
      <c r="A37" s="62">
        <v>36</v>
      </c>
      <c r="B37" s="31" t="s">
        <v>285</v>
      </c>
      <c r="C37" s="26"/>
      <c r="D37" s="26" t="s">
        <v>2712</v>
      </c>
      <c r="E37" s="27" t="s">
        <v>2713</v>
      </c>
    </row>
    <row r="38" spans="1:5" x14ac:dyDescent="0.3">
      <c r="A38" s="62">
        <v>37</v>
      </c>
      <c r="B38" s="31" t="s">
        <v>2714</v>
      </c>
      <c r="C38" s="26"/>
      <c r="D38" s="26" t="s">
        <v>2715</v>
      </c>
      <c r="E38" s="27" t="s">
        <v>28</v>
      </c>
    </row>
    <row r="39" spans="1:5" x14ac:dyDescent="0.3">
      <c r="A39" s="62">
        <v>38</v>
      </c>
      <c r="B39" s="31" t="s">
        <v>1203</v>
      </c>
      <c r="C39" s="26"/>
      <c r="D39" s="26" t="s">
        <v>2716</v>
      </c>
      <c r="E39" s="27" t="s">
        <v>28</v>
      </c>
    </row>
    <row r="40" spans="1:5" x14ac:dyDescent="0.3">
      <c r="A40" s="62">
        <v>39</v>
      </c>
      <c r="B40" s="31" t="s">
        <v>184</v>
      </c>
      <c r="C40" s="26"/>
      <c r="D40" s="26" t="s">
        <v>2717</v>
      </c>
      <c r="E40" s="27" t="s">
        <v>28</v>
      </c>
    </row>
    <row r="41" spans="1:5" x14ac:dyDescent="0.3">
      <c r="A41" s="62">
        <v>40</v>
      </c>
      <c r="B41" s="31" t="s">
        <v>2718</v>
      </c>
      <c r="C41" s="26"/>
      <c r="D41" s="26" t="s">
        <v>2719</v>
      </c>
      <c r="E41" s="27" t="s">
        <v>28</v>
      </c>
    </row>
    <row r="42" spans="1:5" x14ac:dyDescent="0.3">
      <c r="A42" s="62">
        <v>41</v>
      </c>
      <c r="B42" s="31" t="s">
        <v>1321</v>
      </c>
      <c r="C42" s="26"/>
      <c r="D42" s="26" t="s">
        <v>2720</v>
      </c>
      <c r="E42" s="27" t="s">
        <v>28</v>
      </c>
    </row>
    <row r="43" spans="1:5" x14ac:dyDescent="0.3">
      <c r="A43" s="62">
        <v>42</v>
      </c>
      <c r="B43" s="31" t="s">
        <v>2721</v>
      </c>
      <c r="C43" s="26"/>
      <c r="D43" s="26" t="s">
        <v>1561</v>
      </c>
      <c r="E43" s="27" t="s">
        <v>28</v>
      </c>
    </row>
    <row r="44" spans="1:5" x14ac:dyDescent="0.3">
      <c r="A44" s="62">
        <v>43</v>
      </c>
      <c r="B44" s="31" t="s">
        <v>1747</v>
      </c>
      <c r="C44" s="26"/>
      <c r="D44" s="26" t="s">
        <v>2722</v>
      </c>
      <c r="E44" s="27" t="s">
        <v>28</v>
      </c>
    </row>
    <row r="45" spans="1:5" x14ac:dyDescent="0.3">
      <c r="A45" s="62">
        <v>44</v>
      </c>
      <c r="B45" s="31" t="s">
        <v>2723</v>
      </c>
      <c r="C45" s="26"/>
      <c r="D45" s="26" t="s">
        <v>2724</v>
      </c>
      <c r="E45" s="27" t="s">
        <v>28</v>
      </c>
    </row>
    <row r="46" spans="1:5" x14ac:dyDescent="0.3">
      <c r="A46" s="62">
        <v>45</v>
      </c>
      <c r="B46" s="31" t="s">
        <v>403</v>
      </c>
      <c r="C46" s="26"/>
      <c r="D46" s="26" t="s">
        <v>2725</v>
      </c>
      <c r="E46" s="27" t="s">
        <v>28</v>
      </c>
    </row>
    <row r="47" spans="1:5" x14ac:dyDescent="0.3">
      <c r="A47" s="62">
        <v>46</v>
      </c>
      <c r="B47" s="31" t="s">
        <v>2726</v>
      </c>
      <c r="C47" s="26"/>
      <c r="D47" s="26" t="s">
        <v>2727</v>
      </c>
      <c r="E47" s="27" t="s">
        <v>28</v>
      </c>
    </row>
    <row r="48" spans="1:5" x14ac:dyDescent="0.3">
      <c r="A48" s="62">
        <v>47</v>
      </c>
      <c r="B48" s="31" t="s">
        <v>2728</v>
      </c>
      <c r="C48" s="26"/>
      <c r="D48" s="26" t="s">
        <v>2729</v>
      </c>
      <c r="E48" s="27" t="s">
        <v>28</v>
      </c>
    </row>
    <row r="49" spans="1:5" x14ac:dyDescent="0.3">
      <c r="A49" s="62">
        <v>48</v>
      </c>
      <c r="B49" s="31" t="s">
        <v>2730</v>
      </c>
      <c r="C49" s="26"/>
      <c r="D49" s="26" t="s">
        <v>2731</v>
      </c>
      <c r="E49" s="27" t="s">
        <v>28</v>
      </c>
    </row>
    <row r="50" spans="1:5" x14ac:dyDescent="0.3">
      <c r="A50" s="62">
        <v>49</v>
      </c>
      <c r="B50" s="31" t="s">
        <v>1605</v>
      </c>
      <c r="C50" s="26"/>
      <c r="D50" s="26" t="s">
        <v>2134</v>
      </c>
      <c r="E50" s="27" t="s">
        <v>28</v>
      </c>
    </row>
    <row r="51" spans="1:5" x14ac:dyDescent="0.3">
      <c r="A51" s="62">
        <v>50</v>
      </c>
      <c r="B51" s="31" t="s">
        <v>2732</v>
      </c>
      <c r="C51" s="26"/>
      <c r="D51" s="26" t="s">
        <v>2733</v>
      </c>
      <c r="E51" s="27" t="s">
        <v>28</v>
      </c>
    </row>
    <row r="52" spans="1:5" x14ac:dyDescent="0.3">
      <c r="A52" s="62">
        <v>51</v>
      </c>
      <c r="B52" s="31" t="s">
        <v>2734</v>
      </c>
      <c r="C52" s="26"/>
      <c r="D52" s="26" t="s">
        <v>2736</v>
      </c>
      <c r="E52" s="27" t="s">
        <v>2735</v>
      </c>
    </row>
    <row r="53" spans="1:5" x14ac:dyDescent="0.3">
      <c r="A53" s="62">
        <v>52</v>
      </c>
      <c r="B53" s="31" t="s">
        <v>2737</v>
      </c>
      <c r="C53" s="26"/>
      <c r="D53" s="26" t="s">
        <v>2738</v>
      </c>
      <c r="E53" s="27" t="s">
        <v>2739</v>
      </c>
    </row>
    <row r="54" spans="1:5" x14ac:dyDescent="0.3">
      <c r="A54" s="62">
        <v>53</v>
      </c>
      <c r="B54" s="31" t="s">
        <v>2740</v>
      </c>
      <c r="C54" s="26"/>
      <c r="D54" s="26" t="s">
        <v>2741</v>
      </c>
      <c r="E54" s="27" t="s">
        <v>2742</v>
      </c>
    </row>
    <row r="55" spans="1:5" x14ac:dyDescent="0.3">
      <c r="A55" s="62">
        <v>54</v>
      </c>
      <c r="B55" s="31" t="s">
        <v>2743</v>
      </c>
      <c r="C55" s="26"/>
      <c r="D55" s="26" t="s">
        <v>2744</v>
      </c>
      <c r="E55" s="27" t="s">
        <v>2739</v>
      </c>
    </row>
    <row r="56" spans="1:5" x14ac:dyDescent="0.3">
      <c r="A56" s="62">
        <v>55</v>
      </c>
      <c r="B56" s="31" t="s">
        <v>2745</v>
      </c>
      <c r="C56" s="26"/>
      <c r="D56" s="26" t="s">
        <v>2746</v>
      </c>
      <c r="E56" s="27" t="s">
        <v>2747</v>
      </c>
    </row>
    <row r="57" spans="1:5" x14ac:dyDescent="0.3">
      <c r="A57" s="62">
        <v>56</v>
      </c>
      <c r="B57" s="31" t="s">
        <v>2748</v>
      </c>
      <c r="C57" s="26"/>
      <c r="D57" s="26" t="s">
        <v>2749</v>
      </c>
      <c r="E57" s="27" t="s">
        <v>2742</v>
      </c>
    </row>
    <row r="58" spans="1:5" x14ac:dyDescent="0.3">
      <c r="A58" s="62">
        <v>57</v>
      </c>
      <c r="B58" s="31" t="s">
        <v>2750</v>
      </c>
      <c r="C58" s="26"/>
      <c r="D58" s="26" t="s">
        <v>2751</v>
      </c>
      <c r="E58" s="27" t="s">
        <v>2742</v>
      </c>
    </row>
    <row r="59" spans="1:5" x14ac:dyDescent="0.3">
      <c r="A59" s="62">
        <v>58</v>
      </c>
      <c r="B59" s="31" t="s">
        <v>2752</v>
      </c>
      <c r="C59" s="26"/>
      <c r="D59" s="26" t="s">
        <v>2753</v>
      </c>
      <c r="E59" s="27" t="s">
        <v>2754</v>
      </c>
    </row>
    <row r="60" spans="1:5" x14ac:dyDescent="0.3">
      <c r="A60" s="62">
        <v>59</v>
      </c>
      <c r="B60" s="31" t="s">
        <v>2755</v>
      </c>
      <c r="C60" s="26"/>
      <c r="D60" s="26" t="s">
        <v>2756</v>
      </c>
      <c r="E60" s="27" t="s">
        <v>2376</v>
      </c>
    </row>
    <row r="61" spans="1:5" x14ac:dyDescent="0.3">
      <c r="A61" s="62">
        <v>60</v>
      </c>
      <c r="B61" s="31" t="s">
        <v>2757</v>
      </c>
      <c r="C61" s="26"/>
      <c r="D61" s="26" t="s">
        <v>2758</v>
      </c>
      <c r="E61" s="27" t="s">
        <v>2376</v>
      </c>
    </row>
    <row r="62" spans="1:5" x14ac:dyDescent="0.3">
      <c r="A62" s="62">
        <v>61</v>
      </c>
      <c r="B62" s="31" t="s">
        <v>2759</v>
      </c>
      <c r="C62" s="26"/>
      <c r="D62" s="26" t="s">
        <v>2760</v>
      </c>
      <c r="E62" s="27" t="s">
        <v>2376</v>
      </c>
    </row>
    <row r="63" spans="1:5" x14ac:dyDescent="0.3">
      <c r="A63" s="62">
        <v>62</v>
      </c>
      <c r="B63" s="31" t="s">
        <v>2761</v>
      </c>
      <c r="C63" s="26"/>
      <c r="D63" s="26" t="s">
        <v>2762</v>
      </c>
      <c r="E63" s="27" t="s">
        <v>2742</v>
      </c>
    </row>
    <row r="64" spans="1:5" x14ac:dyDescent="0.3">
      <c r="A64" s="62">
        <v>63</v>
      </c>
      <c r="B64" s="31" t="s">
        <v>2763</v>
      </c>
      <c r="C64" s="26"/>
      <c r="D64" s="26" t="s">
        <v>2764</v>
      </c>
      <c r="E64" s="27" t="s">
        <v>2376</v>
      </c>
    </row>
    <row r="65" spans="1:5" x14ac:dyDescent="0.3">
      <c r="A65" s="62">
        <v>64</v>
      </c>
      <c r="B65" s="31" t="s">
        <v>2765</v>
      </c>
      <c r="C65" s="26"/>
      <c r="D65" s="26" t="s">
        <v>2766</v>
      </c>
      <c r="E65" s="27" t="s">
        <v>2376</v>
      </c>
    </row>
    <row r="66" spans="1:5" x14ac:dyDescent="0.3">
      <c r="A66" s="62">
        <v>65</v>
      </c>
      <c r="B66" s="31" t="s">
        <v>2767</v>
      </c>
      <c r="C66" s="26"/>
      <c r="D66" s="26" t="s">
        <v>2768</v>
      </c>
      <c r="E66" s="27" t="s">
        <v>2474</v>
      </c>
    </row>
    <row r="67" spans="1:5" x14ac:dyDescent="0.3">
      <c r="A67" s="62">
        <v>66</v>
      </c>
      <c r="B67" s="31"/>
      <c r="C67" s="26"/>
      <c r="D67" s="26"/>
      <c r="E67" s="27"/>
    </row>
    <row r="68" spans="1:5" x14ac:dyDescent="0.3">
      <c r="A68" s="62">
        <v>67</v>
      </c>
      <c r="B68" s="31"/>
      <c r="C68" s="26"/>
      <c r="D68" s="26"/>
      <c r="E68" s="27"/>
    </row>
    <row r="69" spans="1:5" x14ac:dyDescent="0.3">
      <c r="A69" s="62">
        <v>68</v>
      </c>
      <c r="B69" s="31"/>
      <c r="C69" s="26"/>
      <c r="D69" s="26"/>
      <c r="E69" s="27"/>
    </row>
    <row r="70" spans="1:5" x14ac:dyDescent="0.3">
      <c r="A70" s="62">
        <v>69</v>
      </c>
      <c r="B70" s="31"/>
      <c r="C70" s="26"/>
      <c r="D70" s="26"/>
      <c r="E70" s="27"/>
    </row>
    <row r="71" spans="1:5" x14ac:dyDescent="0.3">
      <c r="A71" s="62">
        <v>70</v>
      </c>
      <c r="B71" s="31"/>
      <c r="C71" s="26"/>
      <c r="D71" s="26"/>
      <c r="E71" s="27"/>
    </row>
    <row r="72" spans="1:5" x14ac:dyDescent="0.3">
      <c r="A72" s="62">
        <v>71</v>
      </c>
      <c r="B72" s="31"/>
      <c r="C72" s="26"/>
      <c r="D72" s="26"/>
      <c r="E72" s="27"/>
    </row>
    <row r="73" spans="1:5" x14ac:dyDescent="0.3">
      <c r="A73" s="62">
        <v>72</v>
      </c>
      <c r="B73" s="31"/>
      <c r="C73" s="26"/>
      <c r="D73" s="26"/>
      <c r="E73" s="27"/>
    </row>
    <row r="74" spans="1:5" x14ac:dyDescent="0.3">
      <c r="A74" s="62">
        <v>73</v>
      </c>
      <c r="B74" s="31"/>
      <c r="C74" s="26"/>
      <c r="D74" s="26"/>
      <c r="E74" s="27"/>
    </row>
    <row r="75" spans="1:5" x14ac:dyDescent="0.3">
      <c r="A75" s="62">
        <v>74</v>
      </c>
      <c r="B75" s="31"/>
      <c r="C75" s="26"/>
      <c r="D75" s="26"/>
      <c r="E75" s="27"/>
    </row>
    <row r="76" spans="1:5" x14ac:dyDescent="0.3">
      <c r="A76" s="62"/>
      <c r="B76" s="31"/>
      <c r="C76" s="26"/>
      <c r="D76" s="26"/>
      <c r="E76" s="27"/>
    </row>
    <row r="77" spans="1:5" x14ac:dyDescent="0.3">
      <c r="A77" s="62"/>
      <c r="B77" s="31"/>
      <c r="C77" s="26"/>
      <c r="D77" s="26"/>
      <c r="E77" s="27"/>
    </row>
    <row r="78" spans="1:5" x14ac:dyDescent="0.3">
      <c r="A78" s="62"/>
      <c r="B78" s="31"/>
      <c r="C78" s="26"/>
      <c r="D78" s="26"/>
      <c r="E78" s="27"/>
    </row>
    <row r="79" spans="1:5" ht="17.25" thickBot="1" x14ac:dyDescent="0.35">
      <c r="A79" s="65"/>
      <c r="B79" s="55"/>
      <c r="C79" s="56"/>
      <c r="D79" s="56"/>
      <c r="E79" s="47"/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80"/>
  <sheetViews>
    <sheetView workbookViewId="0">
      <selection activeCell="L75" sqref="L75"/>
    </sheetView>
  </sheetViews>
  <sheetFormatPr defaultRowHeight="16.5" x14ac:dyDescent="0.3"/>
  <cols>
    <col min="5" max="5" width="11" bestFit="1" customWidth="1"/>
  </cols>
  <sheetData>
    <row r="1" spans="1:5" ht="17.25" thickBot="1" x14ac:dyDescent="0.35">
      <c r="A1" s="59"/>
      <c r="B1" s="45" t="s">
        <v>1818</v>
      </c>
      <c r="C1" s="44" t="s">
        <v>1</v>
      </c>
      <c r="D1" s="44" t="s">
        <v>2</v>
      </c>
      <c r="E1" s="7" t="s">
        <v>1819</v>
      </c>
    </row>
    <row r="2" spans="1:5" x14ac:dyDescent="0.3">
      <c r="A2" s="61">
        <v>1</v>
      </c>
      <c r="B2" s="39" t="s">
        <v>2769</v>
      </c>
      <c r="C2" s="37"/>
      <c r="D2" s="37" t="s">
        <v>2770</v>
      </c>
      <c r="E2" s="28" t="s">
        <v>2771</v>
      </c>
    </row>
    <row r="3" spans="1:5" x14ac:dyDescent="0.3">
      <c r="A3" s="61">
        <v>2</v>
      </c>
      <c r="B3" s="39" t="s">
        <v>2772</v>
      </c>
      <c r="C3" s="37"/>
      <c r="D3" s="37" t="s">
        <v>2773</v>
      </c>
      <c r="E3" s="28" t="s">
        <v>2742</v>
      </c>
    </row>
    <row r="4" spans="1:5" x14ac:dyDescent="0.3">
      <c r="A4" s="62">
        <v>3</v>
      </c>
      <c r="B4" s="31" t="s">
        <v>2774</v>
      </c>
      <c r="C4" s="37"/>
      <c r="D4" s="26" t="s">
        <v>2775</v>
      </c>
      <c r="E4" s="27" t="s">
        <v>2754</v>
      </c>
    </row>
    <row r="5" spans="1:5" x14ac:dyDescent="0.3">
      <c r="A5" s="62">
        <v>4</v>
      </c>
      <c r="B5" s="31" t="s">
        <v>2777</v>
      </c>
      <c r="C5" s="37"/>
      <c r="D5" s="26" t="s">
        <v>2776</v>
      </c>
      <c r="E5" s="27" t="s">
        <v>2742</v>
      </c>
    </row>
    <row r="6" spans="1:5" x14ac:dyDescent="0.3">
      <c r="A6" s="62">
        <v>5</v>
      </c>
      <c r="B6" s="31" t="s">
        <v>2778</v>
      </c>
      <c r="C6" s="37"/>
      <c r="D6" s="26" t="s">
        <v>2779</v>
      </c>
      <c r="E6" s="27" t="s">
        <v>2742</v>
      </c>
    </row>
    <row r="7" spans="1:5" x14ac:dyDescent="0.3">
      <c r="A7" s="62">
        <v>6</v>
      </c>
      <c r="B7" s="31" t="s">
        <v>2780</v>
      </c>
      <c r="C7" s="37"/>
      <c r="D7" s="26" t="s">
        <v>2781</v>
      </c>
      <c r="E7" s="27" t="s">
        <v>2747</v>
      </c>
    </row>
    <row r="8" spans="1:5" x14ac:dyDescent="0.3">
      <c r="A8" s="62">
        <v>7</v>
      </c>
      <c r="B8" s="31" t="s">
        <v>2782</v>
      </c>
      <c r="C8" s="37"/>
      <c r="D8" s="26" t="s">
        <v>2783</v>
      </c>
      <c r="E8" s="27" t="s">
        <v>2742</v>
      </c>
    </row>
    <row r="9" spans="1:5" x14ac:dyDescent="0.3">
      <c r="A9" s="62">
        <v>8</v>
      </c>
      <c r="B9" s="31" t="s">
        <v>2784</v>
      </c>
      <c r="C9" s="37"/>
      <c r="D9" s="26" t="s">
        <v>2785</v>
      </c>
      <c r="E9" s="27" t="s">
        <v>2786</v>
      </c>
    </row>
    <row r="10" spans="1:5" x14ac:dyDescent="0.3">
      <c r="A10" s="61">
        <v>9</v>
      </c>
      <c r="B10" s="31" t="s">
        <v>2787</v>
      </c>
      <c r="C10" s="37"/>
      <c r="D10" s="26" t="s">
        <v>2788</v>
      </c>
      <c r="E10" s="27" t="s">
        <v>2742</v>
      </c>
    </row>
    <row r="11" spans="1:5" x14ac:dyDescent="0.3">
      <c r="A11" s="61">
        <v>10</v>
      </c>
      <c r="B11" s="31" t="s">
        <v>2789</v>
      </c>
      <c r="C11" s="37"/>
      <c r="D11" s="26" t="s">
        <v>2790</v>
      </c>
      <c r="E11" s="27" t="s">
        <v>2742</v>
      </c>
    </row>
    <row r="12" spans="1:5" x14ac:dyDescent="0.3">
      <c r="A12" s="62">
        <v>11</v>
      </c>
      <c r="B12" s="31" t="s">
        <v>2791</v>
      </c>
      <c r="C12" s="37"/>
      <c r="D12" s="26" t="s">
        <v>2793</v>
      </c>
      <c r="E12" s="27" t="s">
        <v>2747</v>
      </c>
    </row>
    <row r="13" spans="1:5" x14ac:dyDescent="0.3">
      <c r="A13" s="62">
        <v>12</v>
      </c>
      <c r="B13" s="31" t="s">
        <v>2792</v>
      </c>
      <c r="C13" s="37"/>
      <c r="D13" s="26" t="s">
        <v>2793</v>
      </c>
      <c r="E13" s="27" t="s">
        <v>2747</v>
      </c>
    </row>
    <row r="14" spans="1:5" x14ac:dyDescent="0.3">
      <c r="A14" s="62">
        <v>13</v>
      </c>
      <c r="B14" s="31" t="s">
        <v>2752</v>
      </c>
      <c r="C14" s="37"/>
      <c r="D14" s="26" t="s">
        <v>2794</v>
      </c>
      <c r="E14" s="27" t="s">
        <v>2742</v>
      </c>
    </row>
    <row r="15" spans="1:5" x14ac:dyDescent="0.3">
      <c r="A15" s="62">
        <v>14</v>
      </c>
      <c r="B15" s="31" t="s">
        <v>2795</v>
      </c>
      <c r="C15" s="37"/>
      <c r="D15" s="26" t="s">
        <v>2796</v>
      </c>
      <c r="E15" s="27" t="s">
        <v>2742</v>
      </c>
    </row>
    <row r="16" spans="1:5" x14ac:dyDescent="0.3">
      <c r="A16" s="62">
        <v>15</v>
      </c>
      <c r="B16" s="31" t="s">
        <v>2797</v>
      </c>
      <c r="C16" s="37"/>
      <c r="D16" s="26" t="s">
        <v>2798</v>
      </c>
      <c r="E16" s="27" t="s">
        <v>2742</v>
      </c>
    </row>
    <row r="17" spans="1:5" x14ac:dyDescent="0.3">
      <c r="A17" s="62">
        <v>16</v>
      </c>
      <c r="B17" s="31" t="s">
        <v>2752</v>
      </c>
      <c r="C17" s="37"/>
      <c r="D17" s="26" t="s">
        <v>2799</v>
      </c>
      <c r="E17" s="27" t="s">
        <v>2800</v>
      </c>
    </row>
    <row r="18" spans="1:5" x14ac:dyDescent="0.3">
      <c r="A18" s="61">
        <v>17</v>
      </c>
      <c r="B18" s="31" t="s">
        <v>2801</v>
      </c>
      <c r="C18" s="37"/>
      <c r="D18" s="26" t="s">
        <v>2802</v>
      </c>
      <c r="E18" s="27" t="s">
        <v>2747</v>
      </c>
    </row>
    <row r="19" spans="1:5" x14ac:dyDescent="0.3">
      <c r="A19" s="61">
        <v>18</v>
      </c>
      <c r="B19" s="31" t="s">
        <v>2803</v>
      </c>
      <c r="C19" s="37"/>
      <c r="D19" s="26" t="s">
        <v>2804</v>
      </c>
      <c r="E19" s="27" t="s">
        <v>2742</v>
      </c>
    </row>
    <row r="20" spans="1:5" x14ac:dyDescent="0.3">
      <c r="A20" s="62">
        <v>19</v>
      </c>
      <c r="B20" s="31" t="s">
        <v>2805</v>
      </c>
      <c r="C20" s="37"/>
      <c r="D20" s="26" t="s">
        <v>2806</v>
      </c>
      <c r="E20" s="27" t="s">
        <v>2742</v>
      </c>
    </row>
    <row r="21" spans="1:5" x14ac:dyDescent="0.3">
      <c r="A21" s="62">
        <v>20</v>
      </c>
      <c r="B21" s="31" t="s">
        <v>2808</v>
      </c>
      <c r="C21" s="37"/>
      <c r="D21" s="26" t="s">
        <v>2807</v>
      </c>
      <c r="E21" s="27" t="s">
        <v>2742</v>
      </c>
    </row>
    <row r="22" spans="1:5" x14ac:dyDescent="0.3">
      <c r="A22" s="62">
        <v>21</v>
      </c>
      <c r="B22" s="31" t="s">
        <v>2809</v>
      </c>
      <c r="C22" s="37"/>
      <c r="D22" s="26" t="s">
        <v>2810</v>
      </c>
      <c r="E22" s="27" t="s">
        <v>2742</v>
      </c>
    </row>
    <row r="23" spans="1:5" x14ac:dyDescent="0.3">
      <c r="A23" s="62">
        <v>22</v>
      </c>
      <c r="B23" s="31" t="s">
        <v>2811</v>
      </c>
      <c r="C23" s="37"/>
      <c r="D23" s="26" t="s">
        <v>2812</v>
      </c>
      <c r="E23" s="27" t="s">
        <v>2742</v>
      </c>
    </row>
    <row r="24" spans="1:5" x14ac:dyDescent="0.3">
      <c r="A24" s="62">
        <v>23</v>
      </c>
      <c r="B24" s="31" t="s">
        <v>2813</v>
      </c>
      <c r="C24" s="37"/>
      <c r="D24" s="26" t="s">
        <v>2814</v>
      </c>
      <c r="E24" s="27" t="s">
        <v>2771</v>
      </c>
    </row>
    <row r="25" spans="1:5" x14ac:dyDescent="0.3">
      <c r="A25" s="62">
        <v>24</v>
      </c>
      <c r="B25" s="31" t="s">
        <v>2815</v>
      </c>
      <c r="C25" s="37"/>
      <c r="D25" s="26" t="s">
        <v>2814</v>
      </c>
      <c r="E25" s="27" t="s">
        <v>2816</v>
      </c>
    </row>
    <row r="26" spans="1:5" x14ac:dyDescent="0.3">
      <c r="A26" s="61">
        <v>25</v>
      </c>
      <c r="B26" s="31" t="s">
        <v>2743</v>
      </c>
      <c r="C26" s="37"/>
      <c r="D26" s="26" t="s">
        <v>2817</v>
      </c>
      <c r="E26" s="27" t="s">
        <v>2742</v>
      </c>
    </row>
    <row r="27" spans="1:5" x14ac:dyDescent="0.3">
      <c r="A27" s="61">
        <v>26</v>
      </c>
      <c r="B27" s="31" t="s">
        <v>2818</v>
      </c>
      <c r="C27" s="37"/>
      <c r="D27" s="26" t="s">
        <v>2819</v>
      </c>
      <c r="E27" s="27" t="s">
        <v>2742</v>
      </c>
    </row>
    <row r="28" spans="1:5" x14ac:dyDescent="0.3">
      <c r="A28" s="62">
        <v>27</v>
      </c>
      <c r="B28" s="31" t="s">
        <v>2820</v>
      </c>
      <c r="C28" s="37"/>
      <c r="D28" s="26" t="s">
        <v>2821</v>
      </c>
      <c r="E28" s="27" t="s">
        <v>2800</v>
      </c>
    </row>
    <row r="29" spans="1:5" x14ac:dyDescent="0.3">
      <c r="A29" s="62">
        <v>28</v>
      </c>
      <c r="B29" s="31" t="s">
        <v>2822</v>
      </c>
      <c r="C29" s="37"/>
      <c r="D29" s="26" t="s">
        <v>2824</v>
      </c>
      <c r="E29" s="27" t="s">
        <v>2742</v>
      </c>
    </row>
    <row r="30" spans="1:5" x14ac:dyDescent="0.3">
      <c r="A30" s="62">
        <v>29</v>
      </c>
      <c r="B30" s="31" t="s">
        <v>2823</v>
      </c>
      <c r="C30" s="37"/>
      <c r="D30" s="26" t="s">
        <v>2824</v>
      </c>
      <c r="E30" s="27" t="s">
        <v>2742</v>
      </c>
    </row>
    <row r="31" spans="1:5" x14ac:dyDescent="0.3">
      <c r="A31" s="62">
        <v>30</v>
      </c>
      <c r="B31" s="31" t="s">
        <v>2825</v>
      </c>
      <c r="C31" s="37"/>
      <c r="D31" s="26" t="s">
        <v>2826</v>
      </c>
      <c r="E31" s="27" t="s">
        <v>2742</v>
      </c>
    </row>
    <row r="32" spans="1:5" x14ac:dyDescent="0.3">
      <c r="A32" s="62">
        <v>31</v>
      </c>
      <c r="B32" s="31" t="s">
        <v>2827</v>
      </c>
      <c r="C32" s="26"/>
      <c r="D32" s="26" t="s">
        <v>2829</v>
      </c>
      <c r="E32" s="27" t="s">
        <v>2786</v>
      </c>
    </row>
    <row r="33" spans="1:5" x14ac:dyDescent="0.3">
      <c r="A33" s="62">
        <v>32</v>
      </c>
      <c r="B33" s="31" t="s">
        <v>2828</v>
      </c>
      <c r="C33" s="26"/>
      <c r="D33" s="26" t="s">
        <v>2829</v>
      </c>
      <c r="E33" s="27" t="s">
        <v>2786</v>
      </c>
    </row>
    <row r="34" spans="1:5" x14ac:dyDescent="0.3">
      <c r="A34" s="61">
        <v>33</v>
      </c>
      <c r="B34" s="31" t="s">
        <v>2830</v>
      </c>
      <c r="C34" s="26"/>
      <c r="D34" s="26" t="s">
        <v>2831</v>
      </c>
      <c r="E34" s="27" t="s">
        <v>2800</v>
      </c>
    </row>
    <row r="35" spans="1:5" x14ac:dyDescent="0.3">
      <c r="A35" s="61">
        <v>34</v>
      </c>
      <c r="B35" s="31" t="s">
        <v>2832</v>
      </c>
      <c r="C35" s="26"/>
      <c r="D35" s="26" t="s">
        <v>2833</v>
      </c>
      <c r="E35" s="27" t="s">
        <v>2742</v>
      </c>
    </row>
    <row r="36" spans="1:5" x14ac:dyDescent="0.3">
      <c r="A36" s="62">
        <v>35</v>
      </c>
      <c r="B36" s="31" t="s">
        <v>2782</v>
      </c>
      <c r="C36" s="26"/>
      <c r="D36" s="26" t="s">
        <v>2834</v>
      </c>
      <c r="E36" s="27" t="s">
        <v>2742</v>
      </c>
    </row>
    <row r="37" spans="1:5" x14ac:dyDescent="0.3">
      <c r="A37" s="62">
        <v>36</v>
      </c>
      <c r="B37" s="31" t="s">
        <v>2835</v>
      </c>
      <c r="C37" s="26"/>
      <c r="D37" s="26" t="s">
        <v>2836</v>
      </c>
      <c r="E37" s="27" t="s">
        <v>2800</v>
      </c>
    </row>
    <row r="38" spans="1:5" x14ac:dyDescent="0.3">
      <c r="A38" s="62">
        <v>37</v>
      </c>
      <c r="B38" s="31" t="s">
        <v>2837</v>
      </c>
      <c r="C38" s="26"/>
      <c r="D38" s="26" t="s">
        <v>2838</v>
      </c>
      <c r="E38" s="27" t="s">
        <v>2742</v>
      </c>
    </row>
    <row r="39" spans="1:5" x14ac:dyDescent="0.3">
      <c r="A39" s="62">
        <v>38</v>
      </c>
      <c r="B39" s="31" t="s">
        <v>2745</v>
      </c>
      <c r="C39" s="26"/>
      <c r="D39" s="26" t="s">
        <v>2839</v>
      </c>
      <c r="E39" s="27" t="s">
        <v>2742</v>
      </c>
    </row>
    <row r="40" spans="1:5" x14ac:dyDescent="0.3">
      <c r="A40" s="62">
        <v>39</v>
      </c>
      <c r="B40" s="31" t="s">
        <v>2840</v>
      </c>
      <c r="C40" s="26"/>
      <c r="D40" s="26" t="s">
        <v>2841</v>
      </c>
      <c r="E40" s="27" t="s">
        <v>2742</v>
      </c>
    </row>
    <row r="41" spans="1:5" x14ac:dyDescent="0.3">
      <c r="A41" s="62">
        <v>40</v>
      </c>
      <c r="B41" s="31" t="s">
        <v>2842</v>
      </c>
      <c r="C41" s="26"/>
      <c r="D41" s="26" t="s">
        <v>2843</v>
      </c>
      <c r="E41" s="27" t="s">
        <v>2754</v>
      </c>
    </row>
    <row r="42" spans="1:5" x14ac:dyDescent="0.3">
      <c r="A42" s="61">
        <v>41</v>
      </c>
      <c r="B42" s="31" t="s">
        <v>2844</v>
      </c>
      <c r="C42" s="26" t="s">
        <v>2845</v>
      </c>
      <c r="D42" s="26" t="s">
        <v>2846</v>
      </c>
      <c r="E42" s="27" t="s">
        <v>2742</v>
      </c>
    </row>
    <row r="43" spans="1:5" x14ac:dyDescent="0.3">
      <c r="A43" s="61">
        <v>42</v>
      </c>
      <c r="B43" s="31" t="s">
        <v>2847</v>
      </c>
      <c r="C43" s="26"/>
      <c r="D43" s="26" t="s">
        <v>2849</v>
      </c>
      <c r="E43" s="27" t="s">
        <v>2739</v>
      </c>
    </row>
    <row r="44" spans="1:5" x14ac:dyDescent="0.3">
      <c r="A44" s="62">
        <v>43</v>
      </c>
      <c r="B44" s="31" t="s">
        <v>2848</v>
      </c>
      <c r="C44" s="26"/>
      <c r="D44" s="26" t="s">
        <v>2849</v>
      </c>
      <c r="E44" s="27" t="s">
        <v>2739</v>
      </c>
    </row>
    <row r="45" spans="1:5" x14ac:dyDescent="0.3">
      <c r="A45" s="62">
        <v>44</v>
      </c>
      <c r="B45" s="31" t="s">
        <v>2850</v>
      </c>
      <c r="C45" s="26"/>
      <c r="D45" s="26" t="s">
        <v>2851</v>
      </c>
      <c r="E45" s="27" t="s">
        <v>2742</v>
      </c>
    </row>
    <row r="46" spans="1:5" x14ac:dyDescent="0.3">
      <c r="A46" s="62">
        <v>45</v>
      </c>
      <c r="B46" s="31" t="s">
        <v>2852</v>
      </c>
      <c r="C46" s="26"/>
      <c r="D46" s="26" t="s">
        <v>2853</v>
      </c>
      <c r="E46" s="27" t="s">
        <v>2739</v>
      </c>
    </row>
    <row r="47" spans="1:5" x14ac:dyDescent="0.3">
      <c r="A47" s="62">
        <v>46</v>
      </c>
      <c r="B47" s="31" t="s">
        <v>2854</v>
      </c>
      <c r="C47" s="26"/>
      <c r="D47" s="26" t="s">
        <v>2855</v>
      </c>
      <c r="E47" s="27" t="s">
        <v>2742</v>
      </c>
    </row>
    <row r="48" spans="1:5" x14ac:dyDescent="0.3">
      <c r="A48" s="62">
        <v>47</v>
      </c>
      <c r="B48" s="31" t="s">
        <v>2856</v>
      </c>
      <c r="C48" s="26"/>
      <c r="D48" s="26" t="s">
        <v>2857</v>
      </c>
      <c r="E48" s="27" t="s">
        <v>2858</v>
      </c>
    </row>
    <row r="49" spans="1:5" x14ac:dyDescent="0.3">
      <c r="A49" s="62">
        <v>48</v>
      </c>
      <c r="B49" s="31" t="s">
        <v>2859</v>
      </c>
      <c r="C49" s="26"/>
      <c r="D49" s="26" t="s">
        <v>2860</v>
      </c>
      <c r="E49" s="27" t="s">
        <v>2742</v>
      </c>
    </row>
    <row r="50" spans="1:5" x14ac:dyDescent="0.3">
      <c r="A50" s="61">
        <v>49</v>
      </c>
      <c r="B50" s="31" t="s">
        <v>2782</v>
      </c>
      <c r="C50" s="26"/>
      <c r="D50" s="26" t="s">
        <v>2861</v>
      </c>
      <c r="E50" s="27" t="s">
        <v>2742</v>
      </c>
    </row>
    <row r="51" spans="1:5" x14ac:dyDescent="0.3">
      <c r="A51" s="61">
        <v>50</v>
      </c>
      <c r="B51" s="31" t="s">
        <v>2813</v>
      </c>
      <c r="C51" s="26"/>
      <c r="D51" s="26" t="s">
        <v>2862</v>
      </c>
      <c r="E51" s="27" t="s">
        <v>2742</v>
      </c>
    </row>
    <row r="52" spans="1:5" x14ac:dyDescent="0.3">
      <c r="A52" s="62">
        <v>51</v>
      </c>
      <c r="B52" s="31" t="s">
        <v>2856</v>
      </c>
      <c r="C52" s="26"/>
      <c r="D52" s="26" t="s">
        <v>2863</v>
      </c>
      <c r="E52" s="27" t="s">
        <v>2742</v>
      </c>
    </row>
    <row r="53" spans="1:5" x14ac:dyDescent="0.3">
      <c r="A53" s="62">
        <v>52</v>
      </c>
      <c r="B53" s="31" t="s">
        <v>2864</v>
      </c>
      <c r="C53" s="26"/>
      <c r="D53" s="26" t="s">
        <v>2865</v>
      </c>
      <c r="E53" s="27" t="s">
        <v>2786</v>
      </c>
    </row>
    <row r="54" spans="1:5" x14ac:dyDescent="0.3">
      <c r="A54" s="62">
        <v>53</v>
      </c>
      <c r="B54" s="31" t="s">
        <v>2866</v>
      </c>
      <c r="C54" s="26"/>
      <c r="D54" s="26" t="s">
        <v>2867</v>
      </c>
      <c r="E54" s="27" t="s">
        <v>2747</v>
      </c>
    </row>
    <row r="55" spans="1:5" x14ac:dyDescent="0.3">
      <c r="A55" s="62">
        <v>54</v>
      </c>
      <c r="B55" s="31" t="s">
        <v>2868</v>
      </c>
      <c r="C55" s="26"/>
      <c r="D55" s="26" t="s">
        <v>2869</v>
      </c>
      <c r="E55" s="27" t="s">
        <v>2742</v>
      </c>
    </row>
    <row r="56" spans="1:5" x14ac:dyDescent="0.3">
      <c r="A56" s="62">
        <v>55</v>
      </c>
      <c r="B56" s="31" t="s">
        <v>2870</v>
      </c>
      <c r="C56" s="26"/>
      <c r="D56" s="26" t="s">
        <v>2871</v>
      </c>
      <c r="E56" s="27" t="s">
        <v>2742</v>
      </c>
    </row>
    <row r="57" spans="1:5" x14ac:dyDescent="0.3">
      <c r="A57" s="62">
        <v>56</v>
      </c>
      <c r="B57" s="31" t="s">
        <v>2813</v>
      </c>
      <c r="C57" s="26"/>
      <c r="D57" s="26" t="s">
        <v>2872</v>
      </c>
      <c r="E57" s="27" t="s">
        <v>2742</v>
      </c>
    </row>
    <row r="58" spans="1:5" x14ac:dyDescent="0.3">
      <c r="A58" s="61">
        <v>57</v>
      </c>
      <c r="B58" s="31" t="s">
        <v>2873</v>
      </c>
      <c r="C58" s="26"/>
      <c r="D58" s="26" t="s">
        <v>2874</v>
      </c>
      <c r="E58" s="27" t="s">
        <v>2742</v>
      </c>
    </row>
    <row r="59" spans="1:5" x14ac:dyDescent="0.3">
      <c r="A59" s="61">
        <v>58</v>
      </c>
      <c r="B59" s="31" t="s">
        <v>2875</v>
      </c>
      <c r="C59" s="26"/>
      <c r="D59" s="26" t="s">
        <v>2876</v>
      </c>
      <c r="E59" s="27" t="s">
        <v>2742</v>
      </c>
    </row>
    <row r="60" spans="1:5" x14ac:dyDescent="0.3">
      <c r="A60" s="62">
        <v>59</v>
      </c>
      <c r="B60" s="31" t="s">
        <v>2877</v>
      </c>
      <c r="C60" s="26"/>
      <c r="D60" s="26" t="s">
        <v>2878</v>
      </c>
      <c r="E60" s="27" t="s">
        <v>2742</v>
      </c>
    </row>
    <row r="61" spans="1:5" x14ac:dyDescent="0.3">
      <c r="A61" s="62">
        <v>60</v>
      </c>
      <c r="B61" s="31" t="s">
        <v>2879</v>
      </c>
      <c r="C61" s="26"/>
      <c r="D61" s="26" t="s">
        <v>2880</v>
      </c>
      <c r="E61" s="27" t="s">
        <v>2786</v>
      </c>
    </row>
    <row r="62" spans="1:5" x14ac:dyDescent="0.3">
      <c r="A62" s="62">
        <v>61</v>
      </c>
      <c r="B62" s="31" t="s">
        <v>2881</v>
      </c>
      <c r="C62" s="26"/>
      <c r="D62" s="26" t="s">
        <v>2882</v>
      </c>
      <c r="E62" s="27" t="s">
        <v>2742</v>
      </c>
    </row>
    <row r="63" spans="1:5" x14ac:dyDescent="0.3">
      <c r="A63" s="62">
        <v>62</v>
      </c>
      <c r="B63" s="31" t="s">
        <v>2813</v>
      </c>
      <c r="C63" s="26"/>
      <c r="D63" s="26" t="s">
        <v>2883</v>
      </c>
      <c r="E63" s="27" t="s">
        <v>2747</v>
      </c>
    </row>
    <row r="64" spans="1:5" x14ac:dyDescent="0.3">
      <c r="A64" s="62">
        <v>63</v>
      </c>
      <c r="B64" s="31" t="s">
        <v>2884</v>
      </c>
      <c r="C64" s="26"/>
      <c r="D64" s="26" t="s">
        <v>2885</v>
      </c>
      <c r="E64" s="27" t="s">
        <v>2742</v>
      </c>
    </row>
    <row r="65" spans="1:5" x14ac:dyDescent="0.3">
      <c r="A65" s="62">
        <v>64</v>
      </c>
      <c r="B65" s="31" t="s">
        <v>2886</v>
      </c>
      <c r="C65" s="26"/>
      <c r="D65" s="26" t="s">
        <v>2887</v>
      </c>
      <c r="E65" s="27" t="s">
        <v>2742</v>
      </c>
    </row>
    <row r="66" spans="1:5" x14ac:dyDescent="0.3">
      <c r="A66" s="61">
        <v>65</v>
      </c>
      <c r="B66" s="31" t="s">
        <v>2888</v>
      </c>
      <c r="C66" s="26"/>
      <c r="D66" s="26" t="s">
        <v>2889</v>
      </c>
      <c r="E66" s="27" t="s">
        <v>2742</v>
      </c>
    </row>
    <row r="67" spans="1:5" x14ac:dyDescent="0.3">
      <c r="A67" s="61">
        <v>66</v>
      </c>
      <c r="B67" s="31" t="s">
        <v>2890</v>
      </c>
      <c r="C67" s="26"/>
      <c r="D67" s="26" t="s">
        <v>2891</v>
      </c>
      <c r="E67" s="27" t="s">
        <v>2742</v>
      </c>
    </row>
    <row r="68" spans="1:5" x14ac:dyDescent="0.3">
      <c r="A68" s="62">
        <v>67</v>
      </c>
      <c r="B68" s="31" t="s">
        <v>2890</v>
      </c>
      <c r="C68" s="26"/>
      <c r="D68" s="26" t="s">
        <v>2892</v>
      </c>
      <c r="E68" s="27" t="s">
        <v>2742</v>
      </c>
    </row>
    <row r="69" spans="1:5" x14ac:dyDescent="0.3">
      <c r="A69" s="62">
        <v>68</v>
      </c>
      <c r="B69" s="31" t="s">
        <v>2893</v>
      </c>
      <c r="C69" s="26"/>
      <c r="D69" s="26" t="s">
        <v>2846</v>
      </c>
      <c r="E69" s="27" t="s">
        <v>2742</v>
      </c>
    </row>
    <row r="70" spans="1:5" x14ac:dyDescent="0.3">
      <c r="A70" s="62">
        <v>69</v>
      </c>
      <c r="B70" s="31" t="s">
        <v>2827</v>
      </c>
      <c r="C70" s="26"/>
      <c r="D70" s="26" t="s">
        <v>2894</v>
      </c>
      <c r="E70" s="27" t="s">
        <v>2742</v>
      </c>
    </row>
    <row r="71" spans="1:5" x14ac:dyDescent="0.3">
      <c r="A71" s="62">
        <v>70</v>
      </c>
      <c r="B71" s="31" t="s">
        <v>2895</v>
      </c>
      <c r="C71" s="26"/>
      <c r="D71" s="26" t="s">
        <v>2896</v>
      </c>
      <c r="E71" s="27" t="s">
        <v>2742</v>
      </c>
    </row>
    <row r="72" spans="1:5" x14ac:dyDescent="0.3">
      <c r="A72" s="62">
        <v>71</v>
      </c>
      <c r="B72" s="31" t="s">
        <v>2848</v>
      </c>
      <c r="C72" s="26"/>
      <c r="D72" s="26" t="s">
        <v>2897</v>
      </c>
      <c r="E72" s="27" t="s">
        <v>2747</v>
      </c>
    </row>
    <row r="73" spans="1:5" x14ac:dyDescent="0.3">
      <c r="A73" s="62">
        <v>72</v>
      </c>
      <c r="B73" s="31" t="s">
        <v>2898</v>
      </c>
      <c r="C73" s="26"/>
      <c r="D73" s="26" t="s">
        <v>2899</v>
      </c>
      <c r="E73" s="27" t="s">
        <v>2742</v>
      </c>
    </row>
    <row r="74" spans="1:5" x14ac:dyDescent="0.3">
      <c r="A74" s="61">
        <v>73</v>
      </c>
      <c r="B74" s="31" t="s">
        <v>2900</v>
      </c>
      <c r="C74" s="26"/>
      <c r="D74" s="26" t="s">
        <v>2901</v>
      </c>
      <c r="E74" s="27" t="s">
        <v>2786</v>
      </c>
    </row>
    <row r="75" spans="1:5" x14ac:dyDescent="0.3">
      <c r="A75" s="61">
        <v>74</v>
      </c>
      <c r="B75" s="31" t="s">
        <v>2902</v>
      </c>
      <c r="C75" s="26"/>
      <c r="D75" s="26" t="s">
        <v>2871</v>
      </c>
      <c r="E75" s="27" t="s">
        <v>2742</v>
      </c>
    </row>
    <row r="76" spans="1:5" x14ac:dyDescent="0.3">
      <c r="A76" s="62">
        <v>75</v>
      </c>
      <c r="B76" s="31" t="s">
        <v>2903</v>
      </c>
      <c r="C76" s="26"/>
      <c r="D76" s="26" t="s">
        <v>2904</v>
      </c>
      <c r="E76" s="27" t="s">
        <v>2742</v>
      </c>
    </row>
    <row r="77" spans="1:5" x14ac:dyDescent="0.3">
      <c r="A77" s="62">
        <v>76</v>
      </c>
      <c r="B77" s="31" t="s">
        <v>2905</v>
      </c>
      <c r="C77" s="26"/>
      <c r="D77" s="26" t="s">
        <v>2907</v>
      </c>
      <c r="E77" s="27" t="s">
        <v>2742</v>
      </c>
    </row>
    <row r="78" spans="1:5" x14ac:dyDescent="0.3">
      <c r="A78" s="62">
        <v>77</v>
      </c>
      <c r="B78" s="31" t="s">
        <v>2906</v>
      </c>
      <c r="C78" s="26"/>
      <c r="D78" s="26" t="s">
        <v>2907</v>
      </c>
      <c r="E78" s="27" t="s">
        <v>2742</v>
      </c>
    </row>
    <row r="79" spans="1:5" x14ac:dyDescent="0.3">
      <c r="A79" s="62"/>
      <c r="B79" s="31"/>
      <c r="C79" s="26"/>
      <c r="D79" s="26"/>
      <c r="E79" s="27"/>
    </row>
    <row r="80" spans="1:5" ht="17.25" thickBot="1" x14ac:dyDescent="0.35">
      <c r="A80" s="65"/>
      <c r="B80" s="55"/>
      <c r="C80" s="56"/>
      <c r="D80" s="56"/>
      <c r="E80" s="47"/>
    </row>
  </sheetData>
  <phoneticPr fontId="1" type="noConversion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79"/>
  <sheetViews>
    <sheetView workbookViewId="0">
      <selection activeCell="A75" activeCellId="1" sqref="C2 A75"/>
    </sheetView>
  </sheetViews>
  <sheetFormatPr defaultRowHeight="16.5" x14ac:dyDescent="0.3"/>
  <cols>
    <col min="4" max="4" width="11" bestFit="1" customWidth="1"/>
    <col min="5" max="5" width="12" customWidth="1"/>
  </cols>
  <sheetData>
    <row r="1" spans="1:5" ht="17.25" thickBot="1" x14ac:dyDescent="0.35">
      <c r="A1" s="59"/>
      <c r="B1" s="45" t="s">
        <v>1818</v>
      </c>
      <c r="C1" s="44" t="s">
        <v>1</v>
      </c>
      <c r="D1" s="44" t="s">
        <v>2</v>
      </c>
      <c r="E1" s="7" t="s">
        <v>1819</v>
      </c>
    </row>
    <row r="2" spans="1:5" x14ac:dyDescent="0.3">
      <c r="A2" s="61">
        <v>1</v>
      </c>
      <c r="B2" s="39"/>
      <c r="C2" s="37"/>
      <c r="D2" s="37"/>
      <c r="E2" s="28"/>
    </row>
    <row r="3" spans="1:5" x14ac:dyDescent="0.3">
      <c r="A3" s="62">
        <v>2</v>
      </c>
      <c r="B3" s="31"/>
      <c r="C3" s="37"/>
      <c r="D3" s="26"/>
      <c r="E3" s="27"/>
    </row>
    <row r="4" spans="1:5" x14ac:dyDescent="0.3">
      <c r="A4" s="62">
        <v>3</v>
      </c>
      <c r="B4" s="31"/>
      <c r="C4" s="37"/>
      <c r="D4" s="26"/>
      <c r="E4" s="27"/>
    </row>
    <row r="5" spans="1:5" x14ac:dyDescent="0.3">
      <c r="A5" s="62">
        <v>4</v>
      </c>
      <c r="B5" s="31"/>
      <c r="C5" s="37"/>
      <c r="D5" s="26"/>
      <c r="E5" s="27"/>
    </row>
    <row r="6" spans="1:5" x14ac:dyDescent="0.3">
      <c r="A6" s="62">
        <v>5</v>
      </c>
      <c r="B6" s="31"/>
      <c r="C6" s="37"/>
      <c r="D6" s="26"/>
      <c r="E6" s="27"/>
    </row>
    <row r="7" spans="1:5" x14ac:dyDescent="0.3">
      <c r="A7" s="61">
        <v>6</v>
      </c>
      <c r="B7" s="31"/>
      <c r="C7" s="37"/>
      <c r="D7" s="26"/>
      <c r="E7" s="27"/>
    </row>
    <row r="8" spans="1:5" x14ac:dyDescent="0.3">
      <c r="A8" s="62">
        <v>7</v>
      </c>
      <c r="B8" s="31"/>
      <c r="C8" s="37"/>
      <c r="D8" s="26"/>
      <c r="E8" s="27"/>
    </row>
    <row r="9" spans="1:5" x14ac:dyDescent="0.3">
      <c r="A9" s="62">
        <v>8</v>
      </c>
      <c r="B9" s="31"/>
      <c r="C9" s="37"/>
      <c r="D9" s="26"/>
      <c r="E9" s="27"/>
    </row>
    <row r="10" spans="1:5" x14ac:dyDescent="0.3">
      <c r="A10" s="62">
        <v>9</v>
      </c>
      <c r="B10" s="31"/>
      <c r="C10" s="37"/>
      <c r="D10" s="26"/>
      <c r="E10" s="27"/>
    </row>
    <row r="11" spans="1:5" x14ac:dyDescent="0.3">
      <c r="A11" s="62">
        <v>10</v>
      </c>
      <c r="B11" s="31"/>
      <c r="C11" s="37"/>
      <c r="D11" s="26"/>
      <c r="E11" s="27"/>
    </row>
    <row r="12" spans="1:5" x14ac:dyDescent="0.3">
      <c r="A12" s="61">
        <v>11</v>
      </c>
      <c r="B12" s="31"/>
      <c r="C12" s="37"/>
      <c r="D12" s="26"/>
      <c r="E12" s="27"/>
    </row>
    <row r="13" spans="1:5" x14ac:dyDescent="0.3">
      <c r="A13" s="62">
        <v>12</v>
      </c>
      <c r="B13" s="31"/>
      <c r="C13" s="37"/>
      <c r="D13" s="26"/>
      <c r="E13" s="27"/>
    </row>
    <row r="14" spans="1:5" x14ac:dyDescent="0.3">
      <c r="A14" s="62">
        <v>13</v>
      </c>
      <c r="B14" s="31"/>
      <c r="C14" s="37"/>
      <c r="D14" s="26"/>
      <c r="E14" s="27"/>
    </row>
    <row r="15" spans="1:5" x14ac:dyDescent="0.3">
      <c r="A15" s="62">
        <v>14</v>
      </c>
      <c r="B15" s="31"/>
      <c r="C15" s="37"/>
      <c r="D15" s="26"/>
      <c r="E15" s="27"/>
    </row>
    <row r="16" spans="1:5" x14ac:dyDescent="0.3">
      <c r="A16" s="62">
        <v>15</v>
      </c>
      <c r="B16" s="31"/>
      <c r="C16" s="37"/>
      <c r="D16" s="26"/>
      <c r="E16" s="27"/>
    </row>
    <row r="17" spans="1:5" x14ac:dyDescent="0.3">
      <c r="A17" s="61">
        <v>16</v>
      </c>
      <c r="B17" s="31"/>
      <c r="C17" s="37"/>
      <c r="D17" s="26"/>
      <c r="E17" s="27"/>
    </row>
    <row r="18" spans="1:5" x14ac:dyDescent="0.3">
      <c r="A18" s="62">
        <v>17</v>
      </c>
      <c r="B18" s="31"/>
      <c r="C18" s="37"/>
      <c r="D18" s="26"/>
      <c r="E18" s="27"/>
    </row>
    <row r="19" spans="1:5" x14ac:dyDescent="0.3">
      <c r="A19" s="62">
        <v>18</v>
      </c>
      <c r="B19" s="31"/>
      <c r="C19" s="37"/>
      <c r="D19" s="26"/>
      <c r="E19" s="27"/>
    </row>
    <row r="20" spans="1:5" x14ac:dyDescent="0.3">
      <c r="A20" s="62">
        <v>19</v>
      </c>
      <c r="B20" s="31"/>
      <c r="C20" s="37"/>
      <c r="D20" s="26"/>
      <c r="E20" s="27"/>
    </row>
    <row r="21" spans="1:5" x14ac:dyDescent="0.3">
      <c r="A21" s="62">
        <v>20</v>
      </c>
      <c r="B21" s="31"/>
      <c r="C21" s="37"/>
      <c r="D21" s="26"/>
      <c r="E21" s="27"/>
    </row>
    <row r="22" spans="1:5" x14ac:dyDescent="0.3">
      <c r="A22" s="61">
        <v>21</v>
      </c>
      <c r="B22" s="31"/>
      <c r="C22" s="37"/>
      <c r="D22" s="26"/>
      <c r="E22" s="27"/>
    </row>
    <row r="23" spans="1:5" x14ac:dyDescent="0.3">
      <c r="A23" s="62">
        <v>22</v>
      </c>
      <c r="B23" s="31"/>
      <c r="C23" s="37"/>
      <c r="D23" s="26"/>
      <c r="E23" s="27"/>
    </row>
    <row r="24" spans="1:5" x14ac:dyDescent="0.3">
      <c r="A24" s="62">
        <v>23</v>
      </c>
      <c r="B24" s="31"/>
      <c r="C24" s="37"/>
      <c r="D24" s="26"/>
      <c r="E24" s="27"/>
    </row>
    <row r="25" spans="1:5" x14ac:dyDescent="0.3">
      <c r="A25" s="62">
        <v>24</v>
      </c>
      <c r="B25" s="31"/>
      <c r="C25" s="37"/>
      <c r="D25" s="26"/>
      <c r="E25" s="27"/>
    </row>
    <row r="26" spans="1:5" x14ac:dyDescent="0.3">
      <c r="A26" s="62">
        <v>25</v>
      </c>
      <c r="B26" s="31"/>
      <c r="C26" s="37"/>
      <c r="D26" s="26"/>
      <c r="E26" s="27"/>
    </row>
    <row r="27" spans="1:5" x14ac:dyDescent="0.3">
      <c r="A27" s="61">
        <v>26</v>
      </c>
      <c r="B27" s="31"/>
      <c r="C27" s="37"/>
      <c r="D27" s="26"/>
      <c r="E27" s="27"/>
    </row>
    <row r="28" spans="1:5" x14ac:dyDescent="0.3">
      <c r="A28" s="62">
        <v>27</v>
      </c>
      <c r="B28" s="31"/>
      <c r="C28" s="37"/>
      <c r="D28" s="26"/>
      <c r="E28" s="27"/>
    </row>
    <row r="29" spans="1:5" x14ac:dyDescent="0.3">
      <c r="A29" s="62">
        <v>28</v>
      </c>
      <c r="B29" s="31"/>
      <c r="C29" s="37"/>
      <c r="D29" s="26"/>
      <c r="E29" s="27"/>
    </row>
    <row r="30" spans="1:5" x14ac:dyDescent="0.3">
      <c r="A30" s="62">
        <v>29</v>
      </c>
      <c r="B30" s="31"/>
      <c r="C30" s="37"/>
      <c r="D30" s="26"/>
      <c r="E30" s="27"/>
    </row>
    <row r="31" spans="1:5" x14ac:dyDescent="0.3">
      <c r="A31" s="62">
        <v>30</v>
      </c>
      <c r="B31" s="31"/>
      <c r="C31" s="26"/>
      <c r="D31" s="26"/>
      <c r="E31" s="27"/>
    </row>
    <row r="32" spans="1:5" x14ac:dyDescent="0.3">
      <c r="A32" s="61">
        <v>31</v>
      </c>
      <c r="B32" s="31"/>
      <c r="C32" s="26"/>
      <c r="D32" s="26"/>
      <c r="E32" s="27"/>
    </row>
    <row r="33" spans="1:5" x14ac:dyDescent="0.3">
      <c r="A33" s="62">
        <v>32</v>
      </c>
      <c r="B33" s="31"/>
      <c r="C33" s="26"/>
      <c r="D33" s="26"/>
      <c r="E33" s="27"/>
    </row>
    <row r="34" spans="1:5" x14ac:dyDescent="0.3">
      <c r="A34" s="62">
        <v>33</v>
      </c>
      <c r="B34" s="31"/>
      <c r="C34" s="26"/>
      <c r="D34" s="26"/>
      <c r="E34" s="27"/>
    </row>
    <row r="35" spans="1:5" x14ac:dyDescent="0.3">
      <c r="A35" s="62">
        <v>34</v>
      </c>
      <c r="B35" s="31"/>
      <c r="C35" s="26"/>
      <c r="D35" s="26"/>
      <c r="E35" s="27"/>
    </row>
    <row r="36" spans="1:5" x14ac:dyDescent="0.3">
      <c r="A36" s="62">
        <v>35</v>
      </c>
      <c r="B36" s="31"/>
      <c r="C36" s="26"/>
      <c r="D36" s="26"/>
      <c r="E36" s="27"/>
    </row>
    <row r="37" spans="1:5" x14ac:dyDescent="0.3">
      <c r="A37" s="61">
        <v>36</v>
      </c>
      <c r="B37" s="31"/>
      <c r="C37" s="26"/>
      <c r="D37" s="26"/>
      <c r="E37" s="27"/>
    </row>
    <row r="38" spans="1:5" x14ac:dyDescent="0.3">
      <c r="A38" s="62">
        <v>37</v>
      </c>
      <c r="B38" s="31"/>
      <c r="C38" s="26"/>
      <c r="D38" s="26"/>
      <c r="E38" s="27"/>
    </row>
    <row r="39" spans="1:5" x14ac:dyDescent="0.3">
      <c r="A39" s="62">
        <v>38</v>
      </c>
      <c r="B39" s="31"/>
      <c r="C39" s="26"/>
      <c r="D39" s="26"/>
      <c r="E39" s="27"/>
    </row>
    <row r="40" spans="1:5" x14ac:dyDescent="0.3">
      <c r="A40" s="62">
        <v>39</v>
      </c>
      <c r="B40" s="31"/>
      <c r="C40" s="26"/>
      <c r="D40" s="26"/>
      <c r="E40" s="27"/>
    </row>
    <row r="41" spans="1:5" x14ac:dyDescent="0.3">
      <c r="A41" s="62">
        <v>40</v>
      </c>
      <c r="B41" s="31"/>
      <c r="C41" s="26"/>
      <c r="D41" s="26"/>
      <c r="E41" s="27"/>
    </row>
    <row r="42" spans="1:5" x14ac:dyDescent="0.3">
      <c r="A42" s="61">
        <v>41</v>
      </c>
      <c r="B42" s="31"/>
      <c r="C42" s="26"/>
      <c r="D42" s="26"/>
      <c r="E42" s="27"/>
    </row>
    <row r="43" spans="1:5" x14ac:dyDescent="0.3">
      <c r="A43" s="62">
        <v>42</v>
      </c>
      <c r="B43" s="31"/>
      <c r="C43" s="26"/>
      <c r="D43" s="26"/>
      <c r="E43" s="27"/>
    </row>
    <row r="44" spans="1:5" x14ac:dyDescent="0.3">
      <c r="A44" s="62">
        <v>43</v>
      </c>
      <c r="B44" s="31"/>
      <c r="C44" s="26"/>
      <c r="D44" s="26"/>
      <c r="E44" s="27"/>
    </row>
    <row r="45" spans="1:5" x14ac:dyDescent="0.3">
      <c r="A45" s="62">
        <v>44</v>
      </c>
      <c r="B45" s="31"/>
      <c r="C45" s="26"/>
      <c r="D45" s="26"/>
      <c r="E45" s="27"/>
    </row>
    <row r="46" spans="1:5" x14ac:dyDescent="0.3">
      <c r="A46" s="62">
        <v>45</v>
      </c>
      <c r="B46" s="31"/>
      <c r="C46" s="26"/>
      <c r="D46" s="26"/>
      <c r="E46" s="27"/>
    </row>
    <row r="47" spans="1:5" x14ac:dyDescent="0.3">
      <c r="A47" s="61">
        <v>46</v>
      </c>
      <c r="B47" s="31"/>
      <c r="C47" s="26"/>
      <c r="D47" s="26"/>
      <c r="E47" s="27"/>
    </row>
    <row r="48" spans="1:5" x14ac:dyDescent="0.3">
      <c r="A48" s="62">
        <v>47</v>
      </c>
      <c r="B48" s="31"/>
      <c r="C48" s="26"/>
      <c r="D48" s="26"/>
      <c r="E48" s="27"/>
    </row>
    <row r="49" spans="1:5" x14ac:dyDescent="0.3">
      <c r="A49" s="62">
        <v>48</v>
      </c>
      <c r="B49" s="31"/>
      <c r="C49" s="26"/>
      <c r="D49" s="26"/>
      <c r="E49" s="27"/>
    </row>
    <row r="50" spans="1:5" x14ac:dyDescent="0.3">
      <c r="A50" s="62">
        <v>49</v>
      </c>
      <c r="B50" s="31"/>
      <c r="C50" s="26"/>
      <c r="D50" s="26"/>
      <c r="E50" s="27"/>
    </row>
    <row r="51" spans="1:5" x14ac:dyDescent="0.3">
      <c r="A51" s="62">
        <v>50</v>
      </c>
      <c r="B51" s="31"/>
      <c r="C51" s="26"/>
      <c r="D51" s="26"/>
      <c r="E51" s="27"/>
    </row>
    <row r="52" spans="1:5" x14ac:dyDescent="0.3">
      <c r="A52" s="61">
        <v>51</v>
      </c>
      <c r="B52" s="31"/>
      <c r="C52" s="26"/>
      <c r="D52" s="26"/>
      <c r="E52" s="27"/>
    </row>
    <row r="53" spans="1:5" x14ac:dyDescent="0.3">
      <c r="A53" s="62">
        <v>52</v>
      </c>
      <c r="B53" s="31"/>
      <c r="C53" s="26"/>
      <c r="D53" s="26"/>
      <c r="E53" s="27"/>
    </row>
    <row r="54" spans="1:5" x14ac:dyDescent="0.3">
      <c r="A54" s="62">
        <v>53</v>
      </c>
      <c r="B54" s="31"/>
      <c r="C54" s="26"/>
      <c r="D54" s="26"/>
      <c r="E54" s="27"/>
    </row>
    <row r="55" spans="1:5" x14ac:dyDescent="0.3">
      <c r="A55" s="62">
        <v>54</v>
      </c>
      <c r="B55" s="31"/>
      <c r="C55" s="26"/>
      <c r="D55" s="26"/>
      <c r="E55" s="27"/>
    </row>
    <row r="56" spans="1:5" x14ac:dyDescent="0.3">
      <c r="A56" s="62">
        <v>55</v>
      </c>
      <c r="B56" s="31"/>
      <c r="C56" s="26"/>
      <c r="D56" s="26"/>
      <c r="E56" s="27"/>
    </row>
    <row r="57" spans="1:5" x14ac:dyDescent="0.3">
      <c r="A57" s="61">
        <v>56</v>
      </c>
      <c r="B57" s="31"/>
      <c r="C57" s="26"/>
      <c r="D57" s="26"/>
      <c r="E57" s="27"/>
    </row>
    <row r="58" spans="1:5" x14ac:dyDescent="0.3">
      <c r="A58" s="62">
        <v>57</v>
      </c>
      <c r="B58" s="31"/>
      <c r="C58" s="26"/>
      <c r="D58" s="26"/>
      <c r="E58" s="27"/>
    </row>
    <row r="59" spans="1:5" x14ac:dyDescent="0.3">
      <c r="A59" s="62">
        <v>58</v>
      </c>
      <c r="B59" s="31"/>
      <c r="C59" s="26"/>
      <c r="D59" s="26"/>
      <c r="E59" s="27"/>
    </row>
    <row r="60" spans="1:5" x14ac:dyDescent="0.3">
      <c r="A60" s="62">
        <v>59</v>
      </c>
      <c r="B60" s="31"/>
      <c r="C60" s="26"/>
      <c r="D60" s="26"/>
      <c r="E60" s="27"/>
    </row>
    <row r="61" spans="1:5" x14ac:dyDescent="0.3">
      <c r="A61" s="62">
        <v>60</v>
      </c>
      <c r="B61" s="31"/>
      <c r="C61" s="26"/>
      <c r="D61" s="26"/>
      <c r="E61" s="27"/>
    </row>
    <row r="62" spans="1:5" x14ac:dyDescent="0.3">
      <c r="A62" s="61">
        <v>61</v>
      </c>
      <c r="B62" s="31"/>
      <c r="C62" s="26"/>
      <c r="D62" s="26"/>
      <c r="E62" s="27"/>
    </row>
    <row r="63" spans="1:5" x14ac:dyDescent="0.3">
      <c r="A63" s="62">
        <v>62</v>
      </c>
      <c r="B63" s="31"/>
      <c r="C63" s="26"/>
      <c r="D63" s="26"/>
      <c r="E63" s="27"/>
    </row>
    <row r="64" spans="1:5" x14ac:dyDescent="0.3">
      <c r="A64" s="62">
        <v>63</v>
      </c>
      <c r="B64" s="31"/>
      <c r="C64" s="26"/>
      <c r="D64" s="26"/>
      <c r="E64" s="27"/>
    </row>
    <row r="65" spans="1:5" x14ac:dyDescent="0.3">
      <c r="A65" s="62">
        <v>64</v>
      </c>
      <c r="B65" s="31"/>
      <c r="C65" s="26"/>
      <c r="D65" s="26"/>
      <c r="E65" s="27"/>
    </row>
    <row r="66" spans="1:5" x14ac:dyDescent="0.3">
      <c r="A66" s="62">
        <v>65</v>
      </c>
      <c r="B66" s="31"/>
      <c r="C66" s="26"/>
      <c r="D66" s="26"/>
      <c r="E66" s="27"/>
    </row>
    <row r="67" spans="1:5" x14ac:dyDescent="0.3">
      <c r="A67" s="61">
        <v>66</v>
      </c>
      <c r="B67" s="31"/>
      <c r="C67" s="26"/>
      <c r="D67" s="26"/>
      <c r="E67" s="27"/>
    </row>
    <row r="68" spans="1:5" x14ac:dyDescent="0.3">
      <c r="A68" s="62">
        <v>67</v>
      </c>
      <c r="B68" s="31"/>
      <c r="C68" s="26"/>
      <c r="D68" s="26"/>
      <c r="E68" s="27"/>
    </row>
    <row r="69" spans="1:5" x14ac:dyDescent="0.3">
      <c r="A69" s="62">
        <v>68</v>
      </c>
      <c r="B69" s="31"/>
      <c r="C69" s="26"/>
      <c r="D69" s="26"/>
      <c r="E69" s="27"/>
    </row>
    <row r="70" spans="1:5" x14ac:dyDescent="0.3">
      <c r="A70" s="62">
        <v>69</v>
      </c>
      <c r="B70" s="31"/>
      <c r="C70" s="26"/>
      <c r="D70" s="26"/>
      <c r="E70" s="27"/>
    </row>
    <row r="71" spans="1:5" x14ac:dyDescent="0.3">
      <c r="A71" s="62">
        <v>70</v>
      </c>
      <c r="B71" s="31"/>
      <c r="C71" s="26"/>
      <c r="D71" s="26"/>
      <c r="E71" s="27"/>
    </row>
    <row r="72" spans="1:5" x14ac:dyDescent="0.3">
      <c r="A72" s="61">
        <v>71</v>
      </c>
      <c r="B72" s="31"/>
      <c r="C72" s="26"/>
      <c r="D72" s="26"/>
      <c r="E72" s="27"/>
    </row>
    <row r="73" spans="1:5" x14ac:dyDescent="0.3">
      <c r="A73" s="62">
        <v>72</v>
      </c>
      <c r="B73" s="31"/>
      <c r="C73" s="26"/>
      <c r="D73" s="26"/>
      <c r="E73" s="27"/>
    </row>
    <row r="74" spans="1:5" x14ac:dyDescent="0.3">
      <c r="A74" s="62">
        <v>73</v>
      </c>
      <c r="B74" s="31"/>
      <c r="C74" s="26"/>
      <c r="D74" s="26"/>
      <c r="E74" s="27"/>
    </row>
    <row r="75" spans="1:5" x14ac:dyDescent="0.3">
      <c r="A75" s="62">
        <v>74</v>
      </c>
      <c r="B75" s="31"/>
      <c r="C75" s="26"/>
      <c r="D75" s="26"/>
      <c r="E75" s="27"/>
    </row>
    <row r="76" spans="1:5" x14ac:dyDescent="0.3">
      <c r="A76" s="62"/>
      <c r="B76" s="31"/>
      <c r="C76" s="26"/>
      <c r="D76" s="26"/>
      <c r="E76" s="27"/>
    </row>
    <row r="77" spans="1:5" x14ac:dyDescent="0.3">
      <c r="A77" s="62"/>
      <c r="B77" s="31"/>
      <c r="C77" s="26"/>
      <c r="D77" s="26"/>
      <c r="E77" s="27"/>
    </row>
    <row r="78" spans="1:5" x14ac:dyDescent="0.3">
      <c r="A78" s="62"/>
      <c r="B78" s="31"/>
      <c r="C78" s="26"/>
      <c r="D78" s="26"/>
      <c r="E78" s="27"/>
    </row>
    <row r="79" spans="1:5" ht="17.25" thickBot="1" x14ac:dyDescent="0.35">
      <c r="A79" s="65"/>
      <c r="B79" s="55"/>
      <c r="C79" s="56"/>
      <c r="D79" s="56"/>
      <c r="E79" s="47"/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79"/>
  <sheetViews>
    <sheetView workbookViewId="0">
      <selection activeCell="A75" sqref="A75:A79"/>
    </sheetView>
  </sheetViews>
  <sheetFormatPr defaultRowHeight="16.5" x14ac:dyDescent="0.3"/>
  <cols>
    <col min="4" max="4" width="11" bestFit="1" customWidth="1"/>
    <col min="5" max="5" width="12.25" customWidth="1"/>
  </cols>
  <sheetData>
    <row r="1" spans="1:5" ht="17.25" thickBot="1" x14ac:dyDescent="0.35">
      <c r="A1" s="59"/>
      <c r="B1" s="45" t="s">
        <v>1818</v>
      </c>
      <c r="C1" s="44" t="s">
        <v>1</v>
      </c>
      <c r="D1" s="44" t="s">
        <v>2</v>
      </c>
      <c r="E1" s="7" t="s">
        <v>1819</v>
      </c>
    </row>
    <row r="2" spans="1:5" x14ac:dyDescent="0.3">
      <c r="A2" s="61">
        <v>1</v>
      </c>
      <c r="B2" s="39"/>
      <c r="C2" s="37"/>
      <c r="D2" s="37"/>
      <c r="E2" s="28"/>
    </row>
    <row r="3" spans="1:5" x14ac:dyDescent="0.3">
      <c r="A3" s="62">
        <v>2</v>
      </c>
      <c r="B3" s="31"/>
      <c r="C3" s="37"/>
      <c r="D3" s="26"/>
      <c r="E3" s="27"/>
    </row>
    <row r="4" spans="1:5" x14ac:dyDescent="0.3">
      <c r="A4" s="62">
        <v>3</v>
      </c>
      <c r="B4" s="31"/>
      <c r="C4" s="37"/>
      <c r="D4" s="26"/>
      <c r="E4" s="27"/>
    </row>
    <row r="5" spans="1:5" x14ac:dyDescent="0.3">
      <c r="A5" s="62">
        <v>4</v>
      </c>
      <c r="B5" s="31"/>
      <c r="C5" s="37"/>
      <c r="D5" s="26"/>
      <c r="E5" s="27"/>
    </row>
    <row r="6" spans="1:5" x14ac:dyDescent="0.3">
      <c r="A6" s="62">
        <v>5</v>
      </c>
      <c r="B6" s="31"/>
      <c r="C6" s="37"/>
      <c r="D6" s="26"/>
      <c r="E6" s="27"/>
    </row>
    <row r="7" spans="1:5" x14ac:dyDescent="0.3">
      <c r="A7" s="61">
        <v>6</v>
      </c>
      <c r="B7" s="31"/>
      <c r="C7" s="37"/>
      <c r="D7" s="26"/>
      <c r="E7" s="27"/>
    </row>
    <row r="8" spans="1:5" x14ac:dyDescent="0.3">
      <c r="A8" s="62">
        <v>7</v>
      </c>
      <c r="B8" s="31"/>
      <c r="C8" s="37"/>
      <c r="D8" s="26"/>
      <c r="E8" s="27"/>
    </row>
    <row r="9" spans="1:5" x14ac:dyDescent="0.3">
      <c r="A9" s="62">
        <v>8</v>
      </c>
      <c r="B9" s="31"/>
      <c r="C9" s="37"/>
      <c r="D9" s="26"/>
      <c r="E9" s="27"/>
    </row>
    <row r="10" spans="1:5" x14ac:dyDescent="0.3">
      <c r="A10" s="62">
        <v>9</v>
      </c>
      <c r="B10" s="31"/>
      <c r="C10" s="37"/>
      <c r="D10" s="26"/>
      <c r="E10" s="27"/>
    </row>
    <row r="11" spans="1:5" x14ac:dyDescent="0.3">
      <c r="A11" s="62">
        <v>10</v>
      </c>
      <c r="B11" s="31"/>
      <c r="C11" s="37"/>
      <c r="D11" s="26"/>
      <c r="E11" s="27"/>
    </row>
    <row r="12" spans="1:5" x14ac:dyDescent="0.3">
      <c r="A12" s="61">
        <v>11</v>
      </c>
      <c r="B12" s="31"/>
      <c r="C12" s="37"/>
      <c r="D12" s="26"/>
      <c r="E12" s="27"/>
    </row>
    <row r="13" spans="1:5" x14ac:dyDescent="0.3">
      <c r="A13" s="62">
        <v>12</v>
      </c>
      <c r="B13" s="31"/>
      <c r="C13" s="37"/>
      <c r="D13" s="26"/>
      <c r="E13" s="27"/>
    </row>
    <row r="14" spans="1:5" x14ac:dyDescent="0.3">
      <c r="A14" s="62">
        <v>13</v>
      </c>
      <c r="B14" s="31"/>
      <c r="C14" s="37"/>
      <c r="D14" s="26"/>
      <c r="E14" s="27"/>
    </row>
    <row r="15" spans="1:5" x14ac:dyDescent="0.3">
      <c r="A15" s="62">
        <v>14</v>
      </c>
      <c r="B15" s="31"/>
      <c r="C15" s="37"/>
      <c r="D15" s="26"/>
      <c r="E15" s="27"/>
    </row>
    <row r="16" spans="1:5" x14ac:dyDescent="0.3">
      <c r="A16" s="62">
        <v>15</v>
      </c>
      <c r="B16" s="31"/>
      <c r="C16" s="37"/>
      <c r="D16" s="26"/>
      <c r="E16" s="27"/>
    </row>
    <row r="17" spans="1:5" x14ac:dyDescent="0.3">
      <c r="A17" s="61">
        <v>16</v>
      </c>
      <c r="B17" s="31"/>
      <c r="C17" s="37"/>
      <c r="D17" s="26"/>
      <c r="E17" s="27"/>
    </row>
    <row r="18" spans="1:5" x14ac:dyDescent="0.3">
      <c r="A18" s="62">
        <v>17</v>
      </c>
      <c r="B18" s="31"/>
      <c r="C18" s="37"/>
      <c r="D18" s="26"/>
      <c r="E18" s="27"/>
    </row>
    <row r="19" spans="1:5" x14ac:dyDescent="0.3">
      <c r="A19" s="62">
        <v>18</v>
      </c>
      <c r="B19" s="31"/>
      <c r="C19" s="37"/>
      <c r="D19" s="26"/>
      <c r="E19" s="27"/>
    </row>
    <row r="20" spans="1:5" x14ac:dyDescent="0.3">
      <c r="A20" s="62">
        <v>19</v>
      </c>
      <c r="B20" s="31"/>
      <c r="C20" s="37"/>
      <c r="D20" s="26"/>
      <c r="E20" s="27"/>
    </row>
    <row r="21" spans="1:5" x14ac:dyDescent="0.3">
      <c r="A21" s="62">
        <v>20</v>
      </c>
      <c r="B21" s="31"/>
      <c r="C21" s="37"/>
      <c r="D21" s="26"/>
      <c r="E21" s="27"/>
    </row>
    <row r="22" spans="1:5" x14ac:dyDescent="0.3">
      <c r="A22" s="61">
        <v>21</v>
      </c>
      <c r="B22" s="31"/>
      <c r="C22" s="37"/>
      <c r="D22" s="26"/>
      <c r="E22" s="27"/>
    </row>
    <row r="23" spans="1:5" x14ac:dyDescent="0.3">
      <c r="A23" s="62">
        <v>22</v>
      </c>
      <c r="B23" s="31"/>
      <c r="C23" s="37"/>
      <c r="D23" s="26"/>
      <c r="E23" s="27"/>
    </row>
    <row r="24" spans="1:5" x14ac:dyDescent="0.3">
      <c r="A24" s="62">
        <v>23</v>
      </c>
      <c r="B24" s="31"/>
      <c r="C24" s="37"/>
      <c r="D24" s="26"/>
      <c r="E24" s="27"/>
    </row>
    <row r="25" spans="1:5" x14ac:dyDescent="0.3">
      <c r="A25" s="62">
        <v>24</v>
      </c>
      <c r="B25" s="31"/>
      <c r="C25" s="37"/>
      <c r="D25" s="26"/>
      <c r="E25" s="27"/>
    </row>
    <row r="26" spans="1:5" x14ac:dyDescent="0.3">
      <c r="A26" s="62">
        <v>25</v>
      </c>
      <c r="B26" s="31"/>
      <c r="C26" s="37"/>
      <c r="D26" s="26"/>
      <c r="E26" s="27"/>
    </row>
    <row r="27" spans="1:5" x14ac:dyDescent="0.3">
      <c r="A27" s="61">
        <v>26</v>
      </c>
      <c r="B27" s="31"/>
      <c r="C27" s="37"/>
      <c r="D27" s="26"/>
      <c r="E27" s="27"/>
    </row>
    <row r="28" spans="1:5" x14ac:dyDescent="0.3">
      <c r="A28" s="62">
        <v>27</v>
      </c>
      <c r="B28" s="31"/>
      <c r="C28" s="37"/>
      <c r="D28" s="26"/>
      <c r="E28" s="27"/>
    </row>
    <row r="29" spans="1:5" x14ac:dyDescent="0.3">
      <c r="A29" s="62">
        <v>28</v>
      </c>
      <c r="B29" s="31"/>
      <c r="C29" s="37"/>
      <c r="D29" s="26"/>
      <c r="E29" s="27"/>
    </row>
    <row r="30" spans="1:5" x14ac:dyDescent="0.3">
      <c r="A30" s="62">
        <v>29</v>
      </c>
      <c r="B30" s="31"/>
      <c r="C30" s="37"/>
      <c r="D30" s="26"/>
      <c r="E30" s="27"/>
    </row>
    <row r="31" spans="1:5" x14ac:dyDescent="0.3">
      <c r="A31" s="62">
        <v>30</v>
      </c>
      <c r="B31" s="31"/>
      <c r="C31" s="26"/>
      <c r="D31" s="26"/>
      <c r="E31" s="27"/>
    </row>
    <row r="32" spans="1:5" x14ac:dyDescent="0.3">
      <c r="A32" s="61">
        <v>31</v>
      </c>
      <c r="B32" s="31"/>
      <c r="C32" s="26"/>
      <c r="D32" s="26"/>
      <c r="E32" s="27"/>
    </row>
    <row r="33" spans="1:5" x14ac:dyDescent="0.3">
      <c r="A33" s="62">
        <v>32</v>
      </c>
      <c r="B33" s="31"/>
      <c r="C33" s="26"/>
      <c r="D33" s="26"/>
      <c r="E33" s="27"/>
    </row>
    <row r="34" spans="1:5" x14ac:dyDescent="0.3">
      <c r="A34" s="62">
        <v>33</v>
      </c>
      <c r="B34" s="31"/>
      <c r="C34" s="26"/>
      <c r="D34" s="26"/>
      <c r="E34" s="27"/>
    </row>
    <row r="35" spans="1:5" x14ac:dyDescent="0.3">
      <c r="A35" s="62">
        <v>34</v>
      </c>
      <c r="B35" s="31"/>
      <c r="C35" s="26"/>
      <c r="D35" s="26"/>
      <c r="E35" s="27"/>
    </row>
    <row r="36" spans="1:5" x14ac:dyDescent="0.3">
      <c r="A36" s="62">
        <v>35</v>
      </c>
      <c r="B36" s="31"/>
      <c r="C36" s="26"/>
      <c r="D36" s="26"/>
      <c r="E36" s="27"/>
    </row>
    <row r="37" spans="1:5" x14ac:dyDescent="0.3">
      <c r="A37" s="61">
        <v>36</v>
      </c>
      <c r="B37" s="31"/>
      <c r="C37" s="26"/>
      <c r="D37" s="26"/>
      <c r="E37" s="27"/>
    </row>
    <row r="38" spans="1:5" x14ac:dyDescent="0.3">
      <c r="A38" s="62">
        <v>37</v>
      </c>
      <c r="B38" s="31"/>
      <c r="C38" s="26"/>
      <c r="D38" s="26"/>
      <c r="E38" s="27"/>
    </row>
    <row r="39" spans="1:5" x14ac:dyDescent="0.3">
      <c r="A39" s="62">
        <v>38</v>
      </c>
      <c r="B39" s="31"/>
      <c r="C39" s="26"/>
      <c r="D39" s="26"/>
      <c r="E39" s="27"/>
    </row>
    <row r="40" spans="1:5" x14ac:dyDescent="0.3">
      <c r="A40" s="62">
        <v>39</v>
      </c>
      <c r="B40" s="31"/>
      <c r="C40" s="26"/>
      <c r="D40" s="26"/>
      <c r="E40" s="27"/>
    </row>
    <row r="41" spans="1:5" x14ac:dyDescent="0.3">
      <c r="A41" s="62">
        <v>40</v>
      </c>
      <c r="B41" s="31"/>
      <c r="C41" s="26"/>
      <c r="D41" s="26"/>
      <c r="E41" s="27"/>
    </row>
    <row r="42" spans="1:5" x14ac:dyDescent="0.3">
      <c r="A42" s="61">
        <v>41</v>
      </c>
      <c r="B42" s="31"/>
      <c r="C42" s="26"/>
      <c r="D42" s="26"/>
      <c r="E42" s="27"/>
    </row>
    <row r="43" spans="1:5" x14ac:dyDescent="0.3">
      <c r="A43" s="62">
        <v>42</v>
      </c>
      <c r="B43" s="31"/>
      <c r="C43" s="26"/>
      <c r="D43" s="26"/>
      <c r="E43" s="27"/>
    </row>
    <row r="44" spans="1:5" x14ac:dyDescent="0.3">
      <c r="A44" s="62">
        <v>43</v>
      </c>
      <c r="B44" s="31"/>
      <c r="C44" s="26"/>
      <c r="D44" s="26"/>
      <c r="E44" s="27"/>
    </row>
    <row r="45" spans="1:5" x14ac:dyDescent="0.3">
      <c r="A45" s="62">
        <v>44</v>
      </c>
      <c r="B45" s="31"/>
      <c r="C45" s="26"/>
      <c r="D45" s="26"/>
      <c r="E45" s="27"/>
    </row>
    <row r="46" spans="1:5" x14ac:dyDescent="0.3">
      <c r="A46" s="62">
        <v>45</v>
      </c>
      <c r="B46" s="31"/>
      <c r="C46" s="26"/>
      <c r="D46" s="26"/>
      <c r="E46" s="27"/>
    </row>
    <row r="47" spans="1:5" x14ac:dyDescent="0.3">
      <c r="A47" s="61">
        <v>46</v>
      </c>
      <c r="B47" s="31"/>
      <c r="C47" s="26"/>
      <c r="D47" s="26"/>
      <c r="E47" s="27"/>
    </row>
    <row r="48" spans="1:5" x14ac:dyDescent="0.3">
      <c r="A48" s="62">
        <v>47</v>
      </c>
      <c r="B48" s="31"/>
      <c r="C48" s="26"/>
      <c r="D48" s="26"/>
      <c r="E48" s="27"/>
    </row>
    <row r="49" spans="1:5" x14ac:dyDescent="0.3">
      <c r="A49" s="62">
        <v>48</v>
      </c>
      <c r="B49" s="31"/>
      <c r="C49" s="26"/>
      <c r="D49" s="26"/>
      <c r="E49" s="27"/>
    </row>
    <row r="50" spans="1:5" x14ac:dyDescent="0.3">
      <c r="A50" s="62">
        <v>49</v>
      </c>
      <c r="B50" s="31"/>
      <c r="C50" s="26"/>
      <c r="D50" s="26"/>
      <c r="E50" s="27"/>
    </row>
    <row r="51" spans="1:5" x14ac:dyDescent="0.3">
      <c r="A51" s="62">
        <v>50</v>
      </c>
      <c r="B51" s="31"/>
      <c r="C51" s="26"/>
      <c r="D51" s="26"/>
      <c r="E51" s="27"/>
    </row>
    <row r="52" spans="1:5" x14ac:dyDescent="0.3">
      <c r="A52" s="61">
        <v>51</v>
      </c>
      <c r="B52" s="31"/>
      <c r="C52" s="26"/>
      <c r="D52" s="26"/>
      <c r="E52" s="27"/>
    </row>
    <row r="53" spans="1:5" x14ac:dyDescent="0.3">
      <c r="A53" s="62">
        <v>52</v>
      </c>
      <c r="B53" s="31"/>
      <c r="C53" s="26"/>
      <c r="D53" s="26"/>
      <c r="E53" s="27"/>
    </row>
    <row r="54" spans="1:5" x14ac:dyDescent="0.3">
      <c r="A54" s="62">
        <v>53</v>
      </c>
      <c r="B54" s="31"/>
      <c r="C54" s="26"/>
      <c r="D54" s="26"/>
      <c r="E54" s="27"/>
    </row>
    <row r="55" spans="1:5" x14ac:dyDescent="0.3">
      <c r="A55" s="62">
        <v>54</v>
      </c>
      <c r="B55" s="31"/>
      <c r="C55" s="26"/>
      <c r="D55" s="26"/>
      <c r="E55" s="27"/>
    </row>
    <row r="56" spans="1:5" x14ac:dyDescent="0.3">
      <c r="A56" s="62">
        <v>55</v>
      </c>
      <c r="B56" s="31"/>
      <c r="C56" s="26"/>
      <c r="D56" s="26"/>
      <c r="E56" s="27"/>
    </row>
    <row r="57" spans="1:5" x14ac:dyDescent="0.3">
      <c r="A57" s="61">
        <v>56</v>
      </c>
      <c r="B57" s="31"/>
      <c r="C57" s="26"/>
      <c r="D57" s="26"/>
      <c r="E57" s="27"/>
    </row>
    <row r="58" spans="1:5" x14ac:dyDescent="0.3">
      <c r="A58" s="62">
        <v>57</v>
      </c>
      <c r="B58" s="31"/>
      <c r="C58" s="26"/>
      <c r="D58" s="26"/>
      <c r="E58" s="27"/>
    </row>
    <row r="59" spans="1:5" x14ac:dyDescent="0.3">
      <c r="A59" s="62">
        <v>58</v>
      </c>
      <c r="B59" s="31"/>
      <c r="C59" s="26"/>
      <c r="D59" s="26"/>
      <c r="E59" s="27"/>
    </row>
    <row r="60" spans="1:5" x14ac:dyDescent="0.3">
      <c r="A60" s="62">
        <v>59</v>
      </c>
      <c r="B60" s="31"/>
      <c r="C60" s="26"/>
      <c r="D60" s="26"/>
      <c r="E60" s="27"/>
    </row>
    <row r="61" spans="1:5" x14ac:dyDescent="0.3">
      <c r="A61" s="62">
        <v>60</v>
      </c>
      <c r="B61" s="31"/>
      <c r="C61" s="26"/>
      <c r="D61" s="26"/>
      <c r="E61" s="27"/>
    </row>
    <row r="62" spans="1:5" x14ac:dyDescent="0.3">
      <c r="A62" s="61">
        <v>61</v>
      </c>
      <c r="B62" s="31"/>
      <c r="C62" s="26"/>
      <c r="D62" s="26"/>
      <c r="E62" s="27"/>
    </row>
    <row r="63" spans="1:5" x14ac:dyDescent="0.3">
      <c r="A63" s="62">
        <v>62</v>
      </c>
      <c r="B63" s="31"/>
      <c r="C63" s="26"/>
      <c r="D63" s="26"/>
      <c r="E63" s="27"/>
    </row>
    <row r="64" spans="1:5" x14ac:dyDescent="0.3">
      <c r="A64" s="62">
        <v>63</v>
      </c>
      <c r="B64" s="31"/>
      <c r="C64" s="26"/>
      <c r="D64" s="26"/>
      <c r="E64" s="27"/>
    </row>
    <row r="65" spans="1:5" x14ac:dyDescent="0.3">
      <c r="A65" s="62">
        <v>64</v>
      </c>
      <c r="B65" s="31"/>
      <c r="C65" s="26"/>
      <c r="D65" s="26"/>
      <c r="E65" s="27"/>
    </row>
    <row r="66" spans="1:5" x14ac:dyDescent="0.3">
      <c r="A66" s="62">
        <v>65</v>
      </c>
      <c r="B66" s="31"/>
      <c r="C66" s="26"/>
      <c r="D66" s="26"/>
      <c r="E66" s="27"/>
    </row>
    <row r="67" spans="1:5" x14ac:dyDescent="0.3">
      <c r="A67" s="61">
        <v>66</v>
      </c>
      <c r="B67" s="31"/>
      <c r="C67" s="26"/>
      <c r="D67" s="26"/>
      <c r="E67" s="27"/>
    </row>
    <row r="68" spans="1:5" x14ac:dyDescent="0.3">
      <c r="A68" s="62">
        <v>67</v>
      </c>
      <c r="B68" s="31"/>
      <c r="C68" s="26"/>
      <c r="D68" s="26"/>
      <c r="E68" s="27"/>
    </row>
    <row r="69" spans="1:5" x14ac:dyDescent="0.3">
      <c r="A69" s="62">
        <v>68</v>
      </c>
      <c r="B69" s="31"/>
      <c r="C69" s="26"/>
      <c r="D69" s="26"/>
      <c r="E69" s="27"/>
    </row>
    <row r="70" spans="1:5" x14ac:dyDescent="0.3">
      <c r="A70" s="62">
        <v>69</v>
      </c>
      <c r="B70" s="31"/>
      <c r="C70" s="26"/>
      <c r="D70" s="26"/>
      <c r="E70" s="27"/>
    </row>
    <row r="71" spans="1:5" x14ac:dyDescent="0.3">
      <c r="A71" s="62">
        <v>70</v>
      </c>
      <c r="B71" s="31"/>
      <c r="C71" s="26"/>
      <c r="D71" s="26"/>
      <c r="E71" s="27"/>
    </row>
    <row r="72" spans="1:5" x14ac:dyDescent="0.3">
      <c r="A72" s="61">
        <v>71</v>
      </c>
      <c r="B72" s="31"/>
      <c r="C72" s="26"/>
      <c r="D72" s="26"/>
      <c r="E72" s="27"/>
    </row>
    <row r="73" spans="1:5" x14ac:dyDescent="0.3">
      <c r="A73" s="62">
        <v>72</v>
      </c>
      <c r="B73" s="31"/>
      <c r="C73" s="26"/>
      <c r="D73" s="26"/>
      <c r="E73" s="27"/>
    </row>
    <row r="74" spans="1:5" x14ac:dyDescent="0.3">
      <c r="A74" s="62">
        <v>73</v>
      </c>
      <c r="B74" s="31"/>
      <c r="C74" s="26"/>
      <c r="D74" s="26"/>
      <c r="E74" s="27"/>
    </row>
    <row r="75" spans="1:5" x14ac:dyDescent="0.3">
      <c r="A75" s="62">
        <v>74</v>
      </c>
      <c r="B75" s="31"/>
      <c r="C75" s="26"/>
      <c r="D75" s="26"/>
      <c r="E75" s="27"/>
    </row>
    <row r="76" spans="1:5" x14ac:dyDescent="0.3">
      <c r="A76" s="62">
        <v>75</v>
      </c>
      <c r="B76" s="31"/>
      <c r="C76" s="26"/>
      <c r="D76" s="26"/>
      <c r="E76" s="27"/>
    </row>
    <row r="77" spans="1:5" x14ac:dyDescent="0.3">
      <c r="A77" s="62">
        <v>76</v>
      </c>
      <c r="B77" s="31"/>
      <c r="C77" s="26"/>
      <c r="D77" s="26"/>
      <c r="E77" s="27"/>
    </row>
    <row r="78" spans="1:5" x14ac:dyDescent="0.3">
      <c r="A78" s="62">
        <v>77</v>
      </c>
      <c r="B78" s="31"/>
      <c r="C78" s="26"/>
      <c r="D78" s="26"/>
      <c r="E78" s="27"/>
    </row>
    <row r="79" spans="1:5" ht="17.25" thickBot="1" x14ac:dyDescent="0.35">
      <c r="A79" s="62">
        <v>78</v>
      </c>
      <c r="B79" s="55"/>
      <c r="C79" s="56"/>
      <c r="D79" s="56"/>
      <c r="E79" s="47"/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917AB-47CD-427D-8280-3A63A7483B48}">
  <dimension ref="A1:I100"/>
  <sheetViews>
    <sheetView topLeftCell="A73" workbookViewId="0">
      <selection activeCell="B97" sqref="B97"/>
    </sheetView>
  </sheetViews>
  <sheetFormatPr defaultRowHeight="16.5" x14ac:dyDescent="0.3"/>
  <cols>
    <col min="3" max="3" width="9.875" bestFit="1" customWidth="1"/>
  </cols>
  <sheetData>
    <row r="1" spans="1:9" x14ac:dyDescent="0.3">
      <c r="B1" s="66" t="s">
        <v>1</v>
      </c>
      <c r="C1" s="66" t="s">
        <v>2909</v>
      </c>
      <c r="D1" s="437" t="s">
        <v>2908</v>
      </c>
      <c r="E1" s="437"/>
      <c r="F1" s="437" t="s">
        <v>911</v>
      </c>
      <c r="G1" s="437"/>
      <c r="H1" s="437" t="s">
        <v>3</v>
      </c>
      <c r="I1" s="437"/>
    </row>
    <row r="2" spans="1:9" x14ac:dyDescent="0.3">
      <c r="A2" s="66">
        <v>1</v>
      </c>
      <c r="B2" s="26">
        <v>12390</v>
      </c>
      <c r="C2" s="67">
        <v>45931</v>
      </c>
      <c r="D2" s="399" t="s">
        <v>2910</v>
      </c>
      <c r="E2" s="399"/>
      <c r="F2" s="399" t="s">
        <v>2911</v>
      </c>
      <c r="G2" s="399"/>
      <c r="H2" s="399"/>
      <c r="I2" s="399"/>
    </row>
    <row r="3" spans="1:9" x14ac:dyDescent="0.3">
      <c r="A3" s="66">
        <v>2</v>
      </c>
      <c r="B3" s="26">
        <v>12392</v>
      </c>
      <c r="C3" s="67">
        <v>45931</v>
      </c>
      <c r="D3" s="399" t="s">
        <v>2912</v>
      </c>
      <c r="E3" s="399"/>
      <c r="F3" s="399" t="s">
        <v>2913</v>
      </c>
      <c r="G3" s="399"/>
      <c r="H3" s="399" t="s">
        <v>2923</v>
      </c>
      <c r="I3" s="399"/>
    </row>
    <row r="4" spans="1:9" x14ac:dyDescent="0.3">
      <c r="A4" s="66">
        <v>3</v>
      </c>
      <c r="B4" s="26">
        <v>12393</v>
      </c>
      <c r="C4" s="67">
        <v>45931</v>
      </c>
      <c r="D4" s="399" t="s">
        <v>564</v>
      </c>
      <c r="E4" s="399"/>
      <c r="F4" s="399" t="s">
        <v>97</v>
      </c>
      <c r="G4" s="399"/>
      <c r="H4" s="399" t="s">
        <v>28</v>
      </c>
      <c r="I4" s="399"/>
    </row>
    <row r="5" spans="1:9" x14ac:dyDescent="0.3">
      <c r="A5" s="66">
        <v>4</v>
      </c>
      <c r="B5" s="26">
        <v>12394</v>
      </c>
      <c r="C5" s="67">
        <v>45931</v>
      </c>
      <c r="D5" s="399" t="s">
        <v>2914</v>
      </c>
      <c r="E5" s="399"/>
      <c r="F5" s="399" t="s">
        <v>32</v>
      </c>
      <c r="G5" s="399"/>
      <c r="H5" s="399"/>
      <c r="I5" s="399"/>
    </row>
    <row r="6" spans="1:9" x14ac:dyDescent="0.3">
      <c r="A6" s="66">
        <v>5</v>
      </c>
      <c r="B6" s="26">
        <v>12395</v>
      </c>
      <c r="C6" s="67">
        <v>45931</v>
      </c>
      <c r="D6" s="399" t="s">
        <v>2915</v>
      </c>
      <c r="E6" s="399"/>
      <c r="F6" s="399" t="s">
        <v>2916</v>
      </c>
      <c r="G6" s="399"/>
      <c r="H6" s="399" t="s">
        <v>520</v>
      </c>
      <c r="I6" s="399"/>
    </row>
    <row r="7" spans="1:9" x14ac:dyDescent="0.3">
      <c r="A7" s="66">
        <v>6</v>
      </c>
      <c r="B7" s="26">
        <v>12396</v>
      </c>
      <c r="C7" s="67">
        <v>45932</v>
      </c>
      <c r="D7" s="399" t="s">
        <v>2917</v>
      </c>
      <c r="E7" s="399"/>
      <c r="F7" s="399" t="s">
        <v>70</v>
      </c>
      <c r="G7" s="399"/>
      <c r="H7" s="399" t="s">
        <v>2800</v>
      </c>
      <c r="I7" s="399"/>
    </row>
    <row r="8" spans="1:9" x14ac:dyDescent="0.3">
      <c r="A8" s="66">
        <v>7</v>
      </c>
      <c r="B8" s="26">
        <v>12397</v>
      </c>
      <c r="C8" s="67">
        <v>45932</v>
      </c>
      <c r="D8" s="399" t="s">
        <v>2918</v>
      </c>
      <c r="E8" s="399"/>
      <c r="F8" s="399" t="s">
        <v>2919</v>
      </c>
      <c r="G8" s="399"/>
      <c r="H8" s="399" t="s">
        <v>63</v>
      </c>
      <c r="I8" s="399"/>
    </row>
    <row r="9" spans="1:9" x14ac:dyDescent="0.3">
      <c r="A9" s="66">
        <v>8</v>
      </c>
      <c r="B9" s="26">
        <v>12398</v>
      </c>
      <c r="C9" s="67">
        <v>45932</v>
      </c>
      <c r="D9" s="399" t="s">
        <v>2920</v>
      </c>
      <c r="E9" s="399"/>
      <c r="F9" s="399" t="s">
        <v>2921</v>
      </c>
      <c r="G9" s="399"/>
      <c r="H9" s="399" t="s">
        <v>2922</v>
      </c>
      <c r="I9" s="399"/>
    </row>
    <row r="10" spans="1:9" x14ac:dyDescent="0.3">
      <c r="A10" s="66">
        <v>9</v>
      </c>
      <c r="B10" s="26">
        <v>12399</v>
      </c>
      <c r="C10" s="67">
        <v>45932</v>
      </c>
      <c r="D10" s="399" t="s">
        <v>2924</v>
      </c>
      <c r="E10" s="399"/>
      <c r="F10" s="399" t="s">
        <v>2925</v>
      </c>
      <c r="G10" s="399"/>
      <c r="H10" s="399" t="s">
        <v>63</v>
      </c>
      <c r="I10" s="399"/>
    </row>
    <row r="11" spans="1:9" x14ac:dyDescent="0.3">
      <c r="A11" s="66">
        <v>10</v>
      </c>
      <c r="B11" s="26">
        <v>12400</v>
      </c>
      <c r="C11" s="67">
        <v>45932</v>
      </c>
      <c r="D11" s="399" t="s">
        <v>2926</v>
      </c>
      <c r="E11" s="399"/>
      <c r="F11" s="399" t="s">
        <v>1564</v>
      </c>
      <c r="G11" s="399"/>
      <c r="H11" s="399" t="s">
        <v>63</v>
      </c>
      <c r="I11" s="399"/>
    </row>
    <row r="12" spans="1:9" x14ac:dyDescent="0.3">
      <c r="A12" s="66">
        <v>11</v>
      </c>
      <c r="B12" s="26">
        <v>12401</v>
      </c>
      <c r="C12" s="67">
        <v>45933</v>
      </c>
      <c r="D12" s="399" t="s">
        <v>2927</v>
      </c>
      <c r="E12" s="399"/>
      <c r="F12" s="399" t="s">
        <v>169</v>
      </c>
      <c r="G12" s="399"/>
      <c r="H12" s="399" t="s">
        <v>63</v>
      </c>
      <c r="I12" s="399"/>
    </row>
    <row r="13" spans="1:9" x14ac:dyDescent="0.3">
      <c r="A13" s="66">
        <v>12</v>
      </c>
      <c r="B13" s="26">
        <v>12402</v>
      </c>
      <c r="C13" s="67">
        <v>45933</v>
      </c>
      <c r="D13" s="399" t="s">
        <v>2046</v>
      </c>
      <c r="E13" s="399"/>
      <c r="F13" s="399" t="s">
        <v>2928</v>
      </c>
      <c r="G13" s="399"/>
      <c r="H13" s="399" t="s">
        <v>2800</v>
      </c>
      <c r="I13" s="399"/>
    </row>
    <row r="14" spans="1:9" x14ac:dyDescent="0.3">
      <c r="A14" s="66">
        <v>13</v>
      </c>
      <c r="B14" s="26">
        <v>12403</v>
      </c>
      <c r="C14" s="67">
        <v>45933</v>
      </c>
      <c r="D14" s="399" t="s">
        <v>1536</v>
      </c>
      <c r="E14" s="399"/>
      <c r="F14" s="399" t="s">
        <v>2929</v>
      </c>
      <c r="G14" s="399"/>
      <c r="H14" s="399" t="s">
        <v>63</v>
      </c>
      <c r="I14" s="399"/>
    </row>
    <row r="15" spans="1:9" x14ac:dyDescent="0.3">
      <c r="A15" s="66">
        <v>14</v>
      </c>
      <c r="B15" s="26">
        <v>12404</v>
      </c>
      <c r="C15" s="67">
        <v>45934</v>
      </c>
      <c r="D15" s="399" t="s">
        <v>2930</v>
      </c>
      <c r="E15" s="399"/>
      <c r="F15" s="399" t="s">
        <v>97</v>
      </c>
      <c r="G15" s="399"/>
      <c r="H15" s="399" t="s">
        <v>2800</v>
      </c>
      <c r="I15" s="399"/>
    </row>
    <row r="16" spans="1:9" x14ac:dyDescent="0.3">
      <c r="A16" s="66">
        <v>15</v>
      </c>
      <c r="B16" s="26">
        <v>12405</v>
      </c>
      <c r="C16" s="67">
        <v>45934</v>
      </c>
      <c r="D16" s="399" t="s">
        <v>2931</v>
      </c>
      <c r="E16" s="399"/>
      <c r="F16" s="399" t="s">
        <v>763</v>
      </c>
      <c r="G16" s="399"/>
      <c r="H16" s="399" t="s">
        <v>63</v>
      </c>
      <c r="I16" s="399"/>
    </row>
    <row r="17" spans="1:9" x14ac:dyDescent="0.3">
      <c r="A17" s="66">
        <v>16</v>
      </c>
      <c r="B17" s="26">
        <v>12406</v>
      </c>
      <c r="C17" s="67">
        <v>45934</v>
      </c>
      <c r="D17" s="399" t="s">
        <v>2932</v>
      </c>
      <c r="E17" s="399"/>
      <c r="F17" s="399" t="s">
        <v>824</v>
      </c>
      <c r="G17" s="399"/>
      <c r="H17" s="399" t="s">
        <v>2800</v>
      </c>
      <c r="I17" s="399"/>
    </row>
    <row r="18" spans="1:9" x14ac:dyDescent="0.3">
      <c r="A18" s="66">
        <v>17</v>
      </c>
      <c r="B18" s="26">
        <v>12559</v>
      </c>
      <c r="C18" s="67">
        <v>45934</v>
      </c>
      <c r="D18" s="399" t="s">
        <v>2933</v>
      </c>
      <c r="E18" s="399"/>
      <c r="F18" s="399" t="s">
        <v>97</v>
      </c>
      <c r="G18" s="399"/>
      <c r="H18" s="399" t="s">
        <v>63</v>
      </c>
      <c r="I18" s="399"/>
    </row>
    <row r="19" spans="1:9" x14ac:dyDescent="0.3">
      <c r="A19" s="66">
        <v>18</v>
      </c>
      <c r="B19" s="26">
        <v>12407</v>
      </c>
      <c r="C19" s="67">
        <v>45934</v>
      </c>
      <c r="D19" s="399" t="s">
        <v>2934</v>
      </c>
      <c r="E19" s="399"/>
      <c r="F19" s="399" t="s">
        <v>838</v>
      </c>
      <c r="G19" s="399"/>
      <c r="H19" s="399" t="s">
        <v>2800</v>
      </c>
      <c r="I19" s="399"/>
    </row>
    <row r="20" spans="1:9" x14ac:dyDescent="0.3">
      <c r="A20" s="66">
        <v>19</v>
      </c>
      <c r="B20" s="26">
        <v>12408</v>
      </c>
      <c r="C20" s="67">
        <v>45934</v>
      </c>
      <c r="D20" s="399" t="s">
        <v>2935</v>
      </c>
      <c r="E20" s="399"/>
      <c r="F20" s="399" t="s">
        <v>217</v>
      </c>
      <c r="G20" s="399"/>
      <c r="H20" s="399" t="s">
        <v>2800</v>
      </c>
      <c r="I20" s="399"/>
    </row>
    <row r="21" spans="1:9" x14ac:dyDescent="0.3">
      <c r="A21" s="66">
        <v>20</v>
      </c>
      <c r="B21" s="26">
        <v>11867</v>
      </c>
      <c r="C21" s="67">
        <v>45934</v>
      </c>
      <c r="D21" s="399" t="s">
        <v>2936</v>
      </c>
      <c r="E21" s="399"/>
      <c r="F21" s="399" t="s">
        <v>2937</v>
      </c>
      <c r="G21" s="399"/>
      <c r="H21" s="399" t="s">
        <v>2800</v>
      </c>
      <c r="I21" s="399"/>
    </row>
    <row r="22" spans="1:9" x14ac:dyDescent="0.3">
      <c r="A22" s="66">
        <v>21</v>
      </c>
      <c r="B22" s="26">
        <v>12409</v>
      </c>
      <c r="C22" s="67">
        <v>45935</v>
      </c>
      <c r="D22" s="399" t="s">
        <v>2938</v>
      </c>
      <c r="E22" s="399"/>
      <c r="F22" s="399" t="s">
        <v>2490</v>
      </c>
      <c r="G22" s="399"/>
      <c r="H22" s="399" t="s">
        <v>63</v>
      </c>
      <c r="I22" s="399"/>
    </row>
    <row r="23" spans="1:9" x14ac:dyDescent="0.3">
      <c r="A23" s="66">
        <v>22</v>
      </c>
      <c r="B23" s="26">
        <v>12410</v>
      </c>
      <c r="C23" s="67">
        <v>45936</v>
      </c>
      <c r="D23" s="399" t="s">
        <v>2939</v>
      </c>
      <c r="E23" s="399"/>
      <c r="F23" s="399" t="s">
        <v>2490</v>
      </c>
      <c r="G23" s="399"/>
      <c r="H23" s="399" t="s">
        <v>63</v>
      </c>
      <c r="I23" s="399"/>
    </row>
    <row r="24" spans="1:9" x14ac:dyDescent="0.3">
      <c r="A24" s="66">
        <v>23</v>
      </c>
      <c r="B24" s="26">
        <v>12411</v>
      </c>
      <c r="C24" s="67">
        <v>45936</v>
      </c>
      <c r="D24" s="399" t="s">
        <v>2940</v>
      </c>
      <c r="E24" s="399"/>
      <c r="F24" s="399" t="s">
        <v>78</v>
      </c>
      <c r="G24" s="399"/>
      <c r="H24" s="399" t="s">
        <v>2800</v>
      </c>
      <c r="I24" s="399"/>
    </row>
    <row r="25" spans="1:9" x14ac:dyDescent="0.3">
      <c r="A25" s="66">
        <v>24</v>
      </c>
      <c r="B25" s="26">
        <v>12413</v>
      </c>
      <c r="C25" s="67">
        <v>45937</v>
      </c>
      <c r="D25" s="399" t="s">
        <v>2941</v>
      </c>
      <c r="E25" s="399"/>
      <c r="F25" s="399" t="s">
        <v>252</v>
      </c>
      <c r="G25" s="399"/>
      <c r="H25" s="399" t="s">
        <v>63</v>
      </c>
      <c r="I25" s="399"/>
    </row>
    <row r="26" spans="1:9" x14ac:dyDescent="0.3">
      <c r="A26" s="66">
        <v>25</v>
      </c>
      <c r="B26" s="26">
        <v>12415</v>
      </c>
      <c r="C26" s="67">
        <v>45938</v>
      </c>
      <c r="D26" s="399" t="s">
        <v>2942</v>
      </c>
      <c r="E26" s="399"/>
      <c r="F26" s="399" t="s">
        <v>2943</v>
      </c>
      <c r="G26" s="399"/>
      <c r="H26" s="399" t="s">
        <v>63</v>
      </c>
      <c r="I26" s="399"/>
    </row>
    <row r="27" spans="1:9" x14ac:dyDescent="0.3">
      <c r="A27" s="66">
        <v>26</v>
      </c>
      <c r="B27" s="26">
        <v>12414</v>
      </c>
      <c r="C27" s="67">
        <v>45937</v>
      </c>
      <c r="D27" s="399" t="s">
        <v>2944</v>
      </c>
      <c r="E27" s="399"/>
      <c r="F27" s="399" t="s">
        <v>1921</v>
      </c>
      <c r="G27" s="399"/>
      <c r="H27" s="399" t="s">
        <v>63</v>
      </c>
      <c r="I27" s="399"/>
    </row>
    <row r="28" spans="1:9" x14ac:dyDescent="0.3">
      <c r="A28" s="66">
        <v>27</v>
      </c>
      <c r="B28" s="26">
        <v>12412</v>
      </c>
      <c r="C28" s="67">
        <v>45935</v>
      </c>
      <c r="D28" s="399" t="s">
        <v>2945</v>
      </c>
      <c r="E28" s="399"/>
      <c r="F28" s="399" t="s">
        <v>2197</v>
      </c>
      <c r="G28" s="399"/>
      <c r="H28" s="399" t="s">
        <v>63</v>
      </c>
      <c r="I28" s="399"/>
    </row>
    <row r="29" spans="1:9" x14ac:dyDescent="0.3">
      <c r="A29" s="66">
        <v>28</v>
      </c>
      <c r="B29" s="26">
        <v>12416</v>
      </c>
      <c r="C29" s="67">
        <v>45938</v>
      </c>
      <c r="D29" s="399" t="s">
        <v>2946</v>
      </c>
      <c r="E29" s="399"/>
      <c r="F29" s="399" t="s">
        <v>184</v>
      </c>
      <c r="G29" s="399"/>
      <c r="H29" s="399" t="s">
        <v>63</v>
      </c>
      <c r="I29" s="399"/>
    </row>
    <row r="30" spans="1:9" x14ac:dyDescent="0.3">
      <c r="A30" s="66">
        <v>29</v>
      </c>
      <c r="B30" s="26">
        <v>12417</v>
      </c>
      <c r="C30" s="67">
        <v>45938</v>
      </c>
      <c r="D30" s="399" t="s">
        <v>2947</v>
      </c>
      <c r="E30" s="399"/>
      <c r="F30" s="399" t="s">
        <v>2948</v>
      </c>
      <c r="G30" s="399"/>
      <c r="H30" s="399" t="s">
        <v>2800</v>
      </c>
      <c r="I30" s="399"/>
    </row>
    <row r="31" spans="1:9" x14ac:dyDescent="0.3">
      <c r="A31" s="66">
        <v>30</v>
      </c>
      <c r="B31" s="26">
        <v>12418</v>
      </c>
      <c r="C31" s="67">
        <v>45938</v>
      </c>
      <c r="D31" s="399" t="s">
        <v>2949</v>
      </c>
      <c r="E31" s="399"/>
      <c r="F31" s="399" t="s">
        <v>206</v>
      </c>
      <c r="G31" s="399"/>
      <c r="H31" s="399" t="s">
        <v>37</v>
      </c>
      <c r="I31" s="399"/>
    </row>
    <row r="32" spans="1:9" x14ac:dyDescent="0.3">
      <c r="A32" s="66">
        <v>31</v>
      </c>
      <c r="B32" s="26">
        <v>12419</v>
      </c>
      <c r="C32" s="67">
        <v>45939</v>
      </c>
      <c r="D32" s="399" t="s">
        <v>2950</v>
      </c>
      <c r="E32" s="399"/>
      <c r="F32" s="399" t="s">
        <v>2951</v>
      </c>
      <c r="G32" s="399"/>
      <c r="H32" s="399" t="s">
        <v>2800</v>
      </c>
      <c r="I32" s="399"/>
    </row>
    <row r="33" spans="1:9" x14ac:dyDescent="0.3">
      <c r="A33" s="66">
        <v>32</v>
      </c>
      <c r="B33" s="26">
        <v>12420</v>
      </c>
      <c r="C33" s="67">
        <v>45939</v>
      </c>
      <c r="D33" s="399" t="s">
        <v>2952</v>
      </c>
      <c r="E33" s="399"/>
      <c r="F33" s="399" t="s">
        <v>165</v>
      </c>
      <c r="G33" s="399"/>
      <c r="H33" s="399" t="s">
        <v>192</v>
      </c>
      <c r="I33" s="399"/>
    </row>
    <row r="34" spans="1:9" x14ac:dyDescent="0.3">
      <c r="A34" s="66">
        <v>33</v>
      </c>
      <c r="B34" s="26">
        <v>12421</v>
      </c>
      <c r="C34" s="67">
        <v>45939</v>
      </c>
      <c r="D34" s="399" t="s">
        <v>1742</v>
      </c>
      <c r="E34" s="399"/>
      <c r="F34" s="399" t="s">
        <v>2953</v>
      </c>
      <c r="G34" s="399"/>
      <c r="H34" s="399" t="s">
        <v>2800</v>
      </c>
      <c r="I34" s="399"/>
    </row>
    <row r="35" spans="1:9" x14ac:dyDescent="0.3">
      <c r="A35" s="66">
        <v>34</v>
      </c>
      <c r="B35" s="26">
        <v>12422</v>
      </c>
      <c r="C35" s="67">
        <v>45939</v>
      </c>
      <c r="D35" s="399" t="s">
        <v>2954</v>
      </c>
      <c r="E35" s="399"/>
      <c r="F35" s="399" t="s">
        <v>2955</v>
      </c>
      <c r="G35" s="399"/>
      <c r="H35" s="399" t="s">
        <v>2800</v>
      </c>
      <c r="I35" s="399"/>
    </row>
    <row r="36" spans="1:9" x14ac:dyDescent="0.3">
      <c r="A36" s="66">
        <v>35</v>
      </c>
      <c r="B36" s="26">
        <v>12423</v>
      </c>
      <c r="C36" s="67">
        <v>45939</v>
      </c>
      <c r="D36" s="399" t="s">
        <v>299</v>
      </c>
      <c r="E36" s="399"/>
      <c r="F36" s="399" t="s">
        <v>1934</v>
      </c>
      <c r="G36" s="399"/>
      <c r="H36" s="399" t="s">
        <v>63</v>
      </c>
      <c r="I36" s="399"/>
    </row>
    <row r="37" spans="1:9" x14ac:dyDescent="0.3">
      <c r="A37" s="66">
        <v>36</v>
      </c>
      <c r="B37" s="26">
        <v>12424</v>
      </c>
      <c r="C37" s="67">
        <v>45940</v>
      </c>
      <c r="D37" s="399" t="s">
        <v>992</v>
      </c>
      <c r="E37" s="399"/>
      <c r="F37" s="399" t="s">
        <v>2956</v>
      </c>
      <c r="G37" s="399"/>
      <c r="H37" s="399" t="s">
        <v>63</v>
      </c>
      <c r="I37" s="399"/>
    </row>
    <row r="38" spans="1:9" x14ac:dyDescent="0.3">
      <c r="A38" s="66">
        <v>37</v>
      </c>
      <c r="B38" s="26">
        <v>12425</v>
      </c>
      <c r="C38" s="67">
        <v>45940</v>
      </c>
      <c r="D38" s="399" t="s">
        <v>2957</v>
      </c>
      <c r="E38" s="399"/>
      <c r="F38" s="399" t="s">
        <v>2958</v>
      </c>
      <c r="G38" s="399"/>
      <c r="H38" s="399" t="s">
        <v>2800</v>
      </c>
      <c r="I38" s="399"/>
    </row>
    <row r="39" spans="1:9" x14ac:dyDescent="0.3">
      <c r="A39" s="66">
        <v>38</v>
      </c>
      <c r="B39" s="26">
        <v>12426</v>
      </c>
      <c r="C39" s="67">
        <v>45940</v>
      </c>
      <c r="D39" s="399" t="s">
        <v>2959</v>
      </c>
      <c r="E39" s="399"/>
      <c r="F39" s="399" t="s">
        <v>2960</v>
      </c>
      <c r="G39" s="399"/>
      <c r="H39" s="399" t="s">
        <v>2800</v>
      </c>
      <c r="I39" s="399"/>
    </row>
    <row r="40" spans="1:9" x14ac:dyDescent="0.3">
      <c r="A40" s="66">
        <v>39</v>
      </c>
      <c r="B40" s="26">
        <v>12329</v>
      </c>
      <c r="C40" s="67">
        <v>45940</v>
      </c>
      <c r="D40" s="399" t="s">
        <v>2912</v>
      </c>
      <c r="E40" s="399"/>
      <c r="F40" s="399" t="s">
        <v>2961</v>
      </c>
      <c r="G40" s="399"/>
      <c r="H40" s="436" t="s">
        <v>2962</v>
      </c>
      <c r="I40" s="399"/>
    </row>
    <row r="41" spans="1:9" x14ac:dyDescent="0.3">
      <c r="A41" s="66">
        <v>40</v>
      </c>
      <c r="B41" s="26">
        <v>12427</v>
      </c>
      <c r="C41" s="67">
        <v>45941</v>
      </c>
      <c r="D41" s="399" t="s">
        <v>2963</v>
      </c>
      <c r="E41" s="399"/>
      <c r="F41" s="399" t="s">
        <v>668</v>
      </c>
      <c r="G41" s="399"/>
      <c r="H41" s="399" t="s">
        <v>2800</v>
      </c>
      <c r="I41" s="399"/>
    </row>
    <row r="42" spans="1:9" x14ac:dyDescent="0.3">
      <c r="A42" s="66">
        <v>41</v>
      </c>
      <c r="B42" s="26">
        <v>12428</v>
      </c>
      <c r="C42" s="67">
        <v>45941</v>
      </c>
      <c r="D42" s="399" t="s">
        <v>2964</v>
      </c>
      <c r="E42" s="399"/>
      <c r="F42" s="399" t="s">
        <v>2965</v>
      </c>
      <c r="G42" s="399"/>
      <c r="H42" s="399" t="s">
        <v>63</v>
      </c>
      <c r="I42" s="399"/>
    </row>
    <row r="43" spans="1:9" x14ac:dyDescent="0.3">
      <c r="A43" s="66">
        <v>42</v>
      </c>
      <c r="B43" s="26">
        <v>12429</v>
      </c>
      <c r="C43" s="67">
        <v>45941</v>
      </c>
      <c r="D43" s="399" t="s">
        <v>2046</v>
      </c>
      <c r="E43" s="399"/>
      <c r="F43" s="399" t="s">
        <v>171</v>
      </c>
      <c r="G43" s="399"/>
      <c r="H43" s="399" t="s">
        <v>2800</v>
      </c>
      <c r="I43" s="399"/>
    </row>
    <row r="44" spans="1:9" x14ac:dyDescent="0.3">
      <c r="A44" s="66">
        <v>43</v>
      </c>
      <c r="B44" s="26">
        <v>12430</v>
      </c>
      <c r="C44" s="67">
        <v>45941</v>
      </c>
      <c r="D44" s="399" t="s">
        <v>2966</v>
      </c>
      <c r="E44" s="399"/>
      <c r="F44" s="399" t="s">
        <v>2967</v>
      </c>
      <c r="G44" s="399"/>
      <c r="H44" s="399" t="s">
        <v>2800</v>
      </c>
      <c r="I44" s="399"/>
    </row>
    <row r="45" spans="1:9" x14ac:dyDescent="0.3">
      <c r="A45" s="66">
        <v>44</v>
      </c>
      <c r="B45" s="26">
        <v>12432</v>
      </c>
      <c r="C45" s="67">
        <v>45942</v>
      </c>
      <c r="D45" s="399" t="s">
        <v>2968</v>
      </c>
      <c r="E45" s="399"/>
      <c r="F45" s="399" t="s">
        <v>2969</v>
      </c>
      <c r="G45" s="399"/>
      <c r="H45" s="399" t="s">
        <v>37</v>
      </c>
      <c r="I45" s="399"/>
    </row>
    <row r="46" spans="1:9" x14ac:dyDescent="0.3">
      <c r="A46" s="66">
        <v>45</v>
      </c>
      <c r="B46" s="26">
        <v>12431</v>
      </c>
      <c r="C46" s="67">
        <v>45941</v>
      </c>
      <c r="D46" s="399" t="s">
        <v>2970</v>
      </c>
      <c r="E46" s="399"/>
      <c r="F46" s="399" t="s">
        <v>300</v>
      </c>
      <c r="G46" s="399"/>
      <c r="H46" s="399" t="s">
        <v>2800</v>
      </c>
      <c r="I46" s="399"/>
    </row>
    <row r="47" spans="1:9" x14ac:dyDescent="0.3">
      <c r="A47" s="66">
        <v>46</v>
      </c>
      <c r="B47" s="26">
        <v>12433</v>
      </c>
      <c r="C47" s="67">
        <v>45942</v>
      </c>
      <c r="D47" s="399" t="s">
        <v>2971</v>
      </c>
      <c r="E47" s="399"/>
      <c r="F47" s="399" t="s">
        <v>78</v>
      </c>
      <c r="G47" s="399"/>
      <c r="H47" s="399" t="s">
        <v>2800</v>
      </c>
      <c r="I47" s="399"/>
    </row>
    <row r="48" spans="1:9" x14ac:dyDescent="0.3">
      <c r="A48" s="66">
        <v>47</v>
      </c>
      <c r="B48" s="26">
        <v>12434</v>
      </c>
      <c r="C48" s="67">
        <v>45942</v>
      </c>
      <c r="D48" s="399" t="s">
        <v>2972</v>
      </c>
      <c r="E48" s="399"/>
      <c r="F48" s="399" t="s">
        <v>441</v>
      </c>
      <c r="G48" s="399"/>
      <c r="H48" s="399" t="s">
        <v>63</v>
      </c>
      <c r="I48" s="399"/>
    </row>
    <row r="49" spans="1:9" x14ac:dyDescent="0.3">
      <c r="A49" s="66">
        <v>48</v>
      </c>
      <c r="B49" s="26">
        <v>12435</v>
      </c>
      <c r="C49" s="67">
        <v>45944</v>
      </c>
      <c r="D49" s="399" t="s">
        <v>1242</v>
      </c>
      <c r="E49" s="399"/>
      <c r="F49" s="399" t="s">
        <v>1504</v>
      </c>
      <c r="G49" s="399"/>
      <c r="H49" s="399" t="s">
        <v>2800</v>
      </c>
      <c r="I49" s="399"/>
    </row>
    <row r="50" spans="1:9" x14ac:dyDescent="0.3">
      <c r="A50" s="66">
        <v>49</v>
      </c>
      <c r="B50" s="26">
        <v>12437</v>
      </c>
      <c r="C50" s="67">
        <v>45944</v>
      </c>
      <c r="D50" s="399" t="s">
        <v>2973</v>
      </c>
      <c r="E50" s="399"/>
      <c r="F50" s="399" t="s">
        <v>967</v>
      </c>
      <c r="G50" s="399"/>
      <c r="H50" s="399" t="s">
        <v>63</v>
      </c>
      <c r="I50" s="399"/>
    </row>
    <row r="51" spans="1:9" x14ac:dyDescent="0.3">
      <c r="A51" s="66">
        <v>50</v>
      </c>
      <c r="B51" s="26">
        <v>12438</v>
      </c>
      <c r="C51" s="67">
        <v>45945</v>
      </c>
      <c r="D51" s="399" t="s">
        <v>2974</v>
      </c>
      <c r="E51" s="399"/>
      <c r="F51" s="399" t="s">
        <v>2975</v>
      </c>
      <c r="G51" s="399"/>
      <c r="H51" s="399" t="s">
        <v>63</v>
      </c>
      <c r="I51" s="399"/>
    </row>
    <row r="52" spans="1:9" x14ac:dyDescent="0.3">
      <c r="A52" s="66">
        <v>51</v>
      </c>
      <c r="B52" s="26">
        <v>12439</v>
      </c>
      <c r="C52" s="67">
        <v>45945</v>
      </c>
      <c r="D52" s="399" t="s">
        <v>2976</v>
      </c>
      <c r="E52" s="399"/>
      <c r="F52" s="399" t="s">
        <v>441</v>
      </c>
      <c r="G52" s="399"/>
      <c r="H52" s="399" t="s">
        <v>2800</v>
      </c>
      <c r="I52" s="399"/>
    </row>
    <row r="53" spans="1:9" x14ac:dyDescent="0.3">
      <c r="A53" s="66">
        <v>52</v>
      </c>
      <c r="B53" s="26">
        <v>12440</v>
      </c>
      <c r="C53" s="67">
        <v>45946</v>
      </c>
      <c r="D53" s="399" t="s">
        <v>2977</v>
      </c>
      <c r="E53" s="399"/>
      <c r="F53" s="399" t="s">
        <v>2978</v>
      </c>
      <c r="G53" s="399"/>
      <c r="H53" s="399" t="s">
        <v>2800</v>
      </c>
      <c r="I53" s="399"/>
    </row>
    <row r="54" spans="1:9" x14ac:dyDescent="0.3">
      <c r="A54" s="66">
        <v>53</v>
      </c>
      <c r="B54" s="26">
        <v>12441</v>
      </c>
      <c r="C54" s="67">
        <v>45946</v>
      </c>
      <c r="D54" s="399" t="s">
        <v>2979</v>
      </c>
      <c r="E54" s="399"/>
      <c r="F54" s="399" t="s">
        <v>2980</v>
      </c>
      <c r="G54" s="399"/>
      <c r="H54" s="399" t="s">
        <v>63</v>
      </c>
      <c r="I54" s="399"/>
    </row>
    <row r="55" spans="1:9" x14ac:dyDescent="0.3">
      <c r="A55" s="66">
        <v>54</v>
      </c>
      <c r="B55" s="26">
        <v>12442</v>
      </c>
      <c r="C55" s="67">
        <v>45947</v>
      </c>
      <c r="D55" s="399" t="s">
        <v>2981</v>
      </c>
      <c r="E55" s="399"/>
      <c r="F55" s="399" t="s">
        <v>2982</v>
      </c>
      <c r="G55" s="399"/>
      <c r="H55" s="399"/>
      <c r="I55" s="399"/>
    </row>
    <row r="56" spans="1:9" x14ac:dyDescent="0.3">
      <c r="A56" s="66">
        <v>55</v>
      </c>
      <c r="B56" s="26">
        <v>12444</v>
      </c>
      <c r="C56" s="67">
        <v>45947</v>
      </c>
      <c r="D56" s="399" t="s">
        <v>2983</v>
      </c>
      <c r="E56" s="399"/>
      <c r="F56" s="399" t="s">
        <v>2984</v>
      </c>
      <c r="G56" s="399"/>
      <c r="H56" s="399" t="s">
        <v>63</v>
      </c>
      <c r="I56" s="399"/>
    </row>
    <row r="57" spans="1:9" x14ac:dyDescent="0.3">
      <c r="A57" s="66">
        <v>56</v>
      </c>
      <c r="B57" s="26">
        <v>12445</v>
      </c>
      <c r="C57" s="67">
        <v>45948</v>
      </c>
      <c r="D57" s="399" t="s">
        <v>2985</v>
      </c>
      <c r="E57" s="399"/>
      <c r="F57" s="399" t="s">
        <v>1977</v>
      </c>
      <c r="G57" s="399"/>
      <c r="H57" s="399" t="s">
        <v>2800</v>
      </c>
      <c r="I57" s="399"/>
    </row>
    <row r="58" spans="1:9" x14ac:dyDescent="0.3">
      <c r="A58" s="66">
        <v>57</v>
      </c>
      <c r="B58" s="26">
        <v>12446</v>
      </c>
      <c r="C58" s="67">
        <v>45948</v>
      </c>
      <c r="D58" s="399" t="s">
        <v>2986</v>
      </c>
      <c r="E58" s="399"/>
      <c r="F58" s="399" t="s">
        <v>2987</v>
      </c>
      <c r="G58" s="399"/>
      <c r="H58" s="399" t="s">
        <v>2800</v>
      </c>
      <c r="I58" s="399"/>
    </row>
    <row r="59" spans="1:9" x14ac:dyDescent="0.3">
      <c r="A59" s="66">
        <v>58</v>
      </c>
      <c r="B59" s="26">
        <v>12447</v>
      </c>
      <c r="C59" s="67">
        <v>45948</v>
      </c>
      <c r="D59" s="399" t="s">
        <v>2988</v>
      </c>
      <c r="E59" s="399"/>
      <c r="F59" s="399" t="s">
        <v>165</v>
      </c>
      <c r="G59" s="399"/>
      <c r="H59" s="399" t="s">
        <v>63</v>
      </c>
      <c r="I59" s="399"/>
    </row>
    <row r="60" spans="1:9" x14ac:dyDescent="0.3">
      <c r="A60" s="66">
        <v>59</v>
      </c>
      <c r="B60" s="26">
        <v>12448</v>
      </c>
      <c r="C60" s="67">
        <v>45948</v>
      </c>
      <c r="D60" s="399" t="s">
        <v>2989</v>
      </c>
      <c r="E60" s="399"/>
      <c r="F60" s="399" t="s">
        <v>2990</v>
      </c>
      <c r="G60" s="399"/>
      <c r="H60" s="399" t="s">
        <v>63</v>
      </c>
      <c r="I60" s="399"/>
    </row>
    <row r="61" spans="1:9" x14ac:dyDescent="0.3">
      <c r="A61" s="66">
        <v>60</v>
      </c>
      <c r="B61" s="26">
        <v>12449</v>
      </c>
      <c r="C61" s="67">
        <v>45949</v>
      </c>
      <c r="D61" s="399" t="s">
        <v>2834</v>
      </c>
      <c r="E61" s="399"/>
      <c r="F61" s="399" t="s">
        <v>502</v>
      </c>
      <c r="G61" s="399"/>
      <c r="H61" s="399" t="s">
        <v>2800</v>
      </c>
      <c r="I61" s="399"/>
    </row>
    <row r="62" spans="1:9" x14ac:dyDescent="0.3">
      <c r="A62" s="66">
        <v>61</v>
      </c>
      <c r="B62" s="26">
        <v>12450</v>
      </c>
      <c r="C62" s="67">
        <v>45949</v>
      </c>
      <c r="D62" s="399" t="s">
        <v>2991</v>
      </c>
      <c r="E62" s="399"/>
      <c r="F62" s="399" t="s">
        <v>1763</v>
      </c>
      <c r="G62" s="399"/>
      <c r="H62" s="399" t="s">
        <v>2800</v>
      </c>
      <c r="I62" s="399"/>
    </row>
    <row r="63" spans="1:9" x14ac:dyDescent="0.3">
      <c r="A63" s="66">
        <v>62</v>
      </c>
      <c r="B63" s="26">
        <v>12451</v>
      </c>
      <c r="C63" s="67">
        <v>45949</v>
      </c>
      <c r="D63" s="399" t="s">
        <v>2992</v>
      </c>
      <c r="E63" s="399"/>
      <c r="F63" s="399" t="s">
        <v>2993</v>
      </c>
      <c r="G63" s="399"/>
      <c r="H63" s="399" t="s">
        <v>37</v>
      </c>
      <c r="I63" s="399"/>
    </row>
    <row r="64" spans="1:9" x14ac:dyDescent="0.3">
      <c r="A64" s="66">
        <v>63</v>
      </c>
      <c r="B64" s="26">
        <v>12452</v>
      </c>
      <c r="C64" s="67">
        <v>45950</v>
      </c>
      <c r="D64" s="399" t="s">
        <v>2994</v>
      </c>
      <c r="E64" s="399"/>
      <c r="F64" s="399" t="s">
        <v>2995</v>
      </c>
      <c r="G64" s="399"/>
      <c r="H64" s="399" t="s">
        <v>2996</v>
      </c>
      <c r="I64" s="399"/>
    </row>
    <row r="65" spans="1:9" x14ac:dyDescent="0.3">
      <c r="A65" s="66">
        <v>64</v>
      </c>
      <c r="B65" s="26">
        <v>12453</v>
      </c>
      <c r="C65" s="67">
        <v>45950</v>
      </c>
      <c r="D65" s="399" t="s">
        <v>630</v>
      </c>
      <c r="E65" s="399"/>
      <c r="F65" s="399" t="s">
        <v>2792</v>
      </c>
      <c r="G65" s="399"/>
      <c r="H65" s="399" t="s">
        <v>63</v>
      </c>
      <c r="I65" s="399"/>
    </row>
    <row r="66" spans="1:9" x14ac:dyDescent="0.3">
      <c r="A66" s="66">
        <v>65</v>
      </c>
      <c r="B66" s="26">
        <v>12454</v>
      </c>
      <c r="C66" s="67">
        <v>45932</v>
      </c>
      <c r="D66" s="399" t="s">
        <v>2997</v>
      </c>
      <c r="E66" s="399"/>
      <c r="F66" s="399" t="s">
        <v>2998</v>
      </c>
      <c r="G66" s="399"/>
      <c r="H66" s="399" t="s">
        <v>63</v>
      </c>
      <c r="I66" s="399"/>
    </row>
    <row r="67" spans="1:9" x14ac:dyDescent="0.3">
      <c r="A67" s="66">
        <v>66</v>
      </c>
      <c r="B67" s="26">
        <v>12456</v>
      </c>
      <c r="C67" s="67">
        <v>45951</v>
      </c>
      <c r="D67" s="399" t="s">
        <v>2999</v>
      </c>
      <c r="E67" s="399"/>
      <c r="F67" s="399" t="s">
        <v>3000</v>
      </c>
      <c r="G67" s="399"/>
      <c r="H67" s="399" t="s">
        <v>2922</v>
      </c>
      <c r="I67" s="399"/>
    </row>
    <row r="68" spans="1:9" x14ac:dyDescent="0.3">
      <c r="A68" s="66">
        <v>67</v>
      </c>
      <c r="B68" s="26">
        <v>12455</v>
      </c>
      <c r="C68" s="67">
        <v>45951</v>
      </c>
      <c r="D68" s="399" t="s">
        <v>3001</v>
      </c>
      <c r="E68" s="399"/>
      <c r="F68" s="399" t="s">
        <v>114</v>
      </c>
      <c r="G68" s="399"/>
      <c r="H68" s="399" t="s">
        <v>63</v>
      </c>
      <c r="I68" s="399"/>
    </row>
    <row r="69" spans="1:9" x14ac:dyDescent="0.3">
      <c r="A69" s="66">
        <v>68</v>
      </c>
      <c r="B69" s="26">
        <v>12457</v>
      </c>
      <c r="C69" s="67">
        <v>45951</v>
      </c>
      <c r="D69" s="399" t="s">
        <v>3002</v>
      </c>
      <c r="E69" s="399"/>
      <c r="F69" s="399" t="s">
        <v>3003</v>
      </c>
      <c r="G69" s="399"/>
      <c r="H69" s="399" t="s">
        <v>63</v>
      </c>
      <c r="I69" s="399"/>
    </row>
    <row r="70" spans="1:9" x14ac:dyDescent="0.3">
      <c r="A70" s="66">
        <v>69</v>
      </c>
      <c r="B70" s="26">
        <v>12458</v>
      </c>
      <c r="C70" s="67">
        <v>45951</v>
      </c>
      <c r="D70" s="399" t="s">
        <v>3004</v>
      </c>
      <c r="E70" s="399"/>
      <c r="F70" s="399" t="s">
        <v>3005</v>
      </c>
      <c r="G70" s="399"/>
      <c r="H70" s="399" t="s">
        <v>63</v>
      </c>
      <c r="I70" s="399"/>
    </row>
    <row r="71" spans="1:9" x14ac:dyDescent="0.3">
      <c r="A71" s="66">
        <v>70</v>
      </c>
      <c r="B71" s="26">
        <v>12459</v>
      </c>
      <c r="C71" s="67">
        <v>45952</v>
      </c>
      <c r="D71" s="399" t="s">
        <v>3006</v>
      </c>
      <c r="E71" s="399"/>
      <c r="F71" s="399" t="s">
        <v>3007</v>
      </c>
      <c r="G71" s="399"/>
      <c r="H71" s="399" t="s">
        <v>63</v>
      </c>
      <c r="I71" s="399"/>
    </row>
    <row r="72" spans="1:9" x14ac:dyDescent="0.3">
      <c r="A72" s="66">
        <v>71</v>
      </c>
      <c r="B72" s="26">
        <v>12460</v>
      </c>
      <c r="C72" s="67">
        <v>45952</v>
      </c>
      <c r="D72" s="399" t="s">
        <v>3008</v>
      </c>
      <c r="E72" s="399"/>
      <c r="F72" s="399" t="s">
        <v>64</v>
      </c>
      <c r="G72" s="399"/>
      <c r="H72" s="399" t="s">
        <v>63</v>
      </c>
      <c r="I72" s="399"/>
    </row>
    <row r="73" spans="1:9" x14ac:dyDescent="0.3">
      <c r="A73" s="66">
        <v>72</v>
      </c>
      <c r="B73" s="26">
        <v>12461</v>
      </c>
      <c r="C73" s="67">
        <v>45952</v>
      </c>
      <c r="D73" s="399" t="s">
        <v>3009</v>
      </c>
      <c r="E73" s="399"/>
      <c r="F73" s="399" t="s">
        <v>298</v>
      </c>
      <c r="G73" s="399"/>
      <c r="H73" s="399" t="s">
        <v>63</v>
      </c>
      <c r="I73" s="399"/>
    </row>
    <row r="74" spans="1:9" x14ac:dyDescent="0.3">
      <c r="A74" s="66">
        <v>73</v>
      </c>
      <c r="B74" s="26">
        <v>12463</v>
      </c>
      <c r="C74" s="67">
        <v>45953</v>
      </c>
      <c r="D74" s="399" t="s">
        <v>3010</v>
      </c>
      <c r="E74" s="399"/>
      <c r="F74" s="399" t="s">
        <v>934</v>
      </c>
      <c r="G74" s="399"/>
      <c r="H74" s="399" t="s">
        <v>63</v>
      </c>
      <c r="I74" s="399"/>
    </row>
    <row r="75" spans="1:9" x14ac:dyDescent="0.3">
      <c r="A75" s="66">
        <v>74</v>
      </c>
      <c r="B75" s="26">
        <v>12462</v>
      </c>
      <c r="C75" s="67">
        <v>45952</v>
      </c>
      <c r="D75" s="399" t="s">
        <v>3011</v>
      </c>
      <c r="E75" s="399"/>
      <c r="F75" s="399" t="s">
        <v>298</v>
      </c>
      <c r="G75" s="399"/>
      <c r="H75" s="399" t="s">
        <v>63</v>
      </c>
      <c r="I75" s="399"/>
    </row>
    <row r="76" spans="1:9" x14ac:dyDescent="0.3">
      <c r="A76" s="66">
        <v>75</v>
      </c>
      <c r="B76" s="26">
        <v>12464</v>
      </c>
      <c r="C76" s="67">
        <v>45953</v>
      </c>
      <c r="D76" s="399" t="s">
        <v>3012</v>
      </c>
      <c r="E76" s="399"/>
      <c r="F76" s="399" t="s">
        <v>3013</v>
      </c>
      <c r="G76" s="399"/>
      <c r="H76" s="399"/>
      <c r="I76" s="399"/>
    </row>
    <row r="77" spans="1:9" x14ac:dyDescent="0.3">
      <c r="A77" s="66">
        <v>76</v>
      </c>
      <c r="B77" s="26">
        <v>12465</v>
      </c>
      <c r="C77" s="67">
        <v>45952</v>
      </c>
      <c r="D77" s="399" t="s">
        <v>3014</v>
      </c>
      <c r="E77" s="399"/>
      <c r="F77" s="399" t="s">
        <v>2929</v>
      </c>
      <c r="G77" s="399"/>
      <c r="H77" s="399" t="s">
        <v>63</v>
      </c>
      <c r="I77" s="399"/>
    </row>
    <row r="78" spans="1:9" x14ac:dyDescent="0.3">
      <c r="A78" s="66">
        <v>77</v>
      </c>
      <c r="B78" s="26">
        <v>12466</v>
      </c>
      <c r="C78" s="67">
        <v>45954</v>
      </c>
      <c r="D78" s="399" t="s">
        <v>3015</v>
      </c>
      <c r="E78" s="399"/>
      <c r="F78" s="399" t="s">
        <v>2494</v>
      </c>
      <c r="G78" s="399"/>
      <c r="H78" s="399"/>
      <c r="I78" s="399"/>
    </row>
    <row r="79" spans="1:9" x14ac:dyDescent="0.3">
      <c r="A79" s="66">
        <v>78</v>
      </c>
      <c r="B79" s="26">
        <v>11998</v>
      </c>
      <c r="C79" s="67">
        <v>45954</v>
      </c>
      <c r="D79" s="399" t="s">
        <v>3016</v>
      </c>
      <c r="E79" s="399"/>
      <c r="F79" s="399" t="s">
        <v>884</v>
      </c>
      <c r="G79" s="399"/>
      <c r="H79" s="399" t="s">
        <v>2800</v>
      </c>
      <c r="I79" s="399"/>
    </row>
    <row r="80" spans="1:9" x14ac:dyDescent="0.3">
      <c r="A80" s="66">
        <v>79</v>
      </c>
      <c r="B80" s="26">
        <v>12467</v>
      </c>
      <c r="C80" s="67">
        <v>45955</v>
      </c>
      <c r="D80" s="399" t="s">
        <v>3017</v>
      </c>
      <c r="E80" s="399"/>
      <c r="F80" s="399" t="s">
        <v>3018</v>
      </c>
      <c r="G80" s="399"/>
      <c r="H80" s="399" t="s">
        <v>2800</v>
      </c>
      <c r="I80" s="399"/>
    </row>
    <row r="81" spans="1:9" x14ac:dyDescent="0.3">
      <c r="A81" s="66">
        <v>80</v>
      </c>
      <c r="B81" s="26">
        <v>2251</v>
      </c>
      <c r="C81" s="67">
        <v>45955</v>
      </c>
      <c r="D81" s="399" t="s">
        <v>2696</v>
      </c>
      <c r="E81" s="399"/>
      <c r="F81" s="399" t="s">
        <v>32</v>
      </c>
      <c r="G81" s="399"/>
      <c r="H81" s="399" t="s">
        <v>2800</v>
      </c>
      <c r="I81" s="399"/>
    </row>
    <row r="82" spans="1:9" x14ac:dyDescent="0.3">
      <c r="A82" s="66">
        <v>81</v>
      </c>
      <c r="B82" s="26">
        <v>12468</v>
      </c>
      <c r="C82" s="67">
        <v>45955</v>
      </c>
      <c r="D82" s="399" t="s">
        <v>3019</v>
      </c>
      <c r="E82" s="399"/>
      <c r="F82" s="399" t="s">
        <v>3020</v>
      </c>
      <c r="G82" s="399"/>
      <c r="H82" s="399" t="s">
        <v>63</v>
      </c>
      <c r="I82" s="399"/>
    </row>
    <row r="83" spans="1:9" x14ac:dyDescent="0.3">
      <c r="A83" s="66">
        <v>82</v>
      </c>
      <c r="B83" s="26">
        <v>12469</v>
      </c>
      <c r="C83" s="67">
        <v>45955</v>
      </c>
      <c r="D83" s="399" t="s">
        <v>3021</v>
      </c>
      <c r="E83" s="399"/>
      <c r="F83" s="399" t="s">
        <v>360</v>
      </c>
      <c r="G83" s="399"/>
      <c r="H83" s="399"/>
      <c r="I83" s="399"/>
    </row>
    <row r="84" spans="1:9" x14ac:dyDescent="0.3">
      <c r="A84" s="66">
        <v>83</v>
      </c>
      <c r="B84" s="26">
        <v>12470</v>
      </c>
      <c r="C84" s="67">
        <v>45955</v>
      </c>
      <c r="D84" s="399" t="s">
        <v>3023</v>
      </c>
      <c r="E84" s="399"/>
      <c r="F84" s="399" t="s">
        <v>3022</v>
      </c>
      <c r="G84" s="399"/>
      <c r="H84" s="399" t="s">
        <v>63</v>
      </c>
      <c r="I84" s="399"/>
    </row>
    <row r="85" spans="1:9" x14ac:dyDescent="0.3">
      <c r="A85" s="66">
        <v>84</v>
      </c>
      <c r="B85" s="26">
        <v>12471</v>
      </c>
      <c r="C85" s="67">
        <v>45956</v>
      </c>
      <c r="D85" s="399" t="s">
        <v>3024</v>
      </c>
      <c r="E85" s="399"/>
      <c r="F85" s="399" t="s">
        <v>352</v>
      </c>
      <c r="G85" s="399"/>
      <c r="H85" s="399" t="s">
        <v>63</v>
      </c>
      <c r="I85" s="399"/>
    </row>
    <row r="86" spans="1:9" x14ac:dyDescent="0.3">
      <c r="A86" s="66">
        <v>85</v>
      </c>
      <c r="B86" s="26">
        <v>12472</v>
      </c>
      <c r="C86" s="67">
        <v>45956</v>
      </c>
      <c r="D86" s="399" t="s">
        <v>3025</v>
      </c>
      <c r="E86" s="399"/>
      <c r="F86" s="399" t="s">
        <v>884</v>
      </c>
      <c r="G86" s="399"/>
      <c r="H86" s="399" t="s">
        <v>2800</v>
      </c>
      <c r="I86" s="399"/>
    </row>
    <row r="87" spans="1:9" x14ac:dyDescent="0.3">
      <c r="A87" s="66">
        <v>86</v>
      </c>
      <c r="B87" s="26">
        <v>12473</v>
      </c>
      <c r="C87" s="67">
        <v>45956</v>
      </c>
      <c r="D87" s="399" t="s">
        <v>3026</v>
      </c>
      <c r="E87" s="399"/>
      <c r="F87" s="399" t="s">
        <v>3027</v>
      </c>
      <c r="G87" s="399"/>
      <c r="H87" s="399" t="s">
        <v>2800</v>
      </c>
      <c r="I87" s="399"/>
    </row>
    <row r="88" spans="1:9" x14ac:dyDescent="0.3">
      <c r="A88" s="66">
        <v>87</v>
      </c>
      <c r="B88" s="26">
        <v>12474</v>
      </c>
      <c r="C88" s="67">
        <v>45956</v>
      </c>
      <c r="D88" s="399" t="s">
        <v>224</v>
      </c>
      <c r="E88" s="399"/>
      <c r="F88" s="399" t="s">
        <v>3028</v>
      </c>
      <c r="G88" s="399"/>
      <c r="H88" s="399" t="s">
        <v>63</v>
      </c>
      <c r="I88" s="399"/>
    </row>
    <row r="89" spans="1:9" x14ac:dyDescent="0.3">
      <c r="A89" s="66">
        <v>88</v>
      </c>
      <c r="B89" s="26">
        <v>12475</v>
      </c>
      <c r="C89" s="67">
        <v>45957</v>
      </c>
      <c r="D89" s="399" t="s">
        <v>2222</v>
      </c>
      <c r="E89" s="399"/>
      <c r="F89" s="399" t="s">
        <v>26</v>
      </c>
      <c r="G89" s="399"/>
      <c r="H89" s="399"/>
      <c r="I89" s="399"/>
    </row>
    <row r="90" spans="1:9" x14ac:dyDescent="0.3">
      <c r="A90" s="66">
        <v>89</v>
      </c>
      <c r="B90" s="26">
        <v>12476</v>
      </c>
      <c r="C90" s="67">
        <v>45958</v>
      </c>
      <c r="D90" s="399" t="s">
        <v>3029</v>
      </c>
      <c r="E90" s="399"/>
      <c r="F90" s="399" t="s">
        <v>3030</v>
      </c>
      <c r="G90" s="399"/>
      <c r="H90" s="399" t="s">
        <v>63</v>
      </c>
      <c r="I90" s="399"/>
    </row>
    <row r="91" spans="1:9" x14ac:dyDescent="0.3">
      <c r="A91" s="66">
        <v>90</v>
      </c>
      <c r="B91" s="26">
        <v>12477</v>
      </c>
      <c r="C91" s="67">
        <v>45958</v>
      </c>
      <c r="D91" s="399" t="s">
        <v>3031</v>
      </c>
      <c r="E91" s="399"/>
      <c r="F91" s="399" t="s">
        <v>3032</v>
      </c>
      <c r="G91" s="399"/>
      <c r="H91" s="399" t="s">
        <v>2800</v>
      </c>
      <c r="I91" s="399"/>
    </row>
    <row r="92" spans="1:9" x14ac:dyDescent="0.3">
      <c r="A92" s="66">
        <v>91</v>
      </c>
      <c r="B92" s="26">
        <v>12478</v>
      </c>
      <c r="C92" s="67">
        <v>45958</v>
      </c>
      <c r="D92" s="399" t="s">
        <v>3033</v>
      </c>
      <c r="E92" s="399"/>
      <c r="F92" s="399" t="s">
        <v>3034</v>
      </c>
      <c r="G92" s="399"/>
      <c r="H92" s="399" t="s">
        <v>63</v>
      </c>
      <c r="I92" s="399"/>
    </row>
    <row r="93" spans="1:9" x14ac:dyDescent="0.3">
      <c r="A93" s="66">
        <v>92</v>
      </c>
      <c r="B93" s="26">
        <v>12479</v>
      </c>
      <c r="C93" s="67">
        <v>45959</v>
      </c>
      <c r="D93" s="399" t="s">
        <v>3035</v>
      </c>
      <c r="E93" s="399"/>
      <c r="F93" s="399" t="s">
        <v>3036</v>
      </c>
      <c r="G93" s="399"/>
      <c r="H93" s="399"/>
      <c r="I93" s="399"/>
    </row>
    <row r="94" spans="1:9" x14ac:dyDescent="0.3">
      <c r="A94" s="66">
        <v>93</v>
      </c>
      <c r="B94" s="26">
        <v>12480</v>
      </c>
      <c r="C94" s="67">
        <v>45959</v>
      </c>
      <c r="D94" s="399" t="s">
        <v>3037</v>
      </c>
      <c r="E94" s="399"/>
      <c r="F94" s="399" t="s">
        <v>1926</v>
      </c>
      <c r="G94" s="399"/>
      <c r="H94" s="399" t="s">
        <v>37</v>
      </c>
      <c r="I94" s="399"/>
    </row>
    <row r="95" spans="1:9" x14ac:dyDescent="0.3">
      <c r="A95" s="66">
        <v>94</v>
      </c>
      <c r="B95" s="26">
        <v>12481</v>
      </c>
      <c r="C95" s="67">
        <v>45960</v>
      </c>
      <c r="D95" s="399" t="s">
        <v>3038</v>
      </c>
      <c r="E95" s="399"/>
      <c r="F95" s="399" t="s">
        <v>3039</v>
      </c>
      <c r="G95" s="399"/>
      <c r="H95" s="399" t="s">
        <v>2800</v>
      </c>
      <c r="I95" s="399"/>
    </row>
    <row r="96" spans="1:9" x14ac:dyDescent="0.3">
      <c r="A96" s="66">
        <v>95</v>
      </c>
      <c r="B96" s="26">
        <v>12482</v>
      </c>
      <c r="C96" s="67">
        <v>45961</v>
      </c>
      <c r="D96" s="399" t="s">
        <v>3040</v>
      </c>
      <c r="E96" s="399"/>
      <c r="F96" s="399" t="s">
        <v>560</v>
      </c>
      <c r="G96" s="399"/>
      <c r="H96" s="399" t="s">
        <v>37</v>
      </c>
      <c r="I96" s="399"/>
    </row>
    <row r="97" spans="1:9" x14ac:dyDescent="0.3">
      <c r="A97" s="66">
        <v>96</v>
      </c>
      <c r="B97" s="26" t="s">
        <v>2845</v>
      </c>
      <c r="C97" s="26"/>
      <c r="D97" s="399"/>
      <c r="E97" s="399"/>
      <c r="F97" s="399"/>
      <c r="G97" s="399"/>
      <c r="H97" s="399"/>
      <c r="I97" s="399"/>
    </row>
    <row r="98" spans="1:9" x14ac:dyDescent="0.3">
      <c r="A98" s="66">
        <v>97</v>
      </c>
      <c r="B98" s="26"/>
      <c r="C98" s="26"/>
      <c r="D98" s="399"/>
      <c r="E98" s="399"/>
      <c r="F98" s="399"/>
      <c r="G98" s="399"/>
      <c r="H98" s="399"/>
      <c r="I98" s="399"/>
    </row>
    <row r="99" spans="1:9" x14ac:dyDescent="0.3">
      <c r="A99" s="66">
        <v>98</v>
      </c>
      <c r="B99" s="26"/>
      <c r="C99" s="26"/>
      <c r="D99" s="399"/>
      <c r="E99" s="399"/>
      <c r="F99" s="399"/>
      <c r="G99" s="399"/>
      <c r="H99" s="399"/>
      <c r="I99" s="399"/>
    </row>
    <row r="100" spans="1:9" x14ac:dyDescent="0.3">
      <c r="A100" s="66">
        <v>99</v>
      </c>
      <c r="B100" s="26"/>
      <c r="C100" s="26"/>
      <c r="D100" s="399"/>
      <c r="E100" s="399"/>
      <c r="F100" s="399"/>
      <c r="G100" s="399"/>
      <c r="H100" s="399"/>
      <c r="I100" s="399"/>
    </row>
  </sheetData>
  <mergeCells count="300">
    <mergeCell ref="D3:E3"/>
    <mergeCell ref="F3:G3"/>
    <mergeCell ref="H3:I3"/>
    <mergeCell ref="D4:E4"/>
    <mergeCell ref="F4:G4"/>
    <mergeCell ref="H4:I4"/>
    <mergeCell ref="D1:E1"/>
    <mergeCell ref="F1:G1"/>
    <mergeCell ref="H1:I1"/>
    <mergeCell ref="D2:E2"/>
    <mergeCell ref="F2:G2"/>
    <mergeCell ref="H2:I2"/>
    <mergeCell ref="D7:E7"/>
    <mergeCell ref="F7:G7"/>
    <mergeCell ref="H7:I7"/>
    <mergeCell ref="D8:E8"/>
    <mergeCell ref="F8:G8"/>
    <mergeCell ref="H8:I8"/>
    <mergeCell ref="D5:E5"/>
    <mergeCell ref="F5:G5"/>
    <mergeCell ref="H5:I5"/>
    <mergeCell ref="D6:E6"/>
    <mergeCell ref="F6:G6"/>
    <mergeCell ref="H6:I6"/>
    <mergeCell ref="D11:E11"/>
    <mergeCell ref="F11:G11"/>
    <mergeCell ref="H11:I11"/>
    <mergeCell ref="D12:E12"/>
    <mergeCell ref="F12:G12"/>
    <mergeCell ref="H12:I12"/>
    <mergeCell ref="D9:E9"/>
    <mergeCell ref="F9:G9"/>
    <mergeCell ref="H9:I9"/>
    <mergeCell ref="D10:E10"/>
    <mergeCell ref="F10:G10"/>
    <mergeCell ref="H10:I10"/>
    <mergeCell ref="D15:E15"/>
    <mergeCell ref="F15:G15"/>
    <mergeCell ref="H15:I15"/>
    <mergeCell ref="D16:E16"/>
    <mergeCell ref="F16:G16"/>
    <mergeCell ref="H16:I16"/>
    <mergeCell ref="D13:E13"/>
    <mergeCell ref="F13:G13"/>
    <mergeCell ref="H13:I13"/>
    <mergeCell ref="D14:E14"/>
    <mergeCell ref="F14:G14"/>
    <mergeCell ref="H14:I14"/>
    <mergeCell ref="D19:E19"/>
    <mergeCell ref="F19:G19"/>
    <mergeCell ref="H19:I19"/>
    <mergeCell ref="D20:E20"/>
    <mergeCell ref="F20:G20"/>
    <mergeCell ref="H20:I20"/>
    <mergeCell ref="D17:E17"/>
    <mergeCell ref="F17:G17"/>
    <mergeCell ref="H17:I17"/>
    <mergeCell ref="D18:E18"/>
    <mergeCell ref="F18:G18"/>
    <mergeCell ref="H18:I18"/>
    <mergeCell ref="D23:E23"/>
    <mergeCell ref="F23:G23"/>
    <mergeCell ref="H23:I23"/>
    <mergeCell ref="D24:E24"/>
    <mergeCell ref="F24:G24"/>
    <mergeCell ref="H24:I24"/>
    <mergeCell ref="D21:E21"/>
    <mergeCell ref="F21:G21"/>
    <mergeCell ref="H21:I21"/>
    <mergeCell ref="D22:E22"/>
    <mergeCell ref="F22:G22"/>
    <mergeCell ref="H22:I22"/>
    <mergeCell ref="D27:E27"/>
    <mergeCell ref="F27:G27"/>
    <mergeCell ref="H27:I27"/>
    <mergeCell ref="D28:E28"/>
    <mergeCell ref="F28:G28"/>
    <mergeCell ref="H28:I28"/>
    <mergeCell ref="D25:E25"/>
    <mergeCell ref="F25:G25"/>
    <mergeCell ref="H25:I25"/>
    <mergeCell ref="D26:E26"/>
    <mergeCell ref="F26:G26"/>
    <mergeCell ref="H26:I26"/>
    <mergeCell ref="D31:E31"/>
    <mergeCell ref="F31:G31"/>
    <mergeCell ref="H31:I31"/>
    <mergeCell ref="D32:E32"/>
    <mergeCell ref="F32:G32"/>
    <mergeCell ref="H32:I32"/>
    <mergeCell ref="D29:E29"/>
    <mergeCell ref="F29:G29"/>
    <mergeCell ref="H29:I29"/>
    <mergeCell ref="D30:E30"/>
    <mergeCell ref="F30:G30"/>
    <mergeCell ref="H30:I30"/>
    <mergeCell ref="D35:E35"/>
    <mergeCell ref="F35:G35"/>
    <mergeCell ref="H35:I35"/>
    <mergeCell ref="D36:E36"/>
    <mergeCell ref="F36:G36"/>
    <mergeCell ref="H36:I36"/>
    <mergeCell ref="D33:E33"/>
    <mergeCell ref="F33:G33"/>
    <mergeCell ref="H33:I33"/>
    <mergeCell ref="D34:E34"/>
    <mergeCell ref="F34:G34"/>
    <mergeCell ref="H34:I34"/>
    <mergeCell ref="D39:E39"/>
    <mergeCell ref="F39:G39"/>
    <mergeCell ref="H39:I39"/>
    <mergeCell ref="D40:E40"/>
    <mergeCell ref="F40:G40"/>
    <mergeCell ref="H40:I40"/>
    <mergeCell ref="D37:E37"/>
    <mergeCell ref="F37:G37"/>
    <mergeCell ref="H37:I37"/>
    <mergeCell ref="D38:E38"/>
    <mergeCell ref="F38:G38"/>
    <mergeCell ref="H38:I38"/>
    <mergeCell ref="D43:E43"/>
    <mergeCell ref="F43:G43"/>
    <mergeCell ref="H43:I43"/>
    <mergeCell ref="D44:E44"/>
    <mergeCell ref="F44:G44"/>
    <mergeCell ref="H44:I44"/>
    <mergeCell ref="D41:E41"/>
    <mergeCell ref="F41:G41"/>
    <mergeCell ref="H41:I41"/>
    <mergeCell ref="D42:E42"/>
    <mergeCell ref="F42:G42"/>
    <mergeCell ref="H42:I42"/>
    <mergeCell ref="D47:E47"/>
    <mergeCell ref="F47:G47"/>
    <mergeCell ref="H47:I47"/>
    <mergeCell ref="D48:E48"/>
    <mergeCell ref="F48:G48"/>
    <mergeCell ref="H48:I48"/>
    <mergeCell ref="D45:E45"/>
    <mergeCell ref="F45:G45"/>
    <mergeCell ref="H45:I45"/>
    <mergeCell ref="D46:E46"/>
    <mergeCell ref="F46:G46"/>
    <mergeCell ref="H46:I46"/>
    <mergeCell ref="D51:E51"/>
    <mergeCell ref="F51:G51"/>
    <mergeCell ref="H51:I51"/>
    <mergeCell ref="D52:E52"/>
    <mergeCell ref="F52:G52"/>
    <mergeCell ref="H52:I52"/>
    <mergeCell ref="D49:E49"/>
    <mergeCell ref="F49:G49"/>
    <mergeCell ref="H49:I49"/>
    <mergeCell ref="D50:E50"/>
    <mergeCell ref="F50:G50"/>
    <mergeCell ref="H50:I50"/>
    <mergeCell ref="D55:E55"/>
    <mergeCell ref="F55:G55"/>
    <mergeCell ref="H55:I55"/>
    <mergeCell ref="D56:E56"/>
    <mergeCell ref="F56:G56"/>
    <mergeCell ref="H56:I56"/>
    <mergeCell ref="D53:E53"/>
    <mergeCell ref="F53:G53"/>
    <mergeCell ref="H53:I53"/>
    <mergeCell ref="D54:E54"/>
    <mergeCell ref="F54:G54"/>
    <mergeCell ref="H54:I54"/>
    <mergeCell ref="D59:E59"/>
    <mergeCell ref="F59:G59"/>
    <mergeCell ref="H59:I59"/>
    <mergeCell ref="D60:E60"/>
    <mergeCell ref="F60:G60"/>
    <mergeCell ref="H60:I60"/>
    <mergeCell ref="D57:E57"/>
    <mergeCell ref="F57:G57"/>
    <mergeCell ref="H57:I57"/>
    <mergeCell ref="D58:E58"/>
    <mergeCell ref="F58:G58"/>
    <mergeCell ref="H58:I58"/>
    <mergeCell ref="D63:E63"/>
    <mergeCell ref="F63:G63"/>
    <mergeCell ref="H63:I63"/>
    <mergeCell ref="D64:E64"/>
    <mergeCell ref="F64:G64"/>
    <mergeCell ref="H64:I64"/>
    <mergeCell ref="D61:E61"/>
    <mergeCell ref="F61:G61"/>
    <mergeCell ref="H61:I61"/>
    <mergeCell ref="D62:E62"/>
    <mergeCell ref="F62:G62"/>
    <mergeCell ref="H62:I62"/>
    <mergeCell ref="D67:E67"/>
    <mergeCell ref="F67:G67"/>
    <mergeCell ref="H67:I67"/>
    <mergeCell ref="D68:E68"/>
    <mergeCell ref="F68:G68"/>
    <mergeCell ref="H68:I68"/>
    <mergeCell ref="D65:E65"/>
    <mergeCell ref="F65:G65"/>
    <mergeCell ref="H65:I65"/>
    <mergeCell ref="D66:E66"/>
    <mergeCell ref="F66:G66"/>
    <mergeCell ref="H66:I66"/>
    <mergeCell ref="D71:E71"/>
    <mergeCell ref="F71:G71"/>
    <mergeCell ref="H71:I71"/>
    <mergeCell ref="D72:E72"/>
    <mergeCell ref="F72:G72"/>
    <mergeCell ref="H72:I72"/>
    <mergeCell ref="D69:E69"/>
    <mergeCell ref="F69:G69"/>
    <mergeCell ref="H69:I69"/>
    <mergeCell ref="D70:E70"/>
    <mergeCell ref="F70:G70"/>
    <mergeCell ref="H70:I70"/>
    <mergeCell ref="D75:E75"/>
    <mergeCell ref="F75:G75"/>
    <mergeCell ref="H75:I75"/>
    <mergeCell ref="D76:E76"/>
    <mergeCell ref="F76:G76"/>
    <mergeCell ref="H76:I76"/>
    <mergeCell ref="D73:E73"/>
    <mergeCell ref="F73:G73"/>
    <mergeCell ref="H73:I73"/>
    <mergeCell ref="D74:E74"/>
    <mergeCell ref="F74:G74"/>
    <mergeCell ref="H74:I74"/>
    <mergeCell ref="D79:E79"/>
    <mergeCell ref="F79:G79"/>
    <mergeCell ref="H79:I79"/>
    <mergeCell ref="D80:E80"/>
    <mergeCell ref="F80:G80"/>
    <mergeCell ref="H80:I80"/>
    <mergeCell ref="D77:E77"/>
    <mergeCell ref="F77:G77"/>
    <mergeCell ref="H77:I77"/>
    <mergeCell ref="D78:E78"/>
    <mergeCell ref="F78:G78"/>
    <mergeCell ref="H78:I78"/>
    <mergeCell ref="D83:E83"/>
    <mergeCell ref="F83:G83"/>
    <mergeCell ref="H83:I83"/>
    <mergeCell ref="D84:E84"/>
    <mergeCell ref="F84:G84"/>
    <mergeCell ref="H84:I84"/>
    <mergeCell ref="D81:E81"/>
    <mergeCell ref="F81:G81"/>
    <mergeCell ref="H81:I81"/>
    <mergeCell ref="D82:E82"/>
    <mergeCell ref="F82:G82"/>
    <mergeCell ref="H82:I82"/>
    <mergeCell ref="D87:E87"/>
    <mergeCell ref="F87:G87"/>
    <mergeCell ref="H87:I87"/>
    <mergeCell ref="D88:E88"/>
    <mergeCell ref="F88:G88"/>
    <mergeCell ref="H88:I88"/>
    <mergeCell ref="D85:E85"/>
    <mergeCell ref="F85:G85"/>
    <mergeCell ref="H85:I85"/>
    <mergeCell ref="D86:E86"/>
    <mergeCell ref="F86:G86"/>
    <mergeCell ref="H86:I86"/>
    <mergeCell ref="D91:E91"/>
    <mergeCell ref="F91:G91"/>
    <mergeCell ref="H91:I91"/>
    <mergeCell ref="D92:E92"/>
    <mergeCell ref="F92:G92"/>
    <mergeCell ref="H92:I92"/>
    <mergeCell ref="D89:E89"/>
    <mergeCell ref="F89:G89"/>
    <mergeCell ref="H89:I89"/>
    <mergeCell ref="D90:E90"/>
    <mergeCell ref="F90:G90"/>
    <mergeCell ref="H90:I90"/>
    <mergeCell ref="D95:E95"/>
    <mergeCell ref="F95:G95"/>
    <mergeCell ref="H95:I95"/>
    <mergeCell ref="D96:E96"/>
    <mergeCell ref="F96:G96"/>
    <mergeCell ref="H96:I96"/>
    <mergeCell ref="D93:E93"/>
    <mergeCell ref="F93:G93"/>
    <mergeCell ref="H93:I93"/>
    <mergeCell ref="D94:E94"/>
    <mergeCell ref="F94:G94"/>
    <mergeCell ref="H94:I94"/>
    <mergeCell ref="D99:E99"/>
    <mergeCell ref="F99:G99"/>
    <mergeCell ref="H99:I99"/>
    <mergeCell ref="D100:E100"/>
    <mergeCell ref="F100:G100"/>
    <mergeCell ref="H100:I100"/>
    <mergeCell ref="D97:E97"/>
    <mergeCell ref="F97:G97"/>
    <mergeCell ref="H97:I97"/>
    <mergeCell ref="D98:E98"/>
    <mergeCell ref="F98:G98"/>
    <mergeCell ref="H98:I98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1818-F022-400B-94E6-8297E5DDD501}">
  <dimension ref="A1:I100"/>
  <sheetViews>
    <sheetView topLeftCell="A36" workbookViewId="0">
      <selection activeCell="B66" sqref="B66"/>
    </sheetView>
  </sheetViews>
  <sheetFormatPr defaultRowHeight="16.5" x14ac:dyDescent="0.3"/>
  <cols>
    <col min="2" max="3" width="9.875" bestFit="1" customWidth="1"/>
  </cols>
  <sheetData>
    <row r="1" spans="1:9" x14ac:dyDescent="0.3">
      <c r="B1" s="66" t="s">
        <v>1</v>
      </c>
      <c r="C1" s="66" t="s">
        <v>2909</v>
      </c>
      <c r="D1" s="437" t="s">
        <v>2908</v>
      </c>
      <c r="E1" s="437"/>
      <c r="F1" s="437" t="s">
        <v>911</v>
      </c>
      <c r="G1" s="437"/>
      <c r="H1" s="437" t="s">
        <v>3</v>
      </c>
      <c r="I1" s="437"/>
    </row>
    <row r="2" spans="1:9" x14ac:dyDescent="0.3">
      <c r="A2" s="66">
        <v>1</v>
      </c>
      <c r="B2" s="26">
        <v>12483</v>
      </c>
      <c r="C2" s="67">
        <v>45962</v>
      </c>
      <c r="D2" s="399" t="s">
        <v>3041</v>
      </c>
      <c r="E2" s="399"/>
      <c r="F2" s="399" t="s">
        <v>3042</v>
      </c>
      <c r="G2" s="399"/>
      <c r="H2" s="399" t="s">
        <v>3043</v>
      </c>
      <c r="I2" s="399"/>
    </row>
    <row r="3" spans="1:9" x14ac:dyDescent="0.3">
      <c r="A3" s="66">
        <v>2</v>
      </c>
      <c r="B3" s="26">
        <v>12484</v>
      </c>
      <c r="C3" s="67">
        <v>45962</v>
      </c>
      <c r="D3" s="399" t="s">
        <v>3044</v>
      </c>
      <c r="E3" s="399"/>
      <c r="F3" s="399" t="s">
        <v>3045</v>
      </c>
      <c r="G3" s="399"/>
      <c r="H3" s="399" t="s">
        <v>3043</v>
      </c>
      <c r="I3" s="399"/>
    </row>
    <row r="4" spans="1:9" x14ac:dyDescent="0.3">
      <c r="A4" s="66">
        <v>3</v>
      </c>
      <c r="B4" s="26">
        <v>12485</v>
      </c>
      <c r="C4" s="67">
        <v>45962</v>
      </c>
      <c r="D4" s="399" t="s">
        <v>3046</v>
      </c>
      <c r="E4" s="399"/>
      <c r="F4" s="399" t="s">
        <v>3047</v>
      </c>
      <c r="G4" s="399"/>
      <c r="H4" s="399" t="s">
        <v>3043</v>
      </c>
      <c r="I4" s="399"/>
    </row>
    <row r="5" spans="1:9" x14ac:dyDescent="0.3">
      <c r="A5" s="66">
        <v>4</v>
      </c>
      <c r="B5" s="26">
        <v>12486</v>
      </c>
      <c r="C5" s="67">
        <v>45962</v>
      </c>
      <c r="D5" s="399" t="s">
        <v>3048</v>
      </c>
      <c r="E5" s="399"/>
      <c r="F5" s="399" t="s">
        <v>3049</v>
      </c>
      <c r="G5" s="399"/>
      <c r="H5" s="399" t="s">
        <v>3043</v>
      </c>
      <c r="I5" s="399"/>
    </row>
    <row r="6" spans="1:9" x14ac:dyDescent="0.3">
      <c r="A6" s="66">
        <v>5</v>
      </c>
      <c r="B6" s="26">
        <v>12487</v>
      </c>
      <c r="C6" s="67">
        <v>45963</v>
      </c>
      <c r="D6" s="399" t="s">
        <v>3050</v>
      </c>
      <c r="E6" s="399"/>
      <c r="F6" s="399" t="s">
        <v>3051</v>
      </c>
      <c r="G6" s="399"/>
      <c r="H6" s="399" t="s">
        <v>3043</v>
      </c>
      <c r="I6" s="399"/>
    </row>
    <row r="7" spans="1:9" x14ac:dyDescent="0.3">
      <c r="A7" s="66">
        <v>6</v>
      </c>
      <c r="B7" s="26">
        <v>12488</v>
      </c>
      <c r="C7" s="67">
        <v>45963</v>
      </c>
      <c r="D7" s="399" t="s">
        <v>3052</v>
      </c>
      <c r="E7" s="399"/>
      <c r="F7" s="399" t="s">
        <v>3053</v>
      </c>
      <c r="G7" s="399"/>
      <c r="H7" s="399" t="s">
        <v>3043</v>
      </c>
      <c r="I7" s="399"/>
    </row>
    <row r="8" spans="1:9" x14ac:dyDescent="0.3">
      <c r="A8" s="66">
        <v>7</v>
      </c>
      <c r="B8" s="26">
        <v>12489</v>
      </c>
      <c r="C8" s="67">
        <v>45964</v>
      </c>
      <c r="D8" s="399" t="s">
        <v>3054</v>
      </c>
      <c r="E8" s="399"/>
      <c r="F8" s="399" t="s">
        <v>3055</v>
      </c>
      <c r="G8" s="399"/>
      <c r="H8" s="399" t="s">
        <v>3043</v>
      </c>
      <c r="I8" s="399"/>
    </row>
    <row r="9" spans="1:9" x14ac:dyDescent="0.3">
      <c r="A9" s="66">
        <v>8</v>
      </c>
      <c r="B9" s="26">
        <v>12490</v>
      </c>
      <c r="C9" s="67">
        <v>45964</v>
      </c>
      <c r="D9" s="399" t="s">
        <v>3056</v>
      </c>
      <c r="E9" s="399"/>
      <c r="F9" s="399" t="s">
        <v>3057</v>
      </c>
      <c r="G9" s="399"/>
      <c r="H9" s="399" t="s">
        <v>3058</v>
      </c>
      <c r="I9" s="399"/>
    </row>
    <row r="10" spans="1:9" x14ac:dyDescent="0.3">
      <c r="A10" s="66">
        <v>9</v>
      </c>
      <c r="B10" s="26">
        <v>12492</v>
      </c>
      <c r="C10" s="67">
        <v>45964</v>
      </c>
      <c r="D10" s="399" t="s">
        <v>3059</v>
      </c>
      <c r="E10" s="399"/>
      <c r="F10" s="399" t="s">
        <v>3060</v>
      </c>
      <c r="G10" s="399"/>
      <c r="H10" s="399" t="s">
        <v>3043</v>
      </c>
      <c r="I10" s="399"/>
    </row>
    <row r="11" spans="1:9" x14ac:dyDescent="0.3">
      <c r="A11" s="66">
        <v>10</v>
      </c>
      <c r="B11" s="26">
        <v>12493</v>
      </c>
      <c r="C11" s="67">
        <v>45965</v>
      </c>
      <c r="D11" s="399" t="s">
        <v>3061</v>
      </c>
      <c r="E11" s="399"/>
      <c r="F11" s="399" t="s">
        <v>3062</v>
      </c>
      <c r="G11" s="399"/>
      <c r="H11" s="399"/>
      <c r="I11" s="399"/>
    </row>
    <row r="12" spans="1:9" x14ac:dyDescent="0.3">
      <c r="A12" s="66">
        <v>11</v>
      </c>
      <c r="B12" s="26">
        <v>12492</v>
      </c>
      <c r="C12" s="67">
        <v>45966</v>
      </c>
      <c r="D12" s="399" t="s">
        <v>3067</v>
      </c>
      <c r="E12" s="399"/>
      <c r="F12" s="399" t="s">
        <v>3068</v>
      </c>
      <c r="G12" s="399"/>
      <c r="H12" s="399" t="s">
        <v>3043</v>
      </c>
      <c r="I12" s="399"/>
    </row>
    <row r="13" spans="1:9" x14ac:dyDescent="0.3">
      <c r="A13" s="66">
        <v>12</v>
      </c>
      <c r="B13" s="26">
        <v>12495</v>
      </c>
      <c r="C13" s="67">
        <v>45967</v>
      </c>
      <c r="D13" s="399" t="s">
        <v>3063</v>
      </c>
      <c r="E13" s="399"/>
      <c r="F13" s="399" t="s">
        <v>3064</v>
      </c>
      <c r="G13" s="399"/>
      <c r="H13" s="399" t="s">
        <v>3058</v>
      </c>
      <c r="I13" s="399"/>
    </row>
    <row r="14" spans="1:9" x14ac:dyDescent="0.3">
      <c r="A14" s="66">
        <v>13</v>
      </c>
      <c r="B14" s="26">
        <v>12496</v>
      </c>
      <c r="C14" s="67">
        <v>45967</v>
      </c>
      <c r="D14" s="392" t="s">
        <v>3065</v>
      </c>
      <c r="E14" s="412"/>
      <c r="F14" s="392" t="s">
        <v>3066</v>
      </c>
      <c r="G14" s="412"/>
      <c r="H14" s="392" t="s">
        <v>3058</v>
      </c>
      <c r="I14" s="412"/>
    </row>
    <row r="15" spans="1:9" x14ac:dyDescent="0.3">
      <c r="A15" s="66">
        <v>14</v>
      </c>
      <c r="B15" s="26">
        <v>12497</v>
      </c>
      <c r="C15" s="67">
        <v>45968</v>
      </c>
      <c r="D15" s="399" t="s">
        <v>3069</v>
      </c>
      <c r="E15" s="399"/>
      <c r="F15" s="399" t="s">
        <v>3070</v>
      </c>
      <c r="G15" s="399"/>
      <c r="H15" s="399" t="s">
        <v>3043</v>
      </c>
      <c r="I15" s="399"/>
    </row>
    <row r="16" spans="1:9" x14ac:dyDescent="0.3">
      <c r="A16" s="66">
        <v>15</v>
      </c>
      <c r="B16" s="26">
        <v>12498</v>
      </c>
      <c r="C16" s="67">
        <v>45968</v>
      </c>
      <c r="D16" s="399" t="s">
        <v>3071</v>
      </c>
      <c r="E16" s="399"/>
      <c r="F16" s="399" t="s">
        <v>3072</v>
      </c>
      <c r="G16" s="399"/>
      <c r="H16" s="399" t="s">
        <v>3073</v>
      </c>
      <c r="I16" s="399"/>
    </row>
    <row r="17" spans="1:9" x14ac:dyDescent="0.3">
      <c r="A17" s="66">
        <v>16</v>
      </c>
      <c r="B17" s="26">
        <v>12499</v>
      </c>
      <c r="C17" s="67">
        <v>45968</v>
      </c>
      <c r="D17" s="399" t="s">
        <v>3074</v>
      </c>
      <c r="E17" s="399"/>
      <c r="F17" s="399" t="s">
        <v>3075</v>
      </c>
      <c r="G17" s="399"/>
      <c r="H17" s="399" t="s">
        <v>3058</v>
      </c>
      <c r="I17" s="399"/>
    </row>
    <row r="18" spans="1:9" x14ac:dyDescent="0.3">
      <c r="A18" s="66">
        <v>17</v>
      </c>
      <c r="B18" s="26">
        <v>12500</v>
      </c>
      <c r="C18" s="67">
        <v>45968</v>
      </c>
      <c r="D18" s="399" t="s">
        <v>3076</v>
      </c>
      <c r="E18" s="399"/>
      <c r="F18" s="399" t="s">
        <v>3077</v>
      </c>
      <c r="G18" s="399"/>
      <c r="H18" s="399" t="s">
        <v>3043</v>
      </c>
      <c r="I18" s="399"/>
    </row>
    <row r="19" spans="1:9" x14ac:dyDescent="0.3">
      <c r="A19" s="66">
        <v>18</v>
      </c>
      <c r="B19" s="26">
        <v>12501</v>
      </c>
      <c r="C19" s="67">
        <v>45969</v>
      </c>
      <c r="D19" s="399" t="s">
        <v>3078</v>
      </c>
      <c r="E19" s="399"/>
      <c r="F19" s="399" t="s">
        <v>3079</v>
      </c>
      <c r="G19" s="399"/>
      <c r="H19" s="399"/>
      <c r="I19" s="399"/>
    </row>
    <row r="20" spans="1:9" x14ac:dyDescent="0.3">
      <c r="A20" s="66">
        <v>19</v>
      </c>
      <c r="B20" s="26">
        <v>12502</v>
      </c>
      <c r="C20" s="67">
        <v>45970</v>
      </c>
      <c r="D20" s="399" t="s">
        <v>3080</v>
      </c>
      <c r="E20" s="399"/>
      <c r="F20" s="399" t="s">
        <v>3081</v>
      </c>
      <c r="G20" s="399"/>
      <c r="H20" s="399" t="s">
        <v>3043</v>
      </c>
      <c r="I20" s="399"/>
    </row>
    <row r="21" spans="1:9" x14ac:dyDescent="0.3">
      <c r="A21" s="66">
        <v>20</v>
      </c>
      <c r="B21" s="26">
        <v>12503</v>
      </c>
      <c r="C21" s="67">
        <v>45970</v>
      </c>
      <c r="D21" s="399" t="s">
        <v>3083</v>
      </c>
      <c r="E21" s="399"/>
      <c r="F21" s="399" t="s">
        <v>3082</v>
      </c>
      <c r="G21" s="399"/>
      <c r="H21" s="399" t="s">
        <v>3043</v>
      </c>
      <c r="I21" s="399"/>
    </row>
    <row r="22" spans="1:9" x14ac:dyDescent="0.3">
      <c r="A22" s="66">
        <v>21</v>
      </c>
      <c r="B22" s="26">
        <v>12504</v>
      </c>
      <c r="C22" s="67">
        <v>45970</v>
      </c>
      <c r="D22" s="399" t="s">
        <v>3084</v>
      </c>
      <c r="E22" s="399"/>
      <c r="F22" s="399" t="s">
        <v>3085</v>
      </c>
      <c r="G22" s="399"/>
      <c r="H22" s="399"/>
      <c r="I22" s="399"/>
    </row>
    <row r="23" spans="1:9" x14ac:dyDescent="0.3">
      <c r="A23" s="66">
        <v>22</v>
      </c>
      <c r="B23" s="26">
        <v>2297</v>
      </c>
      <c r="C23" s="67">
        <v>45970</v>
      </c>
      <c r="D23" s="399" t="s">
        <v>3086</v>
      </c>
      <c r="E23" s="399"/>
      <c r="F23" s="399" t="s">
        <v>3087</v>
      </c>
      <c r="G23" s="399"/>
      <c r="H23" s="399" t="s">
        <v>3073</v>
      </c>
      <c r="I23" s="399"/>
    </row>
    <row r="24" spans="1:9" x14ac:dyDescent="0.3">
      <c r="A24" s="66">
        <v>23</v>
      </c>
      <c r="B24" s="67">
        <v>11458</v>
      </c>
      <c r="C24" s="67">
        <v>45970</v>
      </c>
      <c r="D24" s="399" t="s">
        <v>3088</v>
      </c>
      <c r="E24" s="399"/>
      <c r="F24" s="399" t="s">
        <v>3089</v>
      </c>
      <c r="G24" s="399"/>
      <c r="H24" s="399" t="s">
        <v>3073</v>
      </c>
      <c r="I24" s="399"/>
    </row>
    <row r="25" spans="1:9" x14ac:dyDescent="0.3">
      <c r="A25" s="66">
        <v>24</v>
      </c>
      <c r="B25" s="26">
        <v>12506</v>
      </c>
      <c r="C25" s="67">
        <v>45971</v>
      </c>
      <c r="D25" s="399" t="s">
        <v>3090</v>
      </c>
      <c r="E25" s="399"/>
      <c r="F25" s="399" t="s">
        <v>3091</v>
      </c>
      <c r="G25" s="399"/>
      <c r="H25" s="399" t="s">
        <v>3073</v>
      </c>
      <c r="I25" s="399"/>
    </row>
    <row r="26" spans="1:9" x14ac:dyDescent="0.3">
      <c r="A26" s="66">
        <v>25</v>
      </c>
      <c r="B26" s="26">
        <v>12507</v>
      </c>
      <c r="C26" s="67">
        <v>45971</v>
      </c>
      <c r="D26" s="399" t="s">
        <v>3092</v>
      </c>
      <c r="E26" s="399"/>
      <c r="F26" s="399" t="s">
        <v>3093</v>
      </c>
      <c r="G26" s="399"/>
      <c r="H26" s="399" t="s">
        <v>3073</v>
      </c>
      <c r="I26" s="399"/>
    </row>
    <row r="27" spans="1:9" x14ac:dyDescent="0.3">
      <c r="A27" s="66">
        <v>26</v>
      </c>
      <c r="B27" s="26">
        <v>12508</v>
      </c>
      <c r="C27" s="67">
        <v>45971</v>
      </c>
      <c r="D27" s="399" t="s">
        <v>3094</v>
      </c>
      <c r="E27" s="399"/>
      <c r="F27" s="399" t="s">
        <v>3095</v>
      </c>
      <c r="G27" s="399"/>
      <c r="H27" s="399" t="s">
        <v>3043</v>
      </c>
      <c r="I27" s="399"/>
    </row>
    <row r="28" spans="1:9" x14ac:dyDescent="0.3">
      <c r="A28" s="66">
        <v>27</v>
      </c>
      <c r="B28" s="26">
        <v>12509</v>
      </c>
      <c r="C28" s="67">
        <v>45971</v>
      </c>
      <c r="D28" s="399" t="s">
        <v>3096</v>
      </c>
      <c r="E28" s="399"/>
      <c r="F28" s="399" t="s">
        <v>3097</v>
      </c>
      <c r="G28" s="399"/>
      <c r="H28" s="399" t="s">
        <v>3043</v>
      </c>
      <c r="I28" s="399"/>
    </row>
    <row r="29" spans="1:9" x14ac:dyDescent="0.3">
      <c r="A29" s="66">
        <v>28</v>
      </c>
      <c r="B29" s="26">
        <v>12510</v>
      </c>
      <c r="C29" s="67">
        <v>45971</v>
      </c>
      <c r="D29" s="399" t="s">
        <v>3098</v>
      </c>
      <c r="E29" s="399"/>
      <c r="F29" s="399" t="s">
        <v>3099</v>
      </c>
      <c r="G29" s="399"/>
      <c r="H29" s="399" t="s">
        <v>3073</v>
      </c>
      <c r="I29" s="399"/>
    </row>
    <row r="30" spans="1:9" x14ac:dyDescent="0.3">
      <c r="A30" s="66">
        <v>29</v>
      </c>
      <c r="B30" s="26">
        <v>12512</v>
      </c>
      <c r="C30" s="67">
        <v>45972</v>
      </c>
      <c r="D30" s="399" t="s">
        <v>3100</v>
      </c>
      <c r="E30" s="399"/>
      <c r="F30" s="399" t="s">
        <v>3101</v>
      </c>
      <c r="G30" s="399"/>
      <c r="H30" s="399" t="s">
        <v>3058</v>
      </c>
      <c r="I30" s="399"/>
    </row>
    <row r="31" spans="1:9" x14ac:dyDescent="0.3">
      <c r="A31" s="66">
        <v>30</v>
      </c>
      <c r="B31" s="26">
        <v>12511</v>
      </c>
      <c r="C31" s="67">
        <v>45972</v>
      </c>
      <c r="D31" s="399" t="s">
        <v>3102</v>
      </c>
      <c r="E31" s="399"/>
      <c r="F31" s="399" t="s">
        <v>3103</v>
      </c>
      <c r="G31" s="399"/>
      <c r="H31" s="399" t="s">
        <v>3073</v>
      </c>
      <c r="I31" s="399"/>
    </row>
    <row r="32" spans="1:9" x14ac:dyDescent="0.3">
      <c r="A32" s="66">
        <v>31</v>
      </c>
      <c r="B32" s="26">
        <v>12513</v>
      </c>
      <c r="C32" s="67">
        <v>45973</v>
      </c>
      <c r="D32" s="399" t="s">
        <v>3104</v>
      </c>
      <c r="E32" s="399"/>
      <c r="F32" s="399" t="s">
        <v>3105</v>
      </c>
      <c r="G32" s="399"/>
      <c r="H32" s="399" t="s">
        <v>3073</v>
      </c>
      <c r="I32" s="399"/>
    </row>
    <row r="33" spans="1:9" x14ac:dyDescent="0.3">
      <c r="A33" s="66">
        <v>32</v>
      </c>
      <c r="B33" s="26">
        <v>12514</v>
      </c>
      <c r="C33" s="67">
        <v>45974</v>
      </c>
      <c r="D33" s="399" t="s">
        <v>3106</v>
      </c>
      <c r="E33" s="399"/>
      <c r="F33" s="399" t="s">
        <v>3107</v>
      </c>
      <c r="G33" s="399"/>
      <c r="H33" s="399"/>
      <c r="I33" s="399"/>
    </row>
    <row r="34" spans="1:9" x14ac:dyDescent="0.3">
      <c r="A34" s="66">
        <v>33</v>
      </c>
      <c r="B34" s="26">
        <v>12515</v>
      </c>
      <c r="C34" s="67">
        <v>45974</v>
      </c>
      <c r="D34" s="399" t="s">
        <v>3108</v>
      </c>
      <c r="E34" s="399"/>
      <c r="F34" s="399" t="s">
        <v>3109</v>
      </c>
      <c r="G34" s="399"/>
      <c r="H34" s="399" t="s">
        <v>3043</v>
      </c>
      <c r="I34" s="399"/>
    </row>
    <row r="35" spans="1:9" x14ac:dyDescent="0.3">
      <c r="A35" s="66">
        <v>34</v>
      </c>
      <c r="B35" s="26">
        <v>12517</v>
      </c>
      <c r="C35" s="67">
        <v>45975</v>
      </c>
      <c r="D35" s="399" t="s">
        <v>3110</v>
      </c>
      <c r="E35" s="399"/>
      <c r="F35" s="399" t="s">
        <v>3111</v>
      </c>
      <c r="G35" s="399"/>
      <c r="H35" s="399" t="s">
        <v>3112</v>
      </c>
      <c r="I35" s="399"/>
    </row>
    <row r="36" spans="1:9" x14ac:dyDescent="0.3">
      <c r="A36" s="66">
        <v>35</v>
      </c>
      <c r="B36" s="26">
        <v>12518</v>
      </c>
      <c r="C36" s="67">
        <v>45975</v>
      </c>
      <c r="D36" s="399" t="s">
        <v>3113</v>
      </c>
      <c r="E36" s="399"/>
      <c r="F36" s="399" t="s">
        <v>3114</v>
      </c>
      <c r="G36" s="399"/>
      <c r="H36" s="399" t="s">
        <v>3073</v>
      </c>
      <c r="I36" s="399"/>
    </row>
    <row r="37" spans="1:9" x14ac:dyDescent="0.3">
      <c r="A37" s="66">
        <v>36</v>
      </c>
      <c r="B37" s="26">
        <v>12519</v>
      </c>
      <c r="C37" s="67">
        <v>45975</v>
      </c>
      <c r="D37" s="399" t="s">
        <v>3115</v>
      </c>
      <c r="E37" s="399"/>
      <c r="F37" s="399" t="s">
        <v>3116</v>
      </c>
      <c r="G37" s="399"/>
      <c r="H37" s="399" t="s">
        <v>3058</v>
      </c>
      <c r="I37" s="399"/>
    </row>
    <row r="38" spans="1:9" x14ac:dyDescent="0.3">
      <c r="A38" s="66">
        <v>37</v>
      </c>
      <c r="B38" s="26">
        <v>12520</v>
      </c>
      <c r="C38" s="67">
        <v>45976</v>
      </c>
      <c r="D38" s="399" t="s">
        <v>3117</v>
      </c>
      <c r="E38" s="399"/>
      <c r="F38" s="399" t="s">
        <v>3118</v>
      </c>
      <c r="G38" s="399"/>
      <c r="H38" s="399" t="s">
        <v>3073</v>
      </c>
      <c r="I38" s="399"/>
    </row>
    <row r="39" spans="1:9" x14ac:dyDescent="0.3">
      <c r="A39" s="66">
        <v>38</v>
      </c>
      <c r="B39" s="26">
        <v>12521</v>
      </c>
      <c r="C39" s="67">
        <v>45976</v>
      </c>
      <c r="D39" s="399" t="s">
        <v>3119</v>
      </c>
      <c r="E39" s="399"/>
      <c r="F39" s="399" t="s">
        <v>3120</v>
      </c>
      <c r="G39" s="399"/>
      <c r="H39" s="399" t="s">
        <v>3073</v>
      </c>
      <c r="I39" s="399"/>
    </row>
    <row r="40" spans="1:9" x14ac:dyDescent="0.3">
      <c r="A40" s="66">
        <v>39</v>
      </c>
      <c r="B40" s="26">
        <v>12522</v>
      </c>
      <c r="C40" s="67">
        <v>45976</v>
      </c>
      <c r="D40" s="399" t="s">
        <v>3121</v>
      </c>
      <c r="E40" s="399"/>
      <c r="F40" s="399" t="s">
        <v>3122</v>
      </c>
      <c r="G40" s="399"/>
      <c r="H40" s="399" t="s">
        <v>3058</v>
      </c>
      <c r="I40" s="399"/>
    </row>
    <row r="41" spans="1:9" x14ac:dyDescent="0.3">
      <c r="A41" s="66">
        <v>40</v>
      </c>
      <c r="B41" s="26">
        <v>12523</v>
      </c>
      <c r="C41" s="67">
        <v>45977</v>
      </c>
      <c r="D41" s="399" t="s">
        <v>3123</v>
      </c>
      <c r="E41" s="399"/>
      <c r="F41" s="399" t="s">
        <v>3124</v>
      </c>
      <c r="G41" s="399"/>
      <c r="H41" s="399" t="s">
        <v>3043</v>
      </c>
      <c r="I41" s="399"/>
    </row>
    <row r="42" spans="1:9" x14ac:dyDescent="0.3">
      <c r="A42" s="66">
        <v>41</v>
      </c>
      <c r="B42" s="26">
        <v>12524</v>
      </c>
      <c r="C42" s="67">
        <v>45977</v>
      </c>
      <c r="D42" s="399" t="s">
        <v>3125</v>
      </c>
      <c r="E42" s="399"/>
      <c r="F42" s="399" t="s">
        <v>3126</v>
      </c>
      <c r="G42" s="399"/>
      <c r="H42" s="399" t="s">
        <v>3058</v>
      </c>
      <c r="I42" s="399"/>
    </row>
    <row r="43" spans="1:9" x14ac:dyDescent="0.3">
      <c r="A43" s="66">
        <v>42</v>
      </c>
      <c r="B43" s="26">
        <v>12525</v>
      </c>
      <c r="C43" s="67">
        <v>45977</v>
      </c>
      <c r="D43" s="399" t="s">
        <v>3127</v>
      </c>
      <c r="E43" s="399"/>
      <c r="F43" s="399" t="s">
        <v>3128</v>
      </c>
      <c r="G43" s="399"/>
      <c r="H43" s="399" t="s">
        <v>3043</v>
      </c>
      <c r="I43" s="399"/>
    </row>
    <row r="44" spans="1:9" x14ac:dyDescent="0.3">
      <c r="A44" s="66">
        <v>43</v>
      </c>
      <c r="B44" s="26">
        <v>12527</v>
      </c>
      <c r="C44" s="67">
        <v>45979</v>
      </c>
      <c r="D44" s="399" t="s">
        <v>3129</v>
      </c>
      <c r="E44" s="399"/>
      <c r="F44" s="399" t="s">
        <v>3130</v>
      </c>
      <c r="G44" s="399"/>
      <c r="H44" s="399" t="s">
        <v>3073</v>
      </c>
      <c r="I44" s="399"/>
    </row>
    <row r="45" spans="1:9" x14ac:dyDescent="0.3">
      <c r="A45" s="66">
        <v>44</v>
      </c>
      <c r="B45" s="26">
        <v>12528</v>
      </c>
      <c r="C45" s="67">
        <v>45980</v>
      </c>
      <c r="D45" s="399" t="s">
        <v>3131</v>
      </c>
      <c r="E45" s="399"/>
      <c r="F45" s="399" t="s">
        <v>3132</v>
      </c>
      <c r="G45" s="399"/>
      <c r="H45" s="399" t="s">
        <v>3073</v>
      </c>
      <c r="I45" s="399"/>
    </row>
    <row r="46" spans="1:9" x14ac:dyDescent="0.3">
      <c r="A46" s="66">
        <v>45</v>
      </c>
      <c r="B46" s="26">
        <v>12529</v>
      </c>
      <c r="C46" s="67">
        <v>45979</v>
      </c>
      <c r="D46" s="399" t="s">
        <v>3133</v>
      </c>
      <c r="E46" s="399"/>
      <c r="F46" s="399" t="s">
        <v>3134</v>
      </c>
      <c r="G46" s="399"/>
      <c r="H46" s="399" t="s">
        <v>3043</v>
      </c>
      <c r="I46" s="399"/>
    </row>
    <row r="47" spans="1:9" x14ac:dyDescent="0.3">
      <c r="A47" s="66">
        <v>46</v>
      </c>
      <c r="B47" s="26">
        <v>12530</v>
      </c>
      <c r="C47" s="67">
        <v>45979</v>
      </c>
      <c r="D47" s="399" t="s">
        <v>3135</v>
      </c>
      <c r="E47" s="399"/>
      <c r="F47" s="399" t="s">
        <v>3136</v>
      </c>
      <c r="G47" s="399"/>
      <c r="H47" s="399" t="s">
        <v>3073</v>
      </c>
      <c r="I47" s="399"/>
    </row>
    <row r="48" spans="1:9" x14ac:dyDescent="0.3">
      <c r="A48" s="66">
        <v>47</v>
      </c>
      <c r="B48" s="26">
        <v>12531</v>
      </c>
      <c r="C48" s="67">
        <v>45979</v>
      </c>
      <c r="D48" s="399" t="s">
        <v>3137</v>
      </c>
      <c r="E48" s="399"/>
      <c r="F48" s="399" t="s">
        <v>3138</v>
      </c>
      <c r="G48" s="399"/>
      <c r="H48" s="399" t="s">
        <v>3043</v>
      </c>
      <c r="I48" s="399"/>
    </row>
    <row r="49" spans="1:9" x14ac:dyDescent="0.3">
      <c r="A49" s="66">
        <v>48</v>
      </c>
      <c r="B49" s="26">
        <v>12533</v>
      </c>
      <c r="C49" s="67">
        <v>45983</v>
      </c>
      <c r="D49" s="399" t="s">
        <v>3139</v>
      </c>
      <c r="E49" s="399"/>
      <c r="F49" s="399" t="s">
        <v>3140</v>
      </c>
      <c r="G49" s="399"/>
      <c r="H49" s="399" t="s">
        <v>3073</v>
      </c>
      <c r="I49" s="399"/>
    </row>
    <row r="50" spans="1:9" x14ac:dyDescent="0.3">
      <c r="A50" s="66">
        <v>49</v>
      </c>
      <c r="B50" s="26">
        <v>12535</v>
      </c>
      <c r="C50" s="67">
        <v>45985</v>
      </c>
      <c r="D50" s="399" t="s">
        <v>3141</v>
      </c>
      <c r="E50" s="399"/>
      <c r="F50" s="399" t="s">
        <v>3142</v>
      </c>
      <c r="G50" s="399"/>
      <c r="H50" s="399" t="s">
        <v>3043</v>
      </c>
      <c r="I50" s="399"/>
    </row>
    <row r="51" spans="1:9" x14ac:dyDescent="0.3">
      <c r="A51" s="66">
        <v>50</v>
      </c>
      <c r="B51" s="26">
        <v>12536</v>
      </c>
      <c r="C51" s="67">
        <v>45985</v>
      </c>
      <c r="D51" s="399" t="s">
        <v>3143</v>
      </c>
      <c r="E51" s="399"/>
      <c r="F51" s="399" t="s">
        <v>3144</v>
      </c>
      <c r="G51" s="399"/>
      <c r="H51" s="399" t="s">
        <v>3073</v>
      </c>
      <c r="I51" s="399"/>
    </row>
    <row r="52" spans="1:9" x14ac:dyDescent="0.3">
      <c r="A52" s="66">
        <v>51</v>
      </c>
      <c r="B52" s="26">
        <v>12537</v>
      </c>
      <c r="C52" s="67">
        <v>45986</v>
      </c>
      <c r="D52" s="399" t="s">
        <v>3145</v>
      </c>
      <c r="E52" s="399"/>
      <c r="F52" s="399" t="s">
        <v>3146</v>
      </c>
      <c r="G52" s="399"/>
      <c r="H52" s="399"/>
      <c r="I52" s="399"/>
    </row>
    <row r="53" spans="1:9" x14ac:dyDescent="0.3">
      <c r="A53" s="66">
        <v>52</v>
      </c>
      <c r="B53" s="26">
        <v>12538</v>
      </c>
      <c r="C53" s="67">
        <v>45986</v>
      </c>
      <c r="D53" s="399" t="s">
        <v>3147</v>
      </c>
      <c r="E53" s="399"/>
      <c r="F53" s="399" t="s">
        <v>3130</v>
      </c>
      <c r="G53" s="399"/>
      <c r="H53" s="399" t="s">
        <v>3043</v>
      </c>
      <c r="I53" s="399"/>
    </row>
    <row r="54" spans="1:9" x14ac:dyDescent="0.3">
      <c r="A54" s="66">
        <v>53</v>
      </c>
      <c r="B54" s="26">
        <v>12539</v>
      </c>
      <c r="C54" s="67">
        <v>45987</v>
      </c>
      <c r="D54" s="399" t="s">
        <v>3148</v>
      </c>
      <c r="E54" s="399"/>
      <c r="F54" s="399" t="s">
        <v>3149</v>
      </c>
      <c r="G54" s="399"/>
      <c r="H54" s="399" t="s">
        <v>3043</v>
      </c>
      <c r="I54" s="399"/>
    </row>
    <row r="55" spans="1:9" x14ac:dyDescent="0.3">
      <c r="A55" s="66">
        <v>54</v>
      </c>
      <c r="B55" s="26">
        <v>12540</v>
      </c>
      <c r="C55" s="67">
        <v>45988</v>
      </c>
      <c r="D55" s="399" t="s">
        <v>3150</v>
      </c>
      <c r="E55" s="399"/>
      <c r="F55" s="399" t="s">
        <v>3151</v>
      </c>
      <c r="G55" s="399"/>
      <c r="H55" s="399" t="s">
        <v>3043</v>
      </c>
      <c r="I55" s="399"/>
    </row>
    <row r="56" spans="1:9" x14ac:dyDescent="0.3">
      <c r="A56" s="66">
        <v>55</v>
      </c>
      <c r="B56" s="26">
        <v>12541</v>
      </c>
      <c r="C56" s="67">
        <v>45988</v>
      </c>
      <c r="D56" s="399" t="s">
        <v>3152</v>
      </c>
      <c r="E56" s="399"/>
      <c r="F56" s="399" t="s">
        <v>3153</v>
      </c>
      <c r="G56" s="399"/>
      <c r="H56" s="399" t="s">
        <v>3043</v>
      </c>
      <c r="I56" s="399"/>
    </row>
    <row r="57" spans="1:9" x14ac:dyDescent="0.3">
      <c r="A57" s="66">
        <v>56</v>
      </c>
      <c r="B57" s="26">
        <v>12542</v>
      </c>
      <c r="C57" s="67">
        <v>45988</v>
      </c>
      <c r="D57" s="399" t="s">
        <v>3154</v>
      </c>
      <c r="E57" s="399"/>
      <c r="F57" s="399" t="s">
        <v>3155</v>
      </c>
      <c r="G57" s="399"/>
      <c r="H57" s="399" t="s">
        <v>3043</v>
      </c>
      <c r="I57" s="399"/>
    </row>
    <row r="58" spans="1:9" x14ac:dyDescent="0.3">
      <c r="A58" s="66">
        <v>57</v>
      </c>
      <c r="B58" s="26">
        <v>12543</v>
      </c>
      <c r="C58" s="67">
        <v>45988</v>
      </c>
      <c r="D58" s="399" t="s">
        <v>3156</v>
      </c>
      <c r="E58" s="399"/>
      <c r="F58" s="399" t="s">
        <v>3157</v>
      </c>
      <c r="G58" s="399"/>
      <c r="H58" s="399" t="s">
        <v>3043</v>
      </c>
      <c r="I58" s="399"/>
    </row>
    <row r="59" spans="1:9" x14ac:dyDescent="0.3">
      <c r="A59" s="66">
        <v>58</v>
      </c>
      <c r="B59" s="26">
        <v>12544</v>
      </c>
      <c r="C59" s="67">
        <v>45988</v>
      </c>
      <c r="D59" s="399" t="s">
        <v>3158</v>
      </c>
      <c r="E59" s="399"/>
      <c r="F59" s="399" t="s">
        <v>3159</v>
      </c>
      <c r="G59" s="399"/>
      <c r="H59" s="399" t="s">
        <v>3058</v>
      </c>
      <c r="I59" s="399"/>
    </row>
    <row r="60" spans="1:9" x14ac:dyDescent="0.3">
      <c r="A60" s="66">
        <v>59</v>
      </c>
      <c r="B60" s="26">
        <v>12545</v>
      </c>
      <c r="C60" s="67">
        <v>45989</v>
      </c>
      <c r="D60" s="399" t="s">
        <v>3162</v>
      </c>
      <c r="E60" s="399"/>
      <c r="F60" s="399" t="s">
        <v>3163</v>
      </c>
      <c r="G60" s="399"/>
      <c r="H60" s="399" t="s">
        <v>3073</v>
      </c>
      <c r="I60" s="399"/>
    </row>
    <row r="61" spans="1:9" x14ac:dyDescent="0.3">
      <c r="A61" s="66">
        <v>60</v>
      </c>
      <c r="B61" s="26">
        <v>12547</v>
      </c>
      <c r="C61" s="67">
        <v>45989</v>
      </c>
      <c r="D61" s="399" t="s">
        <v>3160</v>
      </c>
      <c r="E61" s="399"/>
      <c r="F61" s="399" t="s">
        <v>3161</v>
      </c>
      <c r="G61" s="399"/>
      <c r="H61" s="399" t="s">
        <v>3043</v>
      </c>
      <c r="I61" s="399"/>
    </row>
    <row r="62" spans="1:9" x14ac:dyDescent="0.3">
      <c r="A62" s="66">
        <v>61</v>
      </c>
      <c r="B62" s="26">
        <v>12549</v>
      </c>
      <c r="C62" s="67">
        <v>45991</v>
      </c>
      <c r="D62" s="399" t="s">
        <v>3164</v>
      </c>
      <c r="E62" s="399"/>
      <c r="F62" s="399" t="s">
        <v>3165</v>
      </c>
      <c r="G62" s="399"/>
      <c r="H62" s="399" t="s">
        <v>3043</v>
      </c>
      <c r="I62" s="399"/>
    </row>
    <row r="63" spans="1:9" x14ac:dyDescent="0.3">
      <c r="A63" s="66">
        <v>62</v>
      </c>
      <c r="B63" s="26">
        <v>12550</v>
      </c>
      <c r="C63" s="67">
        <v>45991</v>
      </c>
      <c r="D63" s="399" t="s">
        <v>3168</v>
      </c>
      <c r="E63" s="399"/>
      <c r="F63" s="399" t="s">
        <v>3169</v>
      </c>
      <c r="G63" s="399"/>
      <c r="H63" s="399" t="s">
        <v>3073</v>
      </c>
      <c r="I63" s="399"/>
    </row>
    <row r="64" spans="1:9" x14ac:dyDescent="0.3">
      <c r="A64" s="66">
        <v>63</v>
      </c>
      <c r="B64" s="26">
        <v>12551</v>
      </c>
      <c r="C64" s="67">
        <v>45991</v>
      </c>
      <c r="D64" s="399" t="s">
        <v>3166</v>
      </c>
      <c r="E64" s="399"/>
      <c r="F64" s="399" t="s">
        <v>3167</v>
      </c>
      <c r="G64" s="399"/>
      <c r="H64" s="399" t="s">
        <v>3043</v>
      </c>
      <c r="I64" s="399"/>
    </row>
    <row r="65" spans="1:9" x14ac:dyDescent="0.3">
      <c r="A65" s="66">
        <v>64</v>
      </c>
      <c r="B65" s="26">
        <v>12552</v>
      </c>
      <c r="C65" s="67">
        <v>45991</v>
      </c>
      <c r="D65" s="399" t="s">
        <v>3170</v>
      </c>
      <c r="E65" s="399"/>
      <c r="F65" s="399" t="s">
        <v>3171</v>
      </c>
      <c r="G65" s="399"/>
      <c r="H65" s="399" t="s">
        <v>3043</v>
      </c>
      <c r="I65" s="399"/>
    </row>
    <row r="66" spans="1:9" x14ac:dyDescent="0.3">
      <c r="A66" s="66">
        <v>65</v>
      </c>
      <c r="B66" s="26"/>
      <c r="C66" s="26"/>
      <c r="D66" s="399"/>
      <c r="E66" s="399"/>
      <c r="F66" s="399"/>
      <c r="G66" s="399"/>
      <c r="H66" s="399"/>
      <c r="I66" s="399"/>
    </row>
    <row r="67" spans="1:9" x14ac:dyDescent="0.3">
      <c r="A67" s="66">
        <v>66</v>
      </c>
      <c r="B67" s="26"/>
      <c r="C67" s="26"/>
      <c r="D67" s="399"/>
      <c r="E67" s="399"/>
      <c r="F67" s="399"/>
      <c r="G67" s="399"/>
      <c r="H67" s="399"/>
      <c r="I67" s="399"/>
    </row>
    <row r="68" spans="1:9" x14ac:dyDescent="0.3">
      <c r="A68" s="66">
        <v>67</v>
      </c>
      <c r="B68" s="26"/>
      <c r="C68" s="26"/>
      <c r="D68" s="399"/>
      <c r="E68" s="399"/>
      <c r="F68" s="399"/>
      <c r="G68" s="399"/>
      <c r="H68" s="399"/>
      <c r="I68" s="399"/>
    </row>
    <row r="69" spans="1:9" x14ac:dyDescent="0.3">
      <c r="A69" s="66">
        <v>68</v>
      </c>
      <c r="B69" s="26"/>
      <c r="C69" s="26"/>
      <c r="D69" s="399"/>
      <c r="E69" s="399"/>
      <c r="F69" s="399"/>
      <c r="G69" s="399"/>
      <c r="H69" s="399"/>
      <c r="I69" s="399"/>
    </row>
    <row r="70" spans="1:9" x14ac:dyDescent="0.3">
      <c r="A70" s="66">
        <v>69</v>
      </c>
      <c r="B70" s="26"/>
      <c r="C70" s="26"/>
      <c r="D70" s="399"/>
      <c r="E70" s="399"/>
      <c r="F70" s="399"/>
      <c r="G70" s="399"/>
      <c r="H70" s="399"/>
      <c r="I70" s="399"/>
    </row>
    <row r="71" spans="1:9" x14ac:dyDescent="0.3">
      <c r="A71" s="66">
        <v>70</v>
      </c>
      <c r="B71" s="26"/>
      <c r="C71" s="26"/>
      <c r="D71" s="399"/>
      <c r="E71" s="399"/>
      <c r="F71" s="399"/>
      <c r="G71" s="399"/>
      <c r="H71" s="399"/>
      <c r="I71" s="399"/>
    </row>
    <row r="72" spans="1:9" x14ac:dyDescent="0.3">
      <c r="A72" s="66">
        <v>71</v>
      </c>
      <c r="B72" s="26"/>
      <c r="C72" s="26"/>
      <c r="D72" s="399"/>
      <c r="E72" s="399"/>
      <c r="F72" s="399"/>
      <c r="G72" s="399"/>
      <c r="H72" s="399"/>
      <c r="I72" s="399"/>
    </row>
    <row r="73" spans="1:9" x14ac:dyDescent="0.3">
      <c r="A73" s="66">
        <v>72</v>
      </c>
      <c r="B73" s="26"/>
      <c r="C73" s="26"/>
      <c r="D73" s="399"/>
      <c r="E73" s="399"/>
      <c r="F73" s="399"/>
      <c r="G73" s="399"/>
      <c r="H73" s="399"/>
      <c r="I73" s="399"/>
    </row>
    <row r="74" spans="1:9" x14ac:dyDescent="0.3">
      <c r="A74" s="66">
        <v>73</v>
      </c>
      <c r="B74" s="26"/>
      <c r="C74" s="26"/>
      <c r="D74" s="399"/>
      <c r="E74" s="399"/>
      <c r="F74" s="399"/>
      <c r="G74" s="399"/>
      <c r="H74" s="399"/>
      <c r="I74" s="399"/>
    </row>
    <row r="75" spans="1:9" x14ac:dyDescent="0.3">
      <c r="A75" s="66">
        <v>74</v>
      </c>
      <c r="B75" s="26"/>
      <c r="C75" s="26"/>
      <c r="D75" s="399"/>
      <c r="E75" s="399"/>
      <c r="F75" s="399"/>
      <c r="G75" s="399"/>
      <c r="H75" s="399"/>
      <c r="I75" s="399"/>
    </row>
    <row r="76" spans="1:9" x14ac:dyDescent="0.3">
      <c r="A76" s="66">
        <v>75</v>
      </c>
      <c r="B76" s="26"/>
      <c r="C76" s="26"/>
      <c r="D76" s="399"/>
      <c r="E76" s="399"/>
      <c r="F76" s="399"/>
      <c r="G76" s="399"/>
      <c r="H76" s="399"/>
      <c r="I76" s="399"/>
    </row>
    <row r="77" spans="1:9" x14ac:dyDescent="0.3">
      <c r="A77" s="66">
        <v>76</v>
      </c>
      <c r="B77" s="26"/>
      <c r="C77" s="26"/>
      <c r="D77" s="399"/>
      <c r="E77" s="399"/>
      <c r="F77" s="399"/>
      <c r="G77" s="399"/>
      <c r="H77" s="399"/>
      <c r="I77" s="399"/>
    </row>
    <row r="78" spans="1:9" x14ac:dyDescent="0.3">
      <c r="A78" s="66">
        <v>77</v>
      </c>
      <c r="B78" s="26"/>
      <c r="C78" s="26"/>
      <c r="D78" s="399"/>
      <c r="E78" s="399"/>
      <c r="F78" s="399"/>
      <c r="G78" s="399"/>
      <c r="H78" s="399"/>
      <c r="I78" s="399"/>
    </row>
    <row r="79" spans="1:9" x14ac:dyDescent="0.3">
      <c r="A79" s="66">
        <v>78</v>
      </c>
      <c r="B79" s="26"/>
      <c r="C79" s="26"/>
      <c r="D79" s="399"/>
      <c r="E79" s="399"/>
      <c r="F79" s="399"/>
      <c r="G79" s="399"/>
      <c r="H79" s="399"/>
      <c r="I79" s="399"/>
    </row>
    <row r="80" spans="1:9" x14ac:dyDescent="0.3">
      <c r="A80" s="66">
        <v>79</v>
      </c>
      <c r="B80" s="26"/>
      <c r="C80" s="26"/>
      <c r="D80" s="399"/>
      <c r="E80" s="399"/>
      <c r="F80" s="399"/>
      <c r="G80" s="399"/>
      <c r="H80" s="399"/>
      <c r="I80" s="399"/>
    </row>
    <row r="81" spans="1:9" x14ac:dyDescent="0.3">
      <c r="A81" s="66">
        <v>80</v>
      </c>
      <c r="B81" s="26"/>
      <c r="C81" s="26"/>
      <c r="D81" s="399"/>
      <c r="E81" s="399"/>
      <c r="F81" s="399"/>
      <c r="G81" s="399"/>
      <c r="H81" s="399"/>
      <c r="I81" s="399"/>
    </row>
    <row r="82" spans="1:9" x14ac:dyDescent="0.3">
      <c r="A82" s="66">
        <v>81</v>
      </c>
      <c r="B82" s="26"/>
      <c r="C82" s="26"/>
      <c r="D82" s="399"/>
      <c r="E82" s="399"/>
      <c r="F82" s="399"/>
      <c r="G82" s="399"/>
      <c r="H82" s="399"/>
      <c r="I82" s="399"/>
    </row>
    <row r="83" spans="1:9" x14ac:dyDescent="0.3">
      <c r="A83" s="66">
        <v>82</v>
      </c>
      <c r="B83" s="26"/>
      <c r="C83" s="26"/>
      <c r="D83" s="399"/>
      <c r="E83" s="399"/>
      <c r="F83" s="399"/>
      <c r="G83" s="399"/>
      <c r="H83" s="399"/>
      <c r="I83" s="399"/>
    </row>
    <row r="84" spans="1:9" x14ac:dyDescent="0.3">
      <c r="A84" s="66">
        <v>83</v>
      </c>
      <c r="B84" s="26"/>
      <c r="C84" s="26"/>
      <c r="D84" s="399"/>
      <c r="E84" s="399"/>
      <c r="F84" s="399"/>
      <c r="G84" s="399"/>
      <c r="H84" s="399"/>
      <c r="I84" s="399"/>
    </row>
    <row r="85" spans="1:9" x14ac:dyDescent="0.3">
      <c r="A85" s="66">
        <v>84</v>
      </c>
      <c r="B85" s="26"/>
      <c r="C85" s="26"/>
      <c r="D85" s="399"/>
      <c r="E85" s="399"/>
      <c r="F85" s="399"/>
      <c r="G85" s="399"/>
      <c r="H85" s="399"/>
      <c r="I85" s="399"/>
    </row>
    <row r="86" spans="1:9" x14ac:dyDescent="0.3">
      <c r="A86" s="66">
        <v>85</v>
      </c>
      <c r="B86" s="26"/>
      <c r="C86" s="26"/>
      <c r="D86" s="399"/>
      <c r="E86" s="399"/>
      <c r="F86" s="399"/>
      <c r="G86" s="399"/>
      <c r="H86" s="399"/>
      <c r="I86" s="399"/>
    </row>
    <row r="87" spans="1:9" x14ac:dyDescent="0.3">
      <c r="A87" s="66">
        <v>86</v>
      </c>
      <c r="B87" s="26"/>
      <c r="C87" s="26"/>
      <c r="D87" s="399"/>
      <c r="E87" s="399"/>
      <c r="F87" s="399"/>
      <c r="G87" s="399"/>
      <c r="H87" s="399"/>
      <c r="I87" s="399"/>
    </row>
    <row r="88" spans="1:9" x14ac:dyDescent="0.3">
      <c r="A88" s="66">
        <v>87</v>
      </c>
      <c r="B88" s="26"/>
      <c r="C88" s="26"/>
      <c r="D88" s="399"/>
      <c r="E88" s="399"/>
      <c r="F88" s="399"/>
      <c r="G88" s="399"/>
      <c r="H88" s="399"/>
      <c r="I88" s="399"/>
    </row>
    <row r="89" spans="1:9" x14ac:dyDescent="0.3">
      <c r="A89" s="66">
        <v>88</v>
      </c>
      <c r="B89" s="26"/>
      <c r="C89" s="26"/>
      <c r="D89" s="399"/>
      <c r="E89" s="399"/>
      <c r="F89" s="399"/>
      <c r="G89" s="399"/>
      <c r="H89" s="399"/>
      <c r="I89" s="399"/>
    </row>
    <row r="90" spans="1:9" x14ac:dyDescent="0.3">
      <c r="A90" s="66">
        <v>89</v>
      </c>
      <c r="B90" s="26"/>
      <c r="C90" s="26"/>
      <c r="D90" s="399"/>
      <c r="E90" s="399"/>
      <c r="F90" s="399"/>
      <c r="G90" s="399"/>
      <c r="H90" s="399"/>
      <c r="I90" s="399"/>
    </row>
    <row r="91" spans="1:9" x14ac:dyDescent="0.3">
      <c r="A91" s="66">
        <v>90</v>
      </c>
      <c r="B91" s="26"/>
      <c r="C91" s="26"/>
      <c r="D91" s="399"/>
      <c r="E91" s="399"/>
      <c r="F91" s="399"/>
      <c r="G91" s="399"/>
      <c r="H91" s="399"/>
      <c r="I91" s="399"/>
    </row>
    <row r="92" spans="1:9" x14ac:dyDescent="0.3">
      <c r="A92" s="66">
        <v>91</v>
      </c>
      <c r="B92" s="26"/>
      <c r="C92" s="26"/>
      <c r="D92" s="399"/>
      <c r="E92" s="399"/>
      <c r="F92" s="399"/>
      <c r="G92" s="399"/>
      <c r="H92" s="399"/>
      <c r="I92" s="399"/>
    </row>
    <row r="93" spans="1:9" x14ac:dyDescent="0.3">
      <c r="A93" s="66">
        <v>92</v>
      </c>
      <c r="B93" s="26"/>
      <c r="C93" s="26"/>
      <c r="D93" s="399"/>
      <c r="E93" s="399"/>
      <c r="F93" s="399"/>
      <c r="G93" s="399"/>
      <c r="H93" s="399"/>
      <c r="I93" s="399"/>
    </row>
    <row r="94" spans="1:9" x14ac:dyDescent="0.3">
      <c r="A94" s="66">
        <v>93</v>
      </c>
      <c r="B94" s="26"/>
      <c r="C94" s="26"/>
      <c r="D94" s="399"/>
      <c r="E94" s="399"/>
      <c r="F94" s="399"/>
      <c r="G94" s="399"/>
      <c r="H94" s="399"/>
      <c r="I94" s="399"/>
    </row>
    <row r="95" spans="1:9" x14ac:dyDescent="0.3">
      <c r="A95" s="66">
        <v>94</v>
      </c>
      <c r="B95" s="26"/>
      <c r="C95" s="26"/>
      <c r="D95" s="399"/>
      <c r="E95" s="399"/>
      <c r="F95" s="399"/>
      <c r="G95" s="399"/>
      <c r="H95" s="399"/>
      <c r="I95" s="399"/>
    </row>
    <row r="96" spans="1:9" x14ac:dyDescent="0.3">
      <c r="A96" s="66">
        <v>95</v>
      </c>
      <c r="B96" s="26"/>
      <c r="C96" s="26"/>
      <c r="D96" s="399"/>
      <c r="E96" s="399"/>
      <c r="F96" s="399"/>
      <c r="G96" s="399"/>
      <c r="H96" s="399"/>
      <c r="I96" s="399"/>
    </row>
    <row r="97" spans="1:9" x14ac:dyDescent="0.3">
      <c r="A97" s="66">
        <v>96</v>
      </c>
      <c r="B97" s="26"/>
      <c r="C97" s="26"/>
      <c r="D97" s="399"/>
      <c r="E97" s="399"/>
      <c r="F97" s="399"/>
      <c r="G97" s="399"/>
      <c r="H97" s="399"/>
      <c r="I97" s="399"/>
    </row>
    <row r="98" spans="1:9" x14ac:dyDescent="0.3">
      <c r="A98" s="66">
        <v>97</v>
      </c>
      <c r="B98" s="26"/>
      <c r="C98" s="26"/>
      <c r="D98" s="399"/>
      <c r="E98" s="399"/>
      <c r="F98" s="399"/>
      <c r="G98" s="399"/>
      <c r="H98" s="399"/>
      <c r="I98" s="399"/>
    </row>
    <row r="99" spans="1:9" x14ac:dyDescent="0.3">
      <c r="A99" s="66">
        <v>98</v>
      </c>
      <c r="B99" s="26"/>
      <c r="C99" s="26"/>
      <c r="D99" s="399"/>
      <c r="E99" s="399"/>
      <c r="F99" s="399"/>
      <c r="G99" s="399"/>
      <c r="H99" s="399"/>
      <c r="I99" s="399"/>
    </row>
    <row r="100" spans="1:9" x14ac:dyDescent="0.3">
      <c r="A100" s="66">
        <v>99</v>
      </c>
      <c r="B100" s="26"/>
      <c r="C100" s="26"/>
      <c r="D100" s="399"/>
      <c r="E100" s="399"/>
      <c r="F100" s="399"/>
      <c r="G100" s="399"/>
      <c r="H100" s="399"/>
      <c r="I100" s="399"/>
    </row>
  </sheetData>
  <mergeCells count="300">
    <mergeCell ref="D3:E3"/>
    <mergeCell ref="F3:G3"/>
    <mergeCell ref="H3:I3"/>
    <mergeCell ref="D4:E4"/>
    <mergeCell ref="F4:G4"/>
    <mergeCell ref="H4:I4"/>
    <mergeCell ref="D1:E1"/>
    <mergeCell ref="F1:G1"/>
    <mergeCell ref="H1:I1"/>
    <mergeCell ref="D2:E2"/>
    <mergeCell ref="F2:G2"/>
    <mergeCell ref="H2:I2"/>
    <mergeCell ref="D7:E7"/>
    <mergeCell ref="F7:G7"/>
    <mergeCell ref="H7:I7"/>
    <mergeCell ref="D8:E8"/>
    <mergeCell ref="F8:G8"/>
    <mergeCell ref="H8:I8"/>
    <mergeCell ref="D5:E5"/>
    <mergeCell ref="F5:G5"/>
    <mergeCell ref="H5:I5"/>
    <mergeCell ref="D6:E6"/>
    <mergeCell ref="F6:G6"/>
    <mergeCell ref="H6:I6"/>
    <mergeCell ref="D11:E11"/>
    <mergeCell ref="F11:G11"/>
    <mergeCell ref="H11:I11"/>
    <mergeCell ref="D12:E12"/>
    <mergeCell ref="F12:G12"/>
    <mergeCell ref="H12:I12"/>
    <mergeCell ref="D9:E9"/>
    <mergeCell ref="F9:G9"/>
    <mergeCell ref="H9:I9"/>
    <mergeCell ref="D10:E10"/>
    <mergeCell ref="F10:G10"/>
    <mergeCell ref="H10:I10"/>
    <mergeCell ref="D15:E15"/>
    <mergeCell ref="F15:G15"/>
    <mergeCell ref="H15:I15"/>
    <mergeCell ref="D16:E16"/>
    <mergeCell ref="F16:G16"/>
    <mergeCell ref="H16:I16"/>
    <mergeCell ref="D13:E13"/>
    <mergeCell ref="F13:G13"/>
    <mergeCell ref="H13:I13"/>
    <mergeCell ref="D14:E14"/>
    <mergeCell ref="F14:G14"/>
    <mergeCell ref="H14:I14"/>
    <mergeCell ref="D19:E19"/>
    <mergeCell ref="F19:G19"/>
    <mergeCell ref="H19:I19"/>
    <mergeCell ref="D20:E20"/>
    <mergeCell ref="F20:G20"/>
    <mergeCell ref="H20:I20"/>
    <mergeCell ref="D17:E17"/>
    <mergeCell ref="F17:G17"/>
    <mergeCell ref="H17:I17"/>
    <mergeCell ref="D18:E18"/>
    <mergeCell ref="F18:G18"/>
    <mergeCell ref="H18:I18"/>
    <mergeCell ref="D23:E23"/>
    <mergeCell ref="F23:G23"/>
    <mergeCell ref="H23:I23"/>
    <mergeCell ref="D24:E24"/>
    <mergeCell ref="F24:G24"/>
    <mergeCell ref="H24:I24"/>
    <mergeCell ref="D21:E21"/>
    <mergeCell ref="F21:G21"/>
    <mergeCell ref="H21:I21"/>
    <mergeCell ref="D22:E22"/>
    <mergeCell ref="F22:G22"/>
    <mergeCell ref="H22:I22"/>
    <mergeCell ref="D27:E27"/>
    <mergeCell ref="F27:G27"/>
    <mergeCell ref="H27:I27"/>
    <mergeCell ref="D28:E28"/>
    <mergeCell ref="F28:G28"/>
    <mergeCell ref="H28:I28"/>
    <mergeCell ref="D25:E25"/>
    <mergeCell ref="F25:G25"/>
    <mergeCell ref="H25:I25"/>
    <mergeCell ref="D26:E26"/>
    <mergeCell ref="F26:G26"/>
    <mergeCell ref="H26:I26"/>
    <mergeCell ref="D31:E31"/>
    <mergeCell ref="F31:G31"/>
    <mergeCell ref="H31:I31"/>
    <mergeCell ref="D32:E32"/>
    <mergeCell ref="F32:G32"/>
    <mergeCell ref="H32:I32"/>
    <mergeCell ref="D29:E29"/>
    <mergeCell ref="F29:G29"/>
    <mergeCell ref="H29:I29"/>
    <mergeCell ref="D30:E30"/>
    <mergeCell ref="F30:G30"/>
    <mergeCell ref="H30:I30"/>
    <mergeCell ref="D35:E35"/>
    <mergeCell ref="F35:G35"/>
    <mergeCell ref="H35:I35"/>
    <mergeCell ref="D36:E36"/>
    <mergeCell ref="F36:G36"/>
    <mergeCell ref="H36:I36"/>
    <mergeCell ref="D33:E33"/>
    <mergeCell ref="F33:G33"/>
    <mergeCell ref="H33:I33"/>
    <mergeCell ref="D34:E34"/>
    <mergeCell ref="F34:G34"/>
    <mergeCell ref="H34:I34"/>
    <mergeCell ref="D39:E39"/>
    <mergeCell ref="F39:G39"/>
    <mergeCell ref="H39:I39"/>
    <mergeCell ref="D40:E40"/>
    <mergeCell ref="F40:G40"/>
    <mergeCell ref="H40:I40"/>
    <mergeCell ref="D37:E37"/>
    <mergeCell ref="F37:G37"/>
    <mergeCell ref="H37:I37"/>
    <mergeCell ref="D38:E38"/>
    <mergeCell ref="F38:G38"/>
    <mergeCell ref="H38:I38"/>
    <mergeCell ref="D43:E43"/>
    <mergeCell ref="F43:G43"/>
    <mergeCell ref="H43:I43"/>
    <mergeCell ref="D44:E44"/>
    <mergeCell ref="F44:G44"/>
    <mergeCell ref="H44:I44"/>
    <mergeCell ref="D41:E41"/>
    <mergeCell ref="F41:G41"/>
    <mergeCell ref="H41:I41"/>
    <mergeCell ref="D42:E42"/>
    <mergeCell ref="F42:G42"/>
    <mergeCell ref="H42:I42"/>
    <mergeCell ref="D47:E47"/>
    <mergeCell ref="F47:G47"/>
    <mergeCell ref="H47:I47"/>
    <mergeCell ref="D48:E48"/>
    <mergeCell ref="F48:G48"/>
    <mergeCell ref="H48:I48"/>
    <mergeCell ref="D45:E45"/>
    <mergeCell ref="F45:G45"/>
    <mergeCell ref="H45:I45"/>
    <mergeCell ref="D46:E46"/>
    <mergeCell ref="F46:G46"/>
    <mergeCell ref="H46:I46"/>
    <mergeCell ref="D51:E51"/>
    <mergeCell ref="F51:G51"/>
    <mergeCell ref="H51:I51"/>
    <mergeCell ref="D52:E52"/>
    <mergeCell ref="F52:G52"/>
    <mergeCell ref="H52:I52"/>
    <mergeCell ref="D49:E49"/>
    <mergeCell ref="F49:G49"/>
    <mergeCell ref="H49:I49"/>
    <mergeCell ref="D50:E50"/>
    <mergeCell ref="F50:G50"/>
    <mergeCell ref="H50:I50"/>
    <mergeCell ref="D55:E55"/>
    <mergeCell ref="F55:G55"/>
    <mergeCell ref="H55:I55"/>
    <mergeCell ref="D56:E56"/>
    <mergeCell ref="F56:G56"/>
    <mergeCell ref="H56:I56"/>
    <mergeCell ref="D53:E53"/>
    <mergeCell ref="F53:G53"/>
    <mergeCell ref="H53:I53"/>
    <mergeCell ref="D54:E54"/>
    <mergeCell ref="F54:G54"/>
    <mergeCell ref="H54:I54"/>
    <mergeCell ref="D59:E59"/>
    <mergeCell ref="F59:G59"/>
    <mergeCell ref="H59:I59"/>
    <mergeCell ref="D60:E60"/>
    <mergeCell ref="F60:G60"/>
    <mergeCell ref="H60:I60"/>
    <mergeCell ref="D57:E57"/>
    <mergeCell ref="F57:G57"/>
    <mergeCell ref="H57:I57"/>
    <mergeCell ref="D58:E58"/>
    <mergeCell ref="F58:G58"/>
    <mergeCell ref="H58:I58"/>
    <mergeCell ref="D63:E63"/>
    <mergeCell ref="F63:G63"/>
    <mergeCell ref="H63:I63"/>
    <mergeCell ref="D64:E64"/>
    <mergeCell ref="F64:G64"/>
    <mergeCell ref="H64:I64"/>
    <mergeCell ref="D61:E61"/>
    <mergeCell ref="F61:G61"/>
    <mergeCell ref="H61:I61"/>
    <mergeCell ref="D62:E62"/>
    <mergeCell ref="F62:G62"/>
    <mergeCell ref="H62:I62"/>
    <mergeCell ref="D67:E67"/>
    <mergeCell ref="F67:G67"/>
    <mergeCell ref="H67:I67"/>
    <mergeCell ref="D68:E68"/>
    <mergeCell ref="F68:G68"/>
    <mergeCell ref="H68:I68"/>
    <mergeCell ref="D65:E65"/>
    <mergeCell ref="F65:G65"/>
    <mergeCell ref="H65:I65"/>
    <mergeCell ref="D66:E66"/>
    <mergeCell ref="F66:G66"/>
    <mergeCell ref="H66:I66"/>
    <mergeCell ref="D71:E71"/>
    <mergeCell ref="F71:G71"/>
    <mergeCell ref="H71:I71"/>
    <mergeCell ref="D72:E72"/>
    <mergeCell ref="F72:G72"/>
    <mergeCell ref="H72:I72"/>
    <mergeCell ref="D69:E69"/>
    <mergeCell ref="F69:G69"/>
    <mergeCell ref="H69:I69"/>
    <mergeCell ref="D70:E70"/>
    <mergeCell ref="F70:G70"/>
    <mergeCell ref="H70:I70"/>
    <mergeCell ref="D75:E75"/>
    <mergeCell ref="F75:G75"/>
    <mergeCell ref="H75:I75"/>
    <mergeCell ref="D76:E76"/>
    <mergeCell ref="F76:G76"/>
    <mergeCell ref="H76:I76"/>
    <mergeCell ref="D73:E73"/>
    <mergeCell ref="F73:G73"/>
    <mergeCell ref="H73:I73"/>
    <mergeCell ref="D74:E74"/>
    <mergeCell ref="F74:G74"/>
    <mergeCell ref="H74:I74"/>
    <mergeCell ref="D79:E79"/>
    <mergeCell ref="F79:G79"/>
    <mergeCell ref="H79:I79"/>
    <mergeCell ref="D80:E80"/>
    <mergeCell ref="F80:G80"/>
    <mergeCell ref="H80:I80"/>
    <mergeCell ref="D77:E77"/>
    <mergeCell ref="F77:G77"/>
    <mergeCell ref="H77:I77"/>
    <mergeCell ref="D78:E78"/>
    <mergeCell ref="F78:G78"/>
    <mergeCell ref="H78:I78"/>
    <mergeCell ref="D83:E83"/>
    <mergeCell ref="F83:G83"/>
    <mergeCell ref="H83:I83"/>
    <mergeCell ref="D84:E84"/>
    <mergeCell ref="F84:G84"/>
    <mergeCell ref="H84:I84"/>
    <mergeCell ref="D81:E81"/>
    <mergeCell ref="F81:G81"/>
    <mergeCell ref="H81:I81"/>
    <mergeCell ref="D82:E82"/>
    <mergeCell ref="F82:G82"/>
    <mergeCell ref="H82:I82"/>
    <mergeCell ref="D87:E87"/>
    <mergeCell ref="F87:G87"/>
    <mergeCell ref="H87:I87"/>
    <mergeCell ref="D88:E88"/>
    <mergeCell ref="F88:G88"/>
    <mergeCell ref="H88:I88"/>
    <mergeCell ref="D85:E85"/>
    <mergeCell ref="F85:G85"/>
    <mergeCell ref="H85:I85"/>
    <mergeCell ref="D86:E86"/>
    <mergeCell ref="F86:G86"/>
    <mergeCell ref="H86:I86"/>
    <mergeCell ref="D91:E91"/>
    <mergeCell ref="F91:G91"/>
    <mergeCell ref="H91:I91"/>
    <mergeCell ref="D92:E92"/>
    <mergeCell ref="F92:G92"/>
    <mergeCell ref="H92:I92"/>
    <mergeCell ref="D89:E89"/>
    <mergeCell ref="F89:G89"/>
    <mergeCell ref="H89:I89"/>
    <mergeCell ref="D90:E90"/>
    <mergeCell ref="F90:G90"/>
    <mergeCell ref="H90:I90"/>
    <mergeCell ref="D95:E95"/>
    <mergeCell ref="F95:G95"/>
    <mergeCell ref="H95:I95"/>
    <mergeCell ref="D96:E96"/>
    <mergeCell ref="F96:G96"/>
    <mergeCell ref="H96:I96"/>
    <mergeCell ref="D93:E93"/>
    <mergeCell ref="F93:G93"/>
    <mergeCell ref="H93:I93"/>
    <mergeCell ref="D94:E94"/>
    <mergeCell ref="F94:G94"/>
    <mergeCell ref="H94:I94"/>
    <mergeCell ref="D99:E99"/>
    <mergeCell ref="F99:G99"/>
    <mergeCell ref="H99:I99"/>
    <mergeCell ref="D100:E100"/>
    <mergeCell ref="F100:G100"/>
    <mergeCell ref="H100:I100"/>
    <mergeCell ref="D97:E97"/>
    <mergeCell ref="F97:G97"/>
    <mergeCell ref="H97:I97"/>
    <mergeCell ref="D98:E98"/>
    <mergeCell ref="F98:G98"/>
    <mergeCell ref="H98:I98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6A94-868F-4357-A179-EBA2A261102A}">
  <dimension ref="A1:I101"/>
  <sheetViews>
    <sheetView topLeftCell="A51" workbookViewId="0">
      <selection activeCell="D62" sqref="D62:E62"/>
    </sheetView>
  </sheetViews>
  <sheetFormatPr defaultRowHeight="16.5" x14ac:dyDescent="0.3"/>
  <cols>
    <col min="3" max="3" width="9.875" bestFit="1" customWidth="1"/>
  </cols>
  <sheetData>
    <row r="1" spans="1:9" x14ac:dyDescent="0.3">
      <c r="B1" s="66" t="s">
        <v>1</v>
      </c>
      <c r="C1" s="66" t="s">
        <v>2909</v>
      </c>
      <c r="D1" s="437" t="s">
        <v>2908</v>
      </c>
      <c r="E1" s="437"/>
      <c r="F1" s="437" t="s">
        <v>911</v>
      </c>
      <c r="G1" s="437"/>
      <c r="H1" s="437" t="s">
        <v>3</v>
      </c>
      <c r="I1" s="437"/>
    </row>
    <row r="2" spans="1:9" x14ac:dyDescent="0.3">
      <c r="A2" s="66">
        <v>1</v>
      </c>
      <c r="B2" s="26">
        <v>12553</v>
      </c>
      <c r="C2" s="67">
        <v>45992</v>
      </c>
      <c r="D2" s="399" t="s">
        <v>3172</v>
      </c>
      <c r="E2" s="399"/>
      <c r="F2" s="399" t="s">
        <v>2980</v>
      </c>
      <c r="G2" s="399"/>
      <c r="H2" s="399" t="s">
        <v>37</v>
      </c>
      <c r="I2" s="399"/>
    </row>
    <row r="3" spans="1:9" x14ac:dyDescent="0.3">
      <c r="A3" s="66">
        <v>2</v>
      </c>
      <c r="B3" s="26">
        <v>12554</v>
      </c>
      <c r="C3" s="67">
        <v>45992</v>
      </c>
      <c r="D3" s="399" t="s">
        <v>3173</v>
      </c>
      <c r="E3" s="399"/>
      <c r="F3" s="399" t="s">
        <v>884</v>
      </c>
      <c r="G3" s="399"/>
      <c r="H3" s="399" t="s">
        <v>63</v>
      </c>
      <c r="I3" s="399"/>
    </row>
    <row r="4" spans="1:9" x14ac:dyDescent="0.3">
      <c r="A4" s="66">
        <v>3</v>
      </c>
      <c r="B4" s="26">
        <v>12555</v>
      </c>
      <c r="C4" s="67">
        <v>45993</v>
      </c>
      <c r="D4" s="399" t="s">
        <v>3174</v>
      </c>
      <c r="E4" s="399"/>
      <c r="F4" s="399" t="s">
        <v>184</v>
      </c>
      <c r="G4" s="399"/>
      <c r="H4" s="399" t="s">
        <v>2800</v>
      </c>
      <c r="I4" s="399"/>
    </row>
    <row r="5" spans="1:9" x14ac:dyDescent="0.3">
      <c r="A5" s="66">
        <v>4</v>
      </c>
      <c r="B5" s="26">
        <v>12556</v>
      </c>
      <c r="C5" s="67">
        <v>45994</v>
      </c>
      <c r="D5" s="399" t="s">
        <v>968</v>
      </c>
      <c r="E5" s="399"/>
      <c r="F5" s="399" t="s">
        <v>584</v>
      </c>
      <c r="G5" s="399"/>
      <c r="H5" s="399" t="s">
        <v>2800</v>
      </c>
      <c r="I5" s="399"/>
    </row>
    <row r="6" spans="1:9" x14ac:dyDescent="0.3">
      <c r="A6" s="66">
        <v>5</v>
      </c>
      <c r="B6" s="26">
        <v>12558</v>
      </c>
      <c r="C6" s="67">
        <v>45994</v>
      </c>
      <c r="D6" s="399" t="s">
        <v>3175</v>
      </c>
      <c r="E6" s="399"/>
      <c r="F6" s="399" t="s">
        <v>538</v>
      </c>
      <c r="G6" s="399"/>
      <c r="H6" s="399" t="s">
        <v>2800</v>
      </c>
      <c r="I6" s="399"/>
    </row>
    <row r="7" spans="1:9" x14ac:dyDescent="0.3">
      <c r="A7" s="66">
        <v>6</v>
      </c>
      <c r="B7" s="26">
        <v>11178</v>
      </c>
      <c r="C7" s="67">
        <v>45994</v>
      </c>
      <c r="D7" s="392" t="s">
        <v>3199</v>
      </c>
      <c r="E7" s="412"/>
      <c r="F7" s="392" t="s">
        <v>3200</v>
      </c>
      <c r="G7" s="412"/>
      <c r="H7" s="392"/>
      <c r="I7" s="412"/>
    </row>
    <row r="8" spans="1:9" x14ac:dyDescent="0.3">
      <c r="A8" s="66">
        <v>7</v>
      </c>
      <c r="B8" s="26">
        <v>12561</v>
      </c>
      <c r="C8" s="67">
        <v>45995</v>
      </c>
      <c r="D8" s="399" t="s">
        <v>139</v>
      </c>
      <c r="E8" s="399"/>
      <c r="F8" s="399" t="s">
        <v>538</v>
      </c>
      <c r="G8" s="399"/>
      <c r="H8" s="399" t="s">
        <v>63</v>
      </c>
      <c r="I8" s="399"/>
    </row>
    <row r="9" spans="1:9" x14ac:dyDescent="0.3">
      <c r="A9" s="66">
        <v>8</v>
      </c>
      <c r="B9" s="26">
        <v>12562</v>
      </c>
      <c r="C9" s="67">
        <v>45995</v>
      </c>
      <c r="D9" s="399" t="s">
        <v>3176</v>
      </c>
      <c r="E9" s="399"/>
      <c r="F9" s="399" t="s">
        <v>47</v>
      </c>
      <c r="G9" s="399"/>
      <c r="H9" s="399" t="s">
        <v>37</v>
      </c>
      <c r="I9" s="399"/>
    </row>
    <row r="10" spans="1:9" x14ac:dyDescent="0.3">
      <c r="A10" s="66">
        <v>9</v>
      </c>
      <c r="B10" s="26">
        <v>12560</v>
      </c>
      <c r="C10" s="67">
        <v>45995</v>
      </c>
      <c r="D10" s="399" t="s">
        <v>3177</v>
      </c>
      <c r="E10" s="399"/>
      <c r="F10" s="399" t="s">
        <v>18</v>
      </c>
      <c r="G10" s="399"/>
      <c r="H10" s="399" t="s">
        <v>63</v>
      </c>
      <c r="I10" s="399"/>
    </row>
    <row r="11" spans="1:9" x14ac:dyDescent="0.3">
      <c r="A11" s="66">
        <v>10</v>
      </c>
      <c r="B11" s="26">
        <v>12563</v>
      </c>
      <c r="C11" s="67">
        <v>45995</v>
      </c>
      <c r="D11" s="399" t="s">
        <v>3178</v>
      </c>
      <c r="E11" s="399"/>
      <c r="F11" s="399" t="s">
        <v>285</v>
      </c>
      <c r="G11" s="399"/>
      <c r="H11" s="399" t="s">
        <v>63</v>
      </c>
      <c r="I11" s="399"/>
    </row>
    <row r="12" spans="1:9" x14ac:dyDescent="0.3">
      <c r="A12" s="66">
        <v>11</v>
      </c>
      <c r="B12" s="26">
        <v>12564</v>
      </c>
      <c r="C12" s="67">
        <v>45997</v>
      </c>
      <c r="D12" s="399" t="s">
        <v>3179</v>
      </c>
      <c r="E12" s="399"/>
      <c r="F12" s="399" t="s">
        <v>3180</v>
      </c>
      <c r="G12" s="399"/>
      <c r="H12" s="399" t="s">
        <v>63</v>
      </c>
      <c r="I12" s="399"/>
    </row>
    <row r="13" spans="1:9" x14ac:dyDescent="0.3">
      <c r="A13" s="66">
        <v>12</v>
      </c>
      <c r="B13" s="26">
        <v>12565</v>
      </c>
      <c r="C13" s="67">
        <v>45998</v>
      </c>
      <c r="D13" s="399" t="s">
        <v>3181</v>
      </c>
      <c r="E13" s="399"/>
      <c r="F13" s="399" t="s">
        <v>763</v>
      </c>
      <c r="G13" s="399"/>
      <c r="H13" s="399" t="s">
        <v>63</v>
      </c>
      <c r="I13" s="399"/>
    </row>
    <row r="14" spans="1:9" x14ac:dyDescent="0.3">
      <c r="A14" s="66">
        <v>13</v>
      </c>
      <c r="B14" s="26">
        <v>12566</v>
      </c>
      <c r="C14" s="67">
        <v>45998</v>
      </c>
      <c r="D14" s="399" t="s">
        <v>3182</v>
      </c>
      <c r="E14" s="399"/>
      <c r="F14" s="399" t="s">
        <v>433</v>
      </c>
      <c r="G14" s="399"/>
      <c r="H14" s="399" t="s">
        <v>2800</v>
      </c>
      <c r="I14" s="399"/>
    </row>
    <row r="15" spans="1:9" x14ac:dyDescent="0.3">
      <c r="A15" s="66">
        <v>14</v>
      </c>
      <c r="B15" s="26">
        <v>1550</v>
      </c>
      <c r="C15" s="67">
        <v>45998</v>
      </c>
      <c r="D15" s="399" t="s">
        <v>3183</v>
      </c>
      <c r="E15" s="399"/>
      <c r="F15" s="399" t="s">
        <v>3184</v>
      </c>
      <c r="G15" s="399"/>
      <c r="H15" s="399"/>
      <c r="I15" s="399"/>
    </row>
    <row r="16" spans="1:9" x14ac:dyDescent="0.3">
      <c r="A16" s="66">
        <v>15</v>
      </c>
      <c r="B16" s="26">
        <v>12568</v>
      </c>
      <c r="C16" s="67">
        <v>45998</v>
      </c>
      <c r="D16" s="399" t="s">
        <v>3185</v>
      </c>
      <c r="E16" s="399"/>
      <c r="F16" s="399" t="s">
        <v>928</v>
      </c>
      <c r="G16" s="399"/>
      <c r="H16" s="399" t="s">
        <v>2800</v>
      </c>
      <c r="I16" s="399"/>
    </row>
    <row r="17" spans="1:9" x14ac:dyDescent="0.3">
      <c r="A17" s="66">
        <v>16</v>
      </c>
      <c r="B17" s="26">
        <v>12567</v>
      </c>
      <c r="C17" s="67">
        <v>45998</v>
      </c>
      <c r="D17" s="399" t="s">
        <v>3186</v>
      </c>
      <c r="E17" s="399"/>
      <c r="F17" s="399" t="s">
        <v>2515</v>
      </c>
      <c r="G17" s="399"/>
      <c r="H17" s="399" t="s">
        <v>63</v>
      </c>
      <c r="I17" s="399"/>
    </row>
    <row r="18" spans="1:9" x14ac:dyDescent="0.3">
      <c r="A18" s="66">
        <v>17</v>
      </c>
      <c r="B18" s="26">
        <v>12569</v>
      </c>
      <c r="C18" s="67">
        <v>45999</v>
      </c>
      <c r="D18" s="399" t="s">
        <v>3187</v>
      </c>
      <c r="E18" s="399"/>
      <c r="F18" s="399" t="s">
        <v>352</v>
      </c>
      <c r="G18" s="399"/>
      <c r="H18" s="399" t="s">
        <v>63</v>
      </c>
      <c r="I18" s="399"/>
    </row>
    <row r="19" spans="1:9" x14ac:dyDescent="0.3">
      <c r="A19" s="66">
        <v>18</v>
      </c>
      <c r="B19" s="26">
        <v>12570</v>
      </c>
      <c r="C19" s="67">
        <v>45999</v>
      </c>
      <c r="D19" s="399" t="s">
        <v>3188</v>
      </c>
      <c r="E19" s="399"/>
      <c r="F19" s="399" t="s">
        <v>3189</v>
      </c>
      <c r="G19" s="399"/>
      <c r="H19" s="399" t="s">
        <v>2800</v>
      </c>
      <c r="I19" s="399"/>
    </row>
    <row r="20" spans="1:9" x14ac:dyDescent="0.3">
      <c r="A20" s="66">
        <v>19</v>
      </c>
      <c r="B20" s="26">
        <v>12571</v>
      </c>
      <c r="C20" s="67">
        <v>46000</v>
      </c>
      <c r="D20" s="399" t="s">
        <v>3191</v>
      </c>
      <c r="E20" s="399"/>
      <c r="F20" s="399" t="s">
        <v>3192</v>
      </c>
      <c r="G20" s="399"/>
      <c r="H20" s="399" t="s">
        <v>2800</v>
      </c>
      <c r="I20" s="399"/>
    </row>
    <row r="21" spans="1:9" x14ac:dyDescent="0.3">
      <c r="A21" s="66">
        <v>20</v>
      </c>
      <c r="B21" s="26">
        <v>12572</v>
      </c>
      <c r="C21" s="67">
        <v>46000</v>
      </c>
      <c r="D21" s="399" t="s">
        <v>3190</v>
      </c>
      <c r="E21" s="399"/>
      <c r="F21" s="399" t="s">
        <v>257</v>
      </c>
      <c r="G21" s="399"/>
      <c r="H21" s="399" t="s">
        <v>2800</v>
      </c>
      <c r="I21" s="399"/>
    </row>
    <row r="22" spans="1:9" x14ac:dyDescent="0.3">
      <c r="A22" s="66">
        <v>21</v>
      </c>
      <c r="B22" s="26">
        <v>12573</v>
      </c>
      <c r="C22" s="67">
        <v>46000</v>
      </c>
      <c r="D22" s="399" t="s">
        <v>3193</v>
      </c>
      <c r="E22" s="399"/>
      <c r="F22" s="399" t="s">
        <v>3194</v>
      </c>
      <c r="G22" s="399"/>
      <c r="H22" s="399" t="s">
        <v>63</v>
      </c>
      <c r="I22" s="399"/>
    </row>
    <row r="23" spans="1:9" x14ac:dyDescent="0.3">
      <c r="A23" s="66">
        <v>22</v>
      </c>
      <c r="B23" s="26">
        <v>12574</v>
      </c>
      <c r="C23" s="67">
        <v>46001</v>
      </c>
      <c r="D23" s="399" t="s">
        <v>3195</v>
      </c>
      <c r="E23" s="399"/>
      <c r="F23" s="399" t="s">
        <v>3196</v>
      </c>
      <c r="G23" s="399"/>
      <c r="H23" s="399"/>
      <c r="I23" s="399"/>
    </row>
    <row r="24" spans="1:9" x14ac:dyDescent="0.3">
      <c r="A24" s="66">
        <v>23</v>
      </c>
      <c r="B24" s="26">
        <v>12576</v>
      </c>
      <c r="C24" s="67">
        <v>46001</v>
      </c>
      <c r="D24" s="399" t="s">
        <v>3197</v>
      </c>
      <c r="E24" s="399"/>
      <c r="F24" s="399" t="s">
        <v>3198</v>
      </c>
      <c r="G24" s="399"/>
      <c r="H24" s="399" t="s">
        <v>63</v>
      </c>
      <c r="I24" s="399"/>
    </row>
    <row r="25" spans="1:9" x14ac:dyDescent="0.3">
      <c r="A25" s="66">
        <v>24</v>
      </c>
      <c r="B25" s="26">
        <v>12579</v>
      </c>
      <c r="C25" s="67">
        <v>46003</v>
      </c>
      <c r="D25" s="399" t="s">
        <v>3201</v>
      </c>
      <c r="E25" s="399"/>
      <c r="F25" s="399" t="s">
        <v>3202</v>
      </c>
      <c r="G25" s="399"/>
      <c r="H25" s="399" t="s">
        <v>63</v>
      </c>
      <c r="I25" s="399"/>
    </row>
    <row r="26" spans="1:9" x14ac:dyDescent="0.3">
      <c r="A26" s="66">
        <v>25</v>
      </c>
      <c r="B26" s="26">
        <v>12581</v>
      </c>
      <c r="C26" s="67">
        <v>46004</v>
      </c>
      <c r="D26" s="399" t="s">
        <v>3203</v>
      </c>
      <c r="E26" s="399"/>
      <c r="F26" s="399" t="s">
        <v>3204</v>
      </c>
      <c r="G26" s="399"/>
      <c r="H26" s="399" t="s">
        <v>63</v>
      </c>
      <c r="I26" s="399"/>
    </row>
    <row r="27" spans="1:9" x14ac:dyDescent="0.3">
      <c r="A27" s="66">
        <v>26</v>
      </c>
      <c r="B27" s="26">
        <v>12582</v>
      </c>
      <c r="C27" s="67">
        <v>46004</v>
      </c>
      <c r="D27" s="399" t="s">
        <v>3205</v>
      </c>
      <c r="E27" s="399"/>
      <c r="F27" s="399" t="s">
        <v>3206</v>
      </c>
      <c r="G27" s="399"/>
      <c r="H27" s="399" t="s">
        <v>63</v>
      </c>
      <c r="I27" s="399"/>
    </row>
    <row r="28" spans="1:9" x14ac:dyDescent="0.3">
      <c r="A28" s="66">
        <v>27</v>
      </c>
      <c r="B28" s="26">
        <v>12580</v>
      </c>
      <c r="C28" s="67">
        <v>46005</v>
      </c>
      <c r="D28" s="399" t="s">
        <v>3209</v>
      </c>
      <c r="E28" s="399"/>
      <c r="F28" s="399" t="s">
        <v>3210</v>
      </c>
      <c r="G28" s="399"/>
      <c r="H28" s="399" t="s">
        <v>63</v>
      </c>
      <c r="I28" s="399"/>
    </row>
    <row r="29" spans="1:9" x14ac:dyDescent="0.3">
      <c r="A29" s="66">
        <v>28</v>
      </c>
      <c r="B29" s="26">
        <v>12575</v>
      </c>
      <c r="C29" s="67">
        <v>46006</v>
      </c>
      <c r="D29" s="399" t="s">
        <v>3207</v>
      </c>
      <c r="E29" s="399"/>
      <c r="F29" s="399" t="s">
        <v>3208</v>
      </c>
      <c r="G29" s="399"/>
      <c r="H29" s="399" t="s">
        <v>63</v>
      </c>
      <c r="I29" s="399"/>
    </row>
    <row r="30" spans="1:9" x14ac:dyDescent="0.3">
      <c r="A30" s="66">
        <v>29</v>
      </c>
      <c r="B30" s="26">
        <v>12196</v>
      </c>
      <c r="C30" s="67">
        <v>46008</v>
      </c>
      <c r="D30" s="399" t="s">
        <v>3211</v>
      </c>
      <c r="E30" s="399"/>
      <c r="F30" s="399" t="s">
        <v>3212</v>
      </c>
      <c r="G30" s="399"/>
      <c r="H30" s="399" t="s">
        <v>3213</v>
      </c>
      <c r="I30" s="399"/>
    </row>
    <row r="31" spans="1:9" x14ac:dyDescent="0.3">
      <c r="A31" s="66">
        <v>30</v>
      </c>
      <c r="B31" s="26">
        <v>12586</v>
      </c>
      <c r="C31" s="67">
        <v>46008</v>
      </c>
      <c r="D31" s="399" t="s">
        <v>3214</v>
      </c>
      <c r="E31" s="399"/>
      <c r="F31" s="399" t="s">
        <v>3215</v>
      </c>
      <c r="G31" s="399"/>
      <c r="H31" s="399" t="s">
        <v>63</v>
      </c>
      <c r="I31" s="399"/>
    </row>
    <row r="32" spans="1:9" x14ac:dyDescent="0.3">
      <c r="A32" s="66">
        <v>31</v>
      </c>
      <c r="B32" s="26">
        <v>12585</v>
      </c>
      <c r="C32" s="67">
        <v>46007</v>
      </c>
      <c r="D32" s="399" t="s">
        <v>3216</v>
      </c>
      <c r="E32" s="399"/>
      <c r="F32" s="399" t="s">
        <v>3217</v>
      </c>
      <c r="G32" s="399"/>
      <c r="H32" s="399" t="s">
        <v>63</v>
      </c>
      <c r="I32" s="399"/>
    </row>
    <row r="33" spans="1:9" x14ac:dyDescent="0.3">
      <c r="A33" s="66">
        <v>32</v>
      </c>
      <c r="B33" s="26">
        <v>12584</v>
      </c>
      <c r="C33" s="67">
        <v>46007</v>
      </c>
      <c r="D33" s="399" t="s">
        <v>3218</v>
      </c>
      <c r="E33" s="399"/>
      <c r="F33" s="399" t="s">
        <v>3219</v>
      </c>
      <c r="G33" s="399"/>
      <c r="H33" s="399" t="s">
        <v>3213</v>
      </c>
      <c r="I33" s="399"/>
    </row>
    <row r="34" spans="1:9" x14ac:dyDescent="0.3">
      <c r="A34" s="66">
        <v>33</v>
      </c>
      <c r="B34" s="26">
        <v>12590</v>
      </c>
      <c r="C34" s="67">
        <v>46010</v>
      </c>
      <c r="D34" s="399" t="s">
        <v>3220</v>
      </c>
      <c r="E34" s="399"/>
      <c r="F34" s="399" t="s">
        <v>3221</v>
      </c>
      <c r="G34" s="399"/>
      <c r="H34" s="399" t="s">
        <v>3222</v>
      </c>
      <c r="I34" s="399"/>
    </row>
    <row r="35" spans="1:9" x14ac:dyDescent="0.3">
      <c r="A35" s="66">
        <v>34</v>
      </c>
      <c r="B35" s="26">
        <v>12583</v>
      </c>
      <c r="C35" s="67">
        <v>46010</v>
      </c>
      <c r="D35" s="399" t="s">
        <v>3223</v>
      </c>
      <c r="E35" s="399"/>
      <c r="F35" s="399" t="s">
        <v>3224</v>
      </c>
      <c r="G35" s="399"/>
      <c r="H35" s="399" t="s">
        <v>37</v>
      </c>
      <c r="I35" s="399"/>
    </row>
    <row r="36" spans="1:9" x14ac:dyDescent="0.3">
      <c r="A36" s="66">
        <v>35</v>
      </c>
      <c r="B36" s="26">
        <v>12591</v>
      </c>
      <c r="C36" s="67">
        <v>46010</v>
      </c>
      <c r="D36" s="399" t="s">
        <v>3225</v>
      </c>
      <c r="E36" s="399"/>
      <c r="F36" s="399" t="s">
        <v>3226</v>
      </c>
      <c r="G36" s="399"/>
      <c r="H36" s="399" t="s">
        <v>63</v>
      </c>
      <c r="I36" s="399"/>
    </row>
    <row r="37" spans="1:9" x14ac:dyDescent="0.3">
      <c r="A37" s="66">
        <v>36</v>
      </c>
      <c r="B37" s="26">
        <v>12592</v>
      </c>
      <c r="C37" s="67">
        <v>46010</v>
      </c>
      <c r="D37" s="399" t="s">
        <v>3227</v>
      </c>
      <c r="E37" s="399"/>
      <c r="F37" s="399" t="s">
        <v>3228</v>
      </c>
      <c r="G37" s="399"/>
      <c r="H37" s="399" t="s">
        <v>63</v>
      </c>
      <c r="I37" s="399"/>
    </row>
    <row r="38" spans="1:9" x14ac:dyDescent="0.3">
      <c r="A38" s="66">
        <v>37</v>
      </c>
      <c r="B38" s="26">
        <v>12593</v>
      </c>
      <c r="C38" s="67">
        <v>46010</v>
      </c>
      <c r="D38" s="399" t="s">
        <v>3229</v>
      </c>
      <c r="E38" s="399"/>
      <c r="F38" s="399" t="s">
        <v>3230</v>
      </c>
      <c r="G38" s="399"/>
      <c r="H38" s="399"/>
      <c r="I38" s="399"/>
    </row>
    <row r="39" spans="1:9" x14ac:dyDescent="0.3">
      <c r="A39" s="66">
        <v>38</v>
      </c>
      <c r="B39" s="26">
        <v>12595</v>
      </c>
      <c r="C39" s="67">
        <v>46011</v>
      </c>
      <c r="D39" s="399" t="s">
        <v>3231</v>
      </c>
      <c r="E39" s="399"/>
      <c r="F39" s="399" t="s">
        <v>3232</v>
      </c>
      <c r="G39" s="399"/>
      <c r="H39" s="399" t="s">
        <v>63</v>
      </c>
      <c r="I39" s="399"/>
    </row>
    <row r="40" spans="1:9" x14ac:dyDescent="0.3">
      <c r="A40" s="66">
        <v>39</v>
      </c>
      <c r="B40" s="26">
        <v>12588</v>
      </c>
      <c r="C40" s="67">
        <v>46011</v>
      </c>
      <c r="D40" s="399" t="s">
        <v>3234</v>
      </c>
      <c r="E40" s="399"/>
      <c r="F40" s="399" t="s">
        <v>3233</v>
      </c>
      <c r="G40" s="399"/>
      <c r="H40" s="399" t="s">
        <v>63</v>
      </c>
      <c r="I40" s="399"/>
    </row>
    <row r="41" spans="1:9" x14ac:dyDescent="0.3">
      <c r="A41" s="66">
        <v>40</v>
      </c>
      <c r="B41" s="26">
        <v>12594</v>
      </c>
      <c r="C41" s="67">
        <v>46011</v>
      </c>
      <c r="D41" s="399" t="s">
        <v>3235</v>
      </c>
      <c r="E41" s="399"/>
      <c r="F41" s="399" t="s">
        <v>3236</v>
      </c>
      <c r="G41" s="399"/>
      <c r="H41" s="399" t="s">
        <v>63</v>
      </c>
      <c r="I41" s="399"/>
    </row>
    <row r="42" spans="1:9" x14ac:dyDescent="0.3">
      <c r="A42" s="66">
        <v>41</v>
      </c>
      <c r="B42" s="26">
        <v>12598</v>
      </c>
      <c r="C42" s="67">
        <v>46012</v>
      </c>
      <c r="D42" s="399" t="s">
        <v>3231</v>
      </c>
      <c r="E42" s="399"/>
      <c r="F42" s="399" t="s">
        <v>179</v>
      </c>
      <c r="G42" s="399"/>
      <c r="H42" s="399" t="s">
        <v>3237</v>
      </c>
      <c r="I42" s="399"/>
    </row>
    <row r="43" spans="1:9" x14ac:dyDescent="0.3">
      <c r="A43" s="66">
        <v>42</v>
      </c>
      <c r="B43" s="26">
        <v>12597</v>
      </c>
      <c r="C43" s="67">
        <v>46013</v>
      </c>
      <c r="D43" s="399" t="s">
        <v>1920</v>
      </c>
      <c r="E43" s="399"/>
      <c r="F43" s="399" t="s">
        <v>370</v>
      </c>
      <c r="G43" s="399"/>
      <c r="H43" s="399" t="s">
        <v>2800</v>
      </c>
      <c r="I43" s="399"/>
    </row>
    <row r="44" spans="1:9" x14ac:dyDescent="0.3">
      <c r="A44" s="66">
        <v>43</v>
      </c>
      <c r="B44" s="26">
        <v>12599</v>
      </c>
      <c r="C44" s="67">
        <v>46013</v>
      </c>
      <c r="D44" s="392" t="s">
        <v>3238</v>
      </c>
      <c r="E44" s="412"/>
      <c r="F44" s="392" t="s">
        <v>3239</v>
      </c>
      <c r="G44" s="412"/>
      <c r="H44" s="392" t="s">
        <v>63</v>
      </c>
      <c r="I44" s="412"/>
    </row>
    <row r="45" spans="1:9" x14ac:dyDescent="0.3">
      <c r="A45" s="66">
        <v>44</v>
      </c>
      <c r="B45" s="26">
        <v>12602</v>
      </c>
      <c r="C45" s="67">
        <v>46014</v>
      </c>
      <c r="D45" s="399" t="s">
        <v>3240</v>
      </c>
      <c r="E45" s="399"/>
      <c r="F45" s="399" t="s">
        <v>3241</v>
      </c>
      <c r="G45" s="399"/>
      <c r="H45" s="399" t="s">
        <v>2800</v>
      </c>
      <c r="I45" s="399"/>
    </row>
    <row r="46" spans="1:9" x14ac:dyDescent="0.3">
      <c r="A46" s="66">
        <v>45</v>
      </c>
      <c r="B46" s="26">
        <v>12604</v>
      </c>
      <c r="C46" s="67">
        <v>46014</v>
      </c>
      <c r="D46" s="399" t="s">
        <v>3242</v>
      </c>
      <c r="E46" s="399"/>
      <c r="F46" s="399" t="s">
        <v>3243</v>
      </c>
      <c r="G46" s="399"/>
      <c r="H46" s="399" t="s">
        <v>2800</v>
      </c>
      <c r="I46" s="399"/>
    </row>
    <row r="47" spans="1:9" x14ac:dyDescent="0.3">
      <c r="A47" s="66">
        <v>46</v>
      </c>
      <c r="B47" s="26">
        <v>12605</v>
      </c>
      <c r="C47" s="67">
        <v>46014</v>
      </c>
      <c r="D47" s="399" t="s">
        <v>3244</v>
      </c>
      <c r="E47" s="399"/>
      <c r="F47" s="399" t="s">
        <v>3245</v>
      </c>
      <c r="G47" s="399"/>
      <c r="H47" s="399" t="s">
        <v>63</v>
      </c>
      <c r="I47" s="399"/>
    </row>
    <row r="48" spans="1:9" x14ac:dyDescent="0.3">
      <c r="A48" s="66">
        <v>47</v>
      </c>
      <c r="B48" s="26">
        <v>12589</v>
      </c>
      <c r="C48" s="67">
        <v>46015</v>
      </c>
      <c r="D48" s="399" t="s">
        <v>3246</v>
      </c>
      <c r="E48" s="399"/>
      <c r="F48" s="399" t="s">
        <v>3247</v>
      </c>
      <c r="G48" s="399"/>
      <c r="H48" s="399" t="s">
        <v>63</v>
      </c>
      <c r="I48" s="399"/>
    </row>
    <row r="49" spans="1:9" x14ac:dyDescent="0.3">
      <c r="A49" s="66">
        <v>48</v>
      </c>
      <c r="B49" s="26">
        <v>12606</v>
      </c>
      <c r="C49" s="67">
        <v>46014</v>
      </c>
      <c r="D49" s="399" t="s">
        <v>3249</v>
      </c>
      <c r="E49" s="399"/>
      <c r="F49" s="399" t="s">
        <v>3248</v>
      </c>
      <c r="G49" s="399"/>
      <c r="H49" s="399" t="s">
        <v>2800</v>
      </c>
      <c r="I49" s="399"/>
    </row>
    <row r="50" spans="1:9" x14ac:dyDescent="0.3">
      <c r="A50" s="66">
        <v>49</v>
      </c>
      <c r="B50" s="26">
        <v>12600</v>
      </c>
      <c r="C50" s="67">
        <v>46013</v>
      </c>
      <c r="D50" s="399" t="s">
        <v>3250</v>
      </c>
      <c r="E50" s="399"/>
      <c r="F50" s="399" t="s">
        <v>3251</v>
      </c>
      <c r="G50" s="399"/>
      <c r="H50" s="399" t="s">
        <v>63</v>
      </c>
      <c r="I50" s="399"/>
    </row>
    <row r="51" spans="1:9" x14ac:dyDescent="0.3">
      <c r="A51" s="66">
        <v>50</v>
      </c>
      <c r="B51" s="26">
        <v>12601</v>
      </c>
      <c r="C51" s="67">
        <v>46014</v>
      </c>
      <c r="D51" s="399" t="s">
        <v>3252</v>
      </c>
      <c r="E51" s="399"/>
      <c r="F51" s="399" t="s">
        <v>3253</v>
      </c>
      <c r="G51" s="399"/>
      <c r="H51" s="399" t="s">
        <v>2800</v>
      </c>
      <c r="I51" s="399"/>
    </row>
    <row r="52" spans="1:9" x14ac:dyDescent="0.3">
      <c r="A52" s="66">
        <v>51</v>
      </c>
      <c r="B52" s="26">
        <v>11727</v>
      </c>
      <c r="C52" s="67">
        <v>46015</v>
      </c>
      <c r="D52" s="399" t="s">
        <v>3254</v>
      </c>
      <c r="E52" s="399"/>
      <c r="F52" s="399" t="s">
        <v>3255</v>
      </c>
      <c r="G52" s="399"/>
      <c r="H52" s="399" t="s">
        <v>63</v>
      </c>
      <c r="I52" s="399"/>
    </row>
    <row r="53" spans="1:9" x14ac:dyDescent="0.3">
      <c r="A53" s="66">
        <v>52</v>
      </c>
      <c r="B53" s="26">
        <v>12607</v>
      </c>
      <c r="C53" s="67">
        <v>46015</v>
      </c>
      <c r="D53" s="399" t="s">
        <v>3256</v>
      </c>
      <c r="E53" s="399"/>
      <c r="F53" s="399" t="s">
        <v>3245</v>
      </c>
      <c r="G53" s="399"/>
      <c r="H53" s="399" t="s">
        <v>63</v>
      </c>
      <c r="I53" s="399"/>
    </row>
    <row r="54" spans="1:9" x14ac:dyDescent="0.3">
      <c r="A54" s="66">
        <v>53</v>
      </c>
      <c r="B54" s="26">
        <v>12608</v>
      </c>
      <c r="C54" s="67">
        <v>46015</v>
      </c>
      <c r="D54" s="399" t="s">
        <v>3257</v>
      </c>
      <c r="E54" s="399"/>
      <c r="F54" s="399" t="s">
        <v>3258</v>
      </c>
      <c r="G54" s="399"/>
      <c r="H54" s="399" t="s">
        <v>37</v>
      </c>
      <c r="I54" s="399"/>
    </row>
    <row r="55" spans="1:9" x14ac:dyDescent="0.3">
      <c r="A55" s="66">
        <v>54</v>
      </c>
      <c r="B55" s="26">
        <v>12610</v>
      </c>
      <c r="C55" s="67">
        <v>46016</v>
      </c>
      <c r="D55" s="399" t="s">
        <v>3259</v>
      </c>
      <c r="E55" s="399"/>
      <c r="F55" s="399" t="s">
        <v>3260</v>
      </c>
      <c r="G55" s="399"/>
      <c r="H55" s="399"/>
      <c r="I55" s="399"/>
    </row>
    <row r="56" spans="1:9" x14ac:dyDescent="0.3">
      <c r="A56" s="66">
        <v>55</v>
      </c>
      <c r="B56" s="26">
        <v>12611</v>
      </c>
      <c r="C56" s="67">
        <v>46016</v>
      </c>
      <c r="D56" s="399" t="s">
        <v>3261</v>
      </c>
      <c r="E56" s="399"/>
      <c r="F56" s="399" t="s">
        <v>3262</v>
      </c>
      <c r="G56" s="399"/>
      <c r="H56" s="399" t="s">
        <v>2800</v>
      </c>
      <c r="I56" s="399"/>
    </row>
    <row r="57" spans="1:9" x14ac:dyDescent="0.3">
      <c r="A57" s="66">
        <v>56</v>
      </c>
      <c r="B57" s="26">
        <v>12612</v>
      </c>
      <c r="C57" s="67">
        <v>46016</v>
      </c>
      <c r="D57" s="399" t="s">
        <v>3264</v>
      </c>
      <c r="E57" s="399"/>
      <c r="F57" s="399" t="s">
        <v>3263</v>
      </c>
      <c r="G57" s="399"/>
      <c r="H57" s="399" t="s">
        <v>63</v>
      </c>
      <c r="I57" s="399"/>
    </row>
    <row r="58" spans="1:9" x14ac:dyDescent="0.3">
      <c r="A58" s="66">
        <v>57</v>
      </c>
      <c r="B58" s="26">
        <v>12617</v>
      </c>
      <c r="C58" s="67">
        <v>46018</v>
      </c>
      <c r="D58" s="399" t="s">
        <v>3265</v>
      </c>
      <c r="E58" s="399"/>
      <c r="F58" s="399" t="s">
        <v>3266</v>
      </c>
      <c r="G58" s="399"/>
      <c r="H58" s="399" t="s">
        <v>63</v>
      </c>
      <c r="I58" s="399"/>
    </row>
    <row r="59" spans="1:9" x14ac:dyDescent="0.3">
      <c r="A59" s="66">
        <v>58</v>
      </c>
      <c r="B59" s="26">
        <v>12279</v>
      </c>
      <c r="C59" s="67">
        <v>46019</v>
      </c>
      <c r="D59" s="399" t="s">
        <v>3267</v>
      </c>
      <c r="E59" s="399"/>
      <c r="F59" s="399" t="s">
        <v>3268</v>
      </c>
      <c r="G59" s="399"/>
      <c r="H59" s="399" t="s">
        <v>2800</v>
      </c>
      <c r="I59" s="399"/>
    </row>
    <row r="60" spans="1:9" x14ac:dyDescent="0.3">
      <c r="A60" s="66">
        <v>59</v>
      </c>
      <c r="B60" s="26">
        <v>12620</v>
      </c>
      <c r="C60" s="67">
        <v>46019</v>
      </c>
      <c r="D60" s="399" t="s">
        <v>3269</v>
      </c>
      <c r="E60" s="399"/>
      <c r="F60" s="399" t="s">
        <v>3270</v>
      </c>
      <c r="G60" s="399"/>
      <c r="H60" s="399" t="s">
        <v>37</v>
      </c>
      <c r="I60" s="399"/>
    </row>
    <row r="61" spans="1:9" x14ac:dyDescent="0.3">
      <c r="A61" s="66">
        <v>60</v>
      </c>
      <c r="B61" s="26">
        <v>12619</v>
      </c>
      <c r="C61" s="67">
        <v>46019</v>
      </c>
      <c r="D61" s="399" t="s">
        <v>3271</v>
      </c>
      <c r="E61" s="399"/>
      <c r="F61" s="399" t="s">
        <v>3272</v>
      </c>
      <c r="G61" s="399"/>
      <c r="H61" s="399" t="s">
        <v>63</v>
      </c>
      <c r="I61" s="399"/>
    </row>
    <row r="62" spans="1:9" x14ac:dyDescent="0.3">
      <c r="A62" s="66">
        <v>61</v>
      </c>
      <c r="B62" s="26">
        <v>12622</v>
      </c>
      <c r="C62" s="67">
        <v>46020</v>
      </c>
      <c r="D62" s="399" t="s">
        <v>3273</v>
      </c>
      <c r="E62" s="399"/>
      <c r="F62" s="399" t="s">
        <v>3274</v>
      </c>
      <c r="G62" s="399"/>
      <c r="H62" s="399" t="s">
        <v>37</v>
      </c>
      <c r="I62" s="399"/>
    </row>
    <row r="63" spans="1:9" x14ac:dyDescent="0.3">
      <c r="A63" s="66">
        <v>62</v>
      </c>
      <c r="B63" s="26">
        <v>12623</v>
      </c>
      <c r="C63" s="67">
        <v>46385</v>
      </c>
      <c r="D63" s="399" t="s">
        <v>3281</v>
      </c>
      <c r="E63" s="399"/>
      <c r="F63" s="399" t="s">
        <v>3282</v>
      </c>
      <c r="G63" s="399"/>
      <c r="H63" s="399" t="s">
        <v>63</v>
      </c>
      <c r="I63" s="399"/>
    </row>
    <row r="64" spans="1:9" x14ac:dyDescent="0.3">
      <c r="A64" s="66">
        <v>63</v>
      </c>
      <c r="B64" s="26">
        <v>12624</v>
      </c>
      <c r="C64" s="67">
        <v>46385</v>
      </c>
      <c r="D64" s="399" t="s">
        <v>3275</v>
      </c>
      <c r="E64" s="399"/>
      <c r="F64" s="399" t="s">
        <v>3276</v>
      </c>
      <c r="G64" s="399"/>
      <c r="H64" s="399" t="s">
        <v>2800</v>
      </c>
      <c r="I64" s="399"/>
    </row>
    <row r="65" spans="1:9" x14ac:dyDescent="0.3">
      <c r="A65" s="66">
        <v>64</v>
      </c>
      <c r="B65" s="26">
        <v>12625</v>
      </c>
      <c r="C65" s="67">
        <v>46385</v>
      </c>
      <c r="D65" s="392" t="s">
        <v>3285</v>
      </c>
      <c r="E65" s="412"/>
      <c r="F65" s="392" t="s">
        <v>3286</v>
      </c>
      <c r="G65" s="412"/>
      <c r="H65" s="392" t="s">
        <v>63</v>
      </c>
      <c r="I65" s="412"/>
    </row>
    <row r="66" spans="1:9" x14ac:dyDescent="0.3">
      <c r="A66" s="66">
        <v>65</v>
      </c>
      <c r="B66" s="26">
        <v>12626</v>
      </c>
      <c r="C66" s="67">
        <v>46385</v>
      </c>
      <c r="D66" s="392" t="s">
        <v>3283</v>
      </c>
      <c r="E66" s="412"/>
      <c r="F66" s="392" t="s">
        <v>3284</v>
      </c>
      <c r="G66" s="412"/>
      <c r="H66" s="392" t="s">
        <v>63</v>
      </c>
      <c r="I66" s="412"/>
    </row>
    <row r="67" spans="1:9" x14ac:dyDescent="0.3">
      <c r="A67" s="66">
        <v>66</v>
      </c>
      <c r="B67" s="26">
        <v>12627</v>
      </c>
      <c r="C67" s="67">
        <v>46386</v>
      </c>
      <c r="D67" s="392" t="s">
        <v>3277</v>
      </c>
      <c r="E67" s="412"/>
      <c r="F67" s="392" t="s">
        <v>3278</v>
      </c>
      <c r="G67" s="412"/>
      <c r="H67" s="392" t="s">
        <v>37</v>
      </c>
      <c r="I67" s="412"/>
    </row>
    <row r="68" spans="1:9" x14ac:dyDescent="0.3">
      <c r="A68" s="66">
        <v>67</v>
      </c>
      <c r="B68" s="26">
        <v>12628</v>
      </c>
      <c r="C68" s="67">
        <v>46387</v>
      </c>
      <c r="D68" s="392" t="s">
        <v>3279</v>
      </c>
      <c r="E68" s="412"/>
      <c r="F68" s="392" t="s">
        <v>3280</v>
      </c>
      <c r="G68" s="412"/>
      <c r="H68" s="392" t="s">
        <v>2800</v>
      </c>
      <c r="I68" s="412"/>
    </row>
    <row r="69" spans="1:9" x14ac:dyDescent="0.3">
      <c r="A69" s="66">
        <v>68</v>
      </c>
      <c r="B69" s="26"/>
      <c r="C69" s="26"/>
      <c r="D69" s="399"/>
      <c r="E69" s="399"/>
      <c r="F69" s="399"/>
      <c r="G69" s="399"/>
      <c r="H69" s="399"/>
      <c r="I69" s="399"/>
    </row>
    <row r="70" spans="1:9" x14ac:dyDescent="0.3">
      <c r="A70" s="66">
        <v>69</v>
      </c>
      <c r="B70" s="26"/>
      <c r="C70" s="26"/>
      <c r="D70" s="399"/>
      <c r="E70" s="399"/>
      <c r="F70" s="399"/>
      <c r="G70" s="399"/>
      <c r="H70" s="399"/>
      <c r="I70" s="399"/>
    </row>
    <row r="71" spans="1:9" x14ac:dyDescent="0.3">
      <c r="A71" s="66">
        <v>70</v>
      </c>
      <c r="B71" s="26"/>
      <c r="C71" s="26"/>
      <c r="D71" s="399"/>
      <c r="E71" s="399"/>
      <c r="F71" s="399"/>
      <c r="G71" s="399"/>
      <c r="H71" s="399"/>
      <c r="I71" s="399"/>
    </row>
    <row r="72" spans="1:9" x14ac:dyDescent="0.3">
      <c r="A72" s="66">
        <v>71</v>
      </c>
      <c r="B72" s="26"/>
      <c r="C72" s="26"/>
      <c r="D72" s="399"/>
      <c r="E72" s="399"/>
      <c r="F72" s="399"/>
      <c r="G72" s="399"/>
      <c r="H72" s="399"/>
      <c r="I72" s="399"/>
    </row>
    <row r="73" spans="1:9" x14ac:dyDescent="0.3">
      <c r="A73" s="66">
        <v>72</v>
      </c>
      <c r="B73" s="26"/>
      <c r="C73" s="26"/>
      <c r="D73" s="399"/>
      <c r="E73" s="399"/>
      <c r="F73" s="399"/>
      <c r="G73" s="399"/>
      <c r="H73" s="399"/>
      <c r="I73" s="399"/>
    </row>
    <row r="74" spans="1:9" x14ac:dyDescent="0.3">
      <c r="A74" s="66">
        <v>73</v>
      </c>
      <c r="B74" s="26"/>
      <c r="C74" s="26"/>
      <c r="D74" s="399"/>
      <c r="E74" s="399"/>
      <c r="F74" s="399"/>
      <c r="G74" s="399"/>
      <c r="H74" s="399"/>
      <c r="I74" s="399"/>
    </row>
    <row r="75" spans="1:9" x14ac:dyDescent="0.3">
      <c r="A75" s="66">
        <v>74</v>
      </c>
      <c r="B75" s="26"/>
      <c r="C75" s="26"/>
      <c r="D75" s="399"/>
      <c r="E75" s="399"/>
      <c r="F75" s="399"/>
      <c r="G75" s="399"/>
      <c r="H75" s="399"/>
      <c r="I75" s="399"/>
    </row>
    <row r="76" spans="1:9" x14ac:dyDescent="0.3">
      <c r="A76" s="66">
        <v>75</v>
      </c>
      <c r="B76" s="26"/>
      <c r="C76" s="26"/>
      <c r="D76" s="399"/>
      <c r="E76" s="399"/>
      <c r="F76" s="399"/>
      <c r="G76" s="399"/>
      <c r="H76" s="399"/>
      <c r="I76" s="399"/>
    </row>
    <row r="77" spans="1:9" x14ac:dyDescent="0.3">
      <c r="A77" s="66">
        <v>76</v>
      </c>
      <c r="B77" s="26"/>
      <c r="C77" s="26"/>
      <c r="D77" s="399"/>
      <c r="E77" s="399"/>
      <c r="F77" s="399"/>
      <c r="G77" s="399"/>
      <c r="H77" s="399"/>
      <c r="I77" s="399"/>
    </row>
    <row r="78" spans="1:9" x14ac:dyDescent="0.3">
      <c r="A78" s="66">
        <v>77</v>
      </c>
      <c r="B78" s="26"/>
      <c r="C78" s="26"/>
      <c r="D78" s="399"/>
      <c r="E78" s="399"/>
      <c r="F78" s="399"/>
      <c r="G78" s="399"/>
      <c r="H78" s="399"/>
      <c r="I78" s="399"/>
    </row>
    <row r="79" spans="1:9" x14ac:dyDescent="0.3">
      <c r="A79" s="66">
        <v>78</v>
      </c>
      <c r="B79" s="26"/>
      <c r="C79" s="26"/>
      <c r="D79" s="399"/>
      <c r="E79" s="399"/>
      <c r="F79" s="399"/>
      <c r="G79" s="399"/>
      <c r="H79" s="399"/>
      <c r="I79" s="399"/>
    </row>
    <row r="80" spans="1:9" x14ac:dyDescent="0.3">
      <c r="A80" s="66">
        <v>79</v>
      </c>
      <c r="B80" s="26"/>
      <c r="C80" s="26"/>
      <c r="D80" s="399"/>
      <c r="E80" s="399"/>
      <c r="F80" s="399"/>
      <c r="G80" s="399"/>
      <c r="H80" s="399"/>
      <c r="I80" s="399"/>
    </row>
    <row r="81" spans="1:9" x14ac:dyDescent="0.3">
      <c r="A81" s="66">
        <v>80</v>
      </c>
      <c r="B81" s="26"/>
      <c r="C81" s="26"/>
      <c r="D81" s="399"/>
      <c r="E81" s="399"/>
      <c r="F81" s="399"/>
      <c r="G81" s="399"/>
      <c r="H81" s="399"/>
      <c r="I81" s="399"/>
    </row>
    <row r="82" spans="1:9" x14ac:dyDescent="0.3">
      <c r="A82" s="66">
        <v>81</v>
      </c>
      <c r="B82" s="26"/>
      <c r="C82" s="26"/>
      <c r="D82" s="399"/>
      <c r="E82" s="399"/>
      <c r="F82" s="399"/>
      <c r="G82" s="399"/>
      <c r="H82" s="399"/>
      <c r="I82" s="399"/>
    </row>
    <row r="83" spans="1:9" x14ac:dyDescent="0.3">
      <c r="A83" s="66">
        <v>82</v>
      </c>
      <c r="B83" s="26"/>
      <c r="C83" s="26"/>
      <c r="D83" s="399"/>
      <c r="E83" s="399"/>
      <c r="F83" s="399"/>
      <c r="G83" s="399"/>
      <c r="H83" s="399"/>
      <c r="I83" s="399"/>
    </row>
    <row r="84" spans="1:9" x14ac:dyDescent="0.3">
      <c r="A84" s="66">
        <v>83</v>
      </c>
      <c r="B84" s="26"/>
      <c r="C84" s="26"/>
      <c r="D84" s="399"/>
      <c r="E84" s="399"/>
      <c r="F84" s="399"/>
      <c r="G84" s="399"/>
      <c r="H84" s="399"/>
      <c r="I84" s="399"/>
    </row>
    <row r="85" spans="1:9" x14ac:dyDescent="0.3">
      <c r="A85" s="66">
        <v>84</v>
      </c>
      <c r="B85" s="26"/>
      <c r="C85" s="26"/>
      <c r="D85" s="399"/>
      <c r="E85" s="399"/>
      <c r="F85" s="399"/>
      <c r="G85" s="399"/>
      <c r="H85" s="399"/>
      <c r="I85" s="399"/>
    </row>
    <row r="86" spans="1:9" x14ac:dyDescent="0.3">
      <c r="A86" s="66">
        <v>85</v>
      </c>
      <c r="B86" s="26"/>
      <c r="C86" s="26"/>
      <c r="D86" s="399"/>
      <c r="E86" s="399"/>
      <c r="F86" s="399"/>
      <c r="G86" s="399"/>
      <c r="H86" s="399"/>
      <c r="I86" s="399"/>
    </row>
    <row r="87" spans="1:9" x14ac:dyDescent="0.3">
      <c r="A87" s="66">
        <v>86</v>
      </c>
      <c r="B87" s="26"/>
      <c r="C87" s="26"/>
      <c r="D87" s="399"/>
      <c r="E87" s="399"/>
      <c r="F87" s="399"/>
      <c r="G87" s="399"/>
      <c r="H87" s="399"/>
      <c r="I87" s="399"/>
    </row>
    <row r="88" spans="1:9" x14ac:dyDescent="0.3">
      <c r="A88" s="66">
        <v>87</v>
      </c>
      <c r="B88" s="26"/>
      <c r="C88" s="26"/>
      <c r="D88" s="399"/>
      <c r="E88" s="399"/>
      <c r="F88" s="399"/>
      <c r="G88" s="399"/>
      <c r="H88" s="399"/>
      <c r="I88" s="399"/>
    </row>
    <row r="89" spans="1:9" x14ac:dyDescent="0.3">
      <c r="A89" s="66">
        <v>88</v>
      </c>
      <c r="B89" s="26"/>
      <c r="C89" s="26"/>
      <c r="D89" s="399"/>
      <c r="E89" s="399"/>
      <c r="F89" s="399"/>
      <c r="G89" s="399"/>
      <c r="H89" s="399"/>
      <c r="I89" s="399"/>
    </row>
    <row r="90" spans="1:9" x14ac:dyDescent="0.3">
      <c r="A90" s="66">
        <v>89</v>
      </c>
      <c r="B90" s="26"/>
      <c r="C90" s="26"/>
      <c r="D90" s="399"/>
      <c r="E90" s="399"/>
      <c r="F90" s="399"/>
      <c r="G90" s="399"/>
      <c r="H90" s="399"/>
      <c r="I90" s="399"/>
    </row>
    <row r="91" spans="1:9" x14ac:dyDescent="0.3">
      <c r="A91" s="66">
        <v>90</v>
      </c>
      <c r="B91" s="26"/>
      <c r="C91" s="26"/>
      <c r="D91" s="399"/>
      <c r="E91" s="399"/>
      <c r="F91" s="399"/>
      <c r="G91" s="399"/>
      <c r="H91" s="399"/>
      <c r="I91" s="399"/>
    </row>
    <row r="92" spans="1:9" x14ac:dyDescent="0.3">
      <c r="A92" s="66">
        <v>91</v>
      </c>
      <c r="B92" s="26"/>
      <c r="C92" s="26"/>
      <c r="D92" s="399"/>
      <c r="E92" s="399"/>
      <c r="F92" s="399"/>
      <c r="G92" s="399"/>
      <c r="H92" s="399"/>
      <c r="I92" s="399"/>
    </row>
    <row r="93" spans="1:9" x14ac:dyDescent="0.3">
      <c r="A93" s="66">
        <v>92</v>
      </c>
      <c r="B93" s="26"/>
      <c r="C93" s="26"/>
      <c r="D93" s="399"/>
      <c r="E93" s="399"/>
      <c r="F93" s="399"/>
      <c r="G93" s="399"/>
      <c r="H93" s="399"/>
      <c r="I93" s="399"/>
    </row>
    <row r="94" spans="1:9" x14ac:dyDescent="0.3">
      <c r="A94" s="66">
        <v>93</v>
      </c>
      <c r="B94" s="26"/>
      <c r="C94" s="26"/>
      <c r="D94" s="399"/>
      <c r="E94" s="399"/>
      <c r="F94" s="399"/>
      <c r="G94" s="399"/>
      <c r="H94" s="399"/>
      <c r="I94" s="399"/>
    </row>
    <row r="95" spans="1:9" x14ac:dyDescent="0.3">
      <c r="A95" s="66">
        <v>94</v>
      </c>
      <c r="B95" s="26"/>
      <c r="C95" s="26"/>
      <c r="D95" s="399"/>
      <c r="E95" s="399"/>
      <c r="F95" s="399"/>
      <c r="G95" s="399"/>
      <c r="H95" s="399"/>
      <c r="I95" s="399"/>
    </row>
    <row r="96" spans="1:9" x14ac:dyDescent="0.3">
      <c r="A96" s="66">
        <v>95</v>
      </c>
      <c r="B96" s="26"/>
      <c r="C96" s="26"/>
      <c r="D96" s="399"/>
      <c r="E96" s="399"/>
      <c r="F96" s="399"/>
      <c r="G96" s="399"/>
      <c r="H96" s="399"/>
      <c r="I96" s="399"/>
    </row>
    <row r="97" spans="1:9" x14ac:dyDescent="0.3">
      <c r="A97" s="66">
        <v>96</v>
      </c>
      <c r="B97" s="26"/>
      <c r="C97" s="26"/>
      <c r="D97" s="399"/>
      <c r="E97" s="399"/>
      <c r="F97" s="399"/>
      <c r="G97" s="399"/>
      <c r="H97" s="399"/>
      <c r="I97" s="399"/>
    </row>
    <row r="98" spans="1:9" x14ac:dyDescent="0.3">
      <c r="A98" s="66">
        <v>97</v>
      </c>
      <c r="B98" s="26"/>
      <c r="C98" s="26"/>
      <c r="D98" s="399"/>
      <c r="E98" s="399"/>
      <c r="F98" s="399"/>
      <c r="G98" s="399"/>
      <c r="H98" s="399"/>
      <c r="I98" s="399"/>
    </row>
    <row r="99" spans="1:9" x14ac:dyDescent="0.3">
      <c r="A99" s="66">
        <v>98</v>
      </c>
      <c r="B99" s="26"/>
      <c r="C99" s="26"/>
      <c r="D99" s="399"/>
      <c r="E99" s="399"/>
      <c r="F99" s="399"/>
      <c r="G99" s="399"/>
      <c r="H99" s="399"/>
      <c r="I99" s="399"/>
    </row>
    <row r="100" spans="1:9" x14ac:dyDescent="0.3">
      <c r="A100" s="66">
        <v>99</v>
      </c>
      <c r="B100" s="26"/>
      <c r="C100" s="26"/>
      <c r="D100" s="399"/>
      <c r="E100" s="399"/>
      <c r="F100" s="399"/>
      <c r="G100" s="399"/>
      <c r="H100" s="399"/>
      <c r="I100" s="399"/>
    </row>
    <row r="101" spans="1:9" x14ac:dyDescent="0.3">
      <c r="A101" s="66">
        <v>100</v>
      </c>
      <c r="B101" s="26"/>
      <c r="C101" s="26"/>
      <c r="D101" s="399"/>
      <c r="E101" s="399"/>
      <c r="F101" s="399"/>
      <c r="G101" s="399"/>
      <c r="H101" s="399"/>
      <c r="I101" s="399"/>
    </row>
  </sheetData>
  <mergeCells count="303">
    <mergeCell ref="D100:E100"/>
    <mergeCell ref="F100:G100"/>
    <mergeCell ref="H100:I100"/>
    <mergeCell ref="D101:E101"/>
    <mergeCell ref="F101:G101"/>
    <mergeCell ref="H101:I101"/>
    <mergeCell ref="D98:E98"/>
    <mergeCell ref="F98:G98"/>
    <mergeCell ref="H98:I98"/>
    <mergeCell ref="D99:E99"/>
    <mergeCell ref="F99:G99"/>
    <mergeCell ref="H99:I99"/>
    <mergeCell ref="D96:E96"/>
    <mergeCell ref="F96:G96"/>
    <mergeCell ref="H96:I96"/>
    <mergeCell ref="D97:E97"/>
    <mergeCell ref="F97:G97"/>
    <mergeCell ref="H97:I97"/>
    <mergeCell ref="D94:E94"/>
    <mergeCell ref="F94:G94"/>
    <mergeCell ref="H94:I94"/>
    <mergeCell ref="D95:E95"/>
    <mergeCell ref="F95:G95"/>
    <mergeCell ref="H95:I95"/>
    <mergeCell ref="D92:E92"/>
    <mergeCell ref="F92:G92"/>
    <mergeCell ref="H92:I92"/>
    <mergeCell ref="D93:E93"/>
    <mergeCell ref="F93:G93"/>
    <mergeCell ref="H93:I93"/>
    <mergeCell ref="D90:E90"/>
    <mergeCell ref="F90:G90"/>
    <mergeCell ref="H90:I90"/>
    <mergeCell ref="D91:E91"/>
    <mergeCell ref="F91:G91"/>
    <mergeCell ref="H91:I91"/>
    <mergeCell ref="D88:E88"/>
    <mergeCell ref="F88:G88"/>
    <mergeCell ref="H88:I88"/>
    <mergeCell ref="D89:E89"/>
    <mergeCell ref="F89:G89"/>
    <mergeCell ref="H89:I89"/>
    <mergeCell ref="D86:E86"/>
    <mergeCell ref="F86:G86"/>
    <mergeCell ref="H86:I86"/>
    <mergeCell ref="D87:E87"/>
    <mergeCell ref="F87:G87"/>
    <mergeCell ref="H87:I87"/>
    <mergeCell ref="D84:E84"/>
    <mergeCell ref="F84:G84"/>
    <mergeCell ref="H84:I84"/>
    <mergeCell ref="D85:E85"/>
    <mergeCell ref="F85:G85"/>
    <mergeCell ref="H85:I85"/>
    <mergeCell ref="D82:E82"/>
    <mergeCell ref="F82:G82"/>
    <mergeCell ref="H82:I82"/>
    <mergeCell ref="D83:E83"/>
    <mergeCell ref="F83:G83"/>
    <mergeCell ref="H83:I83"/>
    <mergeCell ref="D80:E80"/>
    <mergeCell ref="F80:G80"/>
    <mergeCell ref="H80:I80"/>
    <mergeCell ref="D81:E81"/>
    <mergeCell ref="F81:G81"/>
    <mergeCell ref="H81:I81"/>
    <mergeCell ref="D78:E78"/>
    <mergeCell ref="F78:G78"/>
    <mergeCell ref="H78:I78"/>
    <mergeCell ref="D79:E79"/>
    <mergeCell ref="F79:G79"/>
    <mergeCell ref="H79:I79"/>
    <mergeCell ref="D76:E76"/>
    <mergeCell ref="F76:G76"/>
    <mergeCell ref="H76:I76"/>
    <mergeCell ref="D77:E77"/>
    <mergeCell ref="F77:G77"/>
    <mergeCell ref="H77:I77"/>
    <mergeCell ref="D74:E74"/>
    <mergeCell ref="F74:G74"/>
    <mergeCell ref="H74:I74"/>
    <mergeCell ref="D75:E75"/>
    <mergeCell ref="F75:G75"/>
    <mergeCell ref="H75:I75"/>
    <mergeCell ref="D72:E72"/>
    <mergeCell ref="F72:G72"/>
    <mergeCell ref="H72:I72"/>
    <mergeCell ref="D73:E73"/>
    <mergeCell ref="F73:G73"/>
    <mergeCell ref="H73:I73"/>
    <mergeCell ref="D70:E70"/>
    <mergeCell ref="F70:G70"/>
    <mergeCell ref="H70:I70"/>
    <mergeCell ref="D71:E71"/>
    <mergeCell ref="F71:G71"/>
    <mergeCell ref="H71:I71"/>
    <mergeCell ref="D68:E68"/>
    <mergeCell ref="F68:G68"/>
    <mergeCell ref="H68:I68"/>
    <mergeCell ref="D69:E69"/>
    <mergeCell ref="F69:G69"/>
    <mergeCell ref="H69:I69"/>
    <mergeCell ref="D66:E66"/>
    <mergeCell ref="F66:G66"/>
    <mergeCell ref="H66:I66"/>
    <mergeCell ref="D67:E67"/>
    <mergeCell ref="F67:G67"/>
    <mergeCell ref="H67:I67"/>
    <mergeCell ref="D64:E64"/>
    <mergeCell ref="F64:G64"/>
    <mergeCell ref="H64:I64"/>
    <mergeCell ref="D65:E65"/>
    <mergeCell ref="F65:G65"/>
    <mergeCell ref="H65:I65"/>
    <mergeCell ref="D62:E62"/>
    <mergeCell ref="F62:G62"/>
    <mergeCell ref="H62:I62"/>
    <mergeCell ref="D63:E63"/>
    <mergeCell ref="F63:G63"/>
    <mergeCell ref="H63:I63"/>
    <mergeCell ref="D60:E60"/>
    <mergeCell ref="F60:G60"/>
    <mergeCell ref="H60:I60"/>
    <mergeCell ref="D61:E61"/>
    <mergeCell ref="F61:G61"/>
    <mergeCell ref="H61:I61"/>
    <mergeCell ref="D58:E58"/>
    <mergeCell ref="F58:G58"/>
    <mergeCell ref="H58:I58"/>
    <mergeCell ref="D59:E59"/>
    <mergeCell ref="F59:G59"/>
    <mergeCell ref="H59:I59"/>
    <mergeCell ref="D56:E56"/>
    <mergeCell ref="F56:G56"/>
    <mergeCell ref="H56:I56"/>
    <mergeCell ref="D57:E57"/>
    <mergeCell ref="F57:G57"/>
    <mergeCell ref="H57:I57"/>
    <mergeCell ref="D54:E54"/>
    <mergeCell ref="F54:G54"/>
    <mergeCell ref="H54:I54"/>
    <mergeCell ref="D55:E55"/>
    <mergeCell ref="F55:G55"/>
    <mergeCell ref="H55:I55"/>
    <mergeCell ref="D52:E52"/>
    <mergeCell ref="F52:G52"/>
    <mergeCell ref="H52:I52"/>
    <mergeCell ref="D53:E53"/>
    <mergeCell ref="F53:G53"/>
    <mergeCell ref="H53:I53"/>
    <mergeCell ref="D50:E50"/>
    <mergeCell ref="F50:G50"/>
    <mergeCell ref="H50:I50"/>
    <mergeCell ref="D51:E51"/>
    <mergeCell ref="F51:G51"/>
    <mergeCell ref="H51:I51"/>
    <mergeCell ref="D48:E48"/>
    <mergeCell ref="F48:G48"/>
    <mergeCell ref="H48:I48"/>
    <mergeCell ref="D49:E49"/>
    <mergeCell ref="F49:G49"/>
    <mergeCell ref="H49:I49"/>
    <mergeCell ref="D46:E46"/>
    <mergeCell ref="F46:G46"/>
    <mergeCell ref="H46:I46"/>
    <mergeCell ref="D47:E47"/>
    <mergeCell ref="F47:G47"/>
    <mergeCell ref="H47:I47"/>
    <mergeCell ref="D44:E44"/>
    <mergeCell ref="F44:G44"/>
    <mergeCell ref="H44:I44"/>
    <mergeCell ref="D45:E45"/>
    <mergeCell ref="F45:G45"/>
    <mergeCell ref="H45:I45"/>
    <mergeCell ref="D42:E42"/>
    <mergeCell ref="F42:G42"/>
    <mergeCell ref="H42:I42"/>
    <mergeCell ref="D43:E43"/>
    <mergeCell ref="F43:G43"/>
    <mergeCell ref="H43:I43"/>
    <mergeCell ref="D40:E40"/>
    <mergeCell ref="F40:G40"/>
    <mergeCell ref="H40:I40"/>
    <mergeCell ref="D41:E41"/>
    <mergeCell ref="F41:G41"/>
    <mergeCell ref="H41:I41"/>
    <mergeCell ref="D38:E38"/>
    <mergeCell ref="F38:G38"/>
    <mergeCell ref="H38:I38"/>
    <mergeCell ref="D39:E39"/>
    <mergeCell ref="F39:G39"/>
    <mergeCell ref="H39:I39"/>
    <mergeCell ref="D36:E36"/>
    <mergeCell ref="F36:G36"/>
    <mergeCell ref="H36:I36"/>
    <mergeCell ref="D37:E37"/>
    <mergeCell ref="F37:G37"/>
    <mergeCell ref="H37:I37"/>
    <mergeCell ref="D34:E34"/>
    <mergeCell ref="F34:G34"/>
    <mergeCell ref="H34:I34"/>
    <mergeCell ref="D35:E35"/>
    <mergeCell ref="F35:G35"/>
    <mergeCell ref="H35:I35"/>
    <mergeCell ref="D32:E32"/>
    <mergeCell ref="F32:G32"/>
    <mergeCell ref="H32:I32"/>
    <mergeCell ref="D33:E33"/>
    <mergeCell ref="F33:G33"/>
    <mergeCell ref="H33:I33"/>
    <mergeCell ref="D30:E30"/>
    <mergeCell ref="F30:G30"/>
    <mergeCell ref="H30:I30"/>
    <mergeCell ref="D31:E31"/>
    <mergeCell ref="F31:G31"/>
    <mergeCell ref="H31:I31"/>
    <mergeCell ref="D28:E28"/>
    <mergeCell ref="F28:G28"/>
    <mergeCell ref="H28:I28"/>
    <mergeCell ref="D29:E29"/>
    <mergeCell ref="F29:G29"/>
    <mergeCell ref="H29:I29"/>
    <mergeCell ref="D26:E26"/>
    <mergeCell ref="F26:G26"/>
    <mergeCell ref="H26:I26"/>
    <mergeCell ref="D27:E27"/>
    <mergeCell ref="F27:G27"/>
    <mergeCell ref="H27:I27"/>
    <mergeCell ref="D24:E24"/>
    <mergeCell ref="F24:G24"/>
    <mergeCell ref="H24:I24"/>
    <mergeCell ref="D25:E25"/>
    <mergeCell ref="F25:G25"/>
    <mergeCell ref="H25:I25"/>
    <mergeCell ref="D22:E22"/>
    <mergeCell ref="F22:G22"/>
    <mergeCell ref="H22:I22"/>
    <mergeCell ref="D23:E23"/>
    <mergeCell ref="F23:G23"/>
    <mergeCell ref="H23:I23"/>
    <mergeCell ref="D20:E20"/>
    <mergeCell ref="F20:G20"/>
    <mergeCell ref="H20:I20"/>
    <mergeCell ref="D21:E21"/>
    <mergeCell ref="F21:G21"/>
    <mergeCell ref="H21:I21"/>
    <mergeCell ref="D18:E18"/>
    <mergeCell ref="F18:G18"/>
    <mergeCell ref="H18:I18"/>
    <mergeCell ref="D19:E19"/>
    <mergeCell ref="F19:G19"/>
    <mergeCell ref="H19:I19"/>
    <mergeCell ref="D16:E16"/>
    <mergeCell ref="F16:G16"/>
    <mergeCell ref="H16:I16"/>
    <mergeCell ref="D17:E17"/>
    <mergeCell ref="F17:G17"/>
    <mergeCell ref="H17:I17"/>
    <mergeCell ref="D14:E14"/>
    <mergeCell ref="F14:G14"/>
    <mergeCell ref="H14:I14"/>
    <mergeCell ref="D15:E15"/>
    <mergeCell ref="F15:G15"/>
    <mergeCell ref="H15:I15"/>
    <mergeCell ref="D12:E12"/>
    <mergeCell ref="F12:G12"/>
    <mergeCell ref="H12:I12"/>
    <mergeCell ref="D13:E13"/>
    <mergeCell ref="F13:G13"/>
    <mergeCell ref="H13:I13"/>
    <mergeCell ref="D10:E10"/>
    <mergeCell ref="F10:G10"/>
    <mergeCell ref="H10:I10"/>
    <mergeCell ref="D11:E11"/>
    <mergeCell ref="F11:G11"/>
    <mergeCell ref="H11:I11"/>
    <mergeCell ref="D8:E8"/>
    <mergeCell ref="F8:G8"/>
    <mergeCell ref="H8:I8"/>
    <mergeCell ref="D9:E9"/>
    <mergeCell ref="F9:G9"/>
    <mergeCell ref="H9:I9"/>
    <mergeCell ref="D5:E5"/>
    <mergeCell ref="F5:G5"/>
    <mergeCell ref="H5:I5"/>
    <mergeCell ref="D6:E6"/>
    <mergeCell ref="F6:G6"/>
    <mergeCell ref="H6:I6"/>
    <mergeCell ref="D7:E7"/>
    <mergeCell ref="F7:G7"/>
    <mergeCell ref="H7:I7"/>
    <mergeCell ref="D3:E3"/>
    <mergeCell ref="F3:G3"/>
    <mergeCell ref="H3:I3"/>
    <mergeCell ref="D4:E4"/>
    <mergeCell ref="F4:G4"/>
    <mergeCell ref="H4:I4"/>
    <mergeCell ref="D1:E1"/>
    <mergeCell ref="F1:G1"/>
    <mergeCell ref="H1:I1"/>
    <mergeCell ref="D2:E2"/>
    <mergeCell ref="F2:G2"/>
    <mergeCell ref="H2:I2"/>
  </mergeCells>
  <phoneticPr fontId="1" type="noConversion"/>
  <pageMargins left="0.7" right="0.7" top="0.75" bottom="0.75" header="0.3" footer="0.3"/>
  <pageSetup paperSize="9" orientation="landscape" horizontalDpi="4294967293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D58E-6330-48E1-9135-EACC7D529278}">
  <dimension ref="A1:AB177"/>
  <sheetViews>
    <sheetView showGridLines="0" topLeftCell="A117" zoomScale="70" zoomScaleNormal="70" workbookViewId="0">
      <selection activeCell="O137" sqref="O137"/>
    </sheetView>
  </sheetViews>
  <sheetFormatPr defaultRowHeight="16.5" x14ac:dyDescent="0.3"/>
  <cols>
    <col min="1" max="1" width="5" style="80" customWidth="1"/>
    <col min="2" max="2" width="12.375" customWidth="1"/>
    <col min="3" max="3" width="17.375" customWidth="1"/>
    <col min="4" max="4" width="21.125" style="71" customWidth="1"/>
    <col min="5" max="5" width="25.5" style="21" customWidth="1"/>
    <col min="6" max="7" width="14.875" style="71" customWidth="1"/>
    <col min="8" max="8" width="11.5" style="21" customWidth="1"/>
    <col min="9" max="9" width="16.125" customWidth="1"/>
    <col min="10" max="10" width="9.875" customWidth="1"/>
    <col min="11" max="11" width="15" customWidth="1"/>
    <col min="12" max="12" width="10.875" bestFit="1" customWidth="1"/>
    <col min="13" max="13" width="7.75" customWidth="1"/>
    <col min="14" max="14" width="0.875" customWidth="1"/>
    <col min="15" max="17" width="8.625" customWidth="1"/>
    <col min="18" max="18" width="15.5" customWidth="1"/>
    <col min="19" max="19" width="10" customWidth="1"/>
    <col min="20" max="20" width="12.125" customWidth="1"/>
    <col min="21" max="21" width="13.625" customWidth="1"/>
    <col min="22" max="22" width="12.875" customWidth="1"/>
    <col min="23" max="23" width="11.375" customWidth="1"/>
    <col min="24" max="24" width="12.125" customWidth="1"/>
    <col min="25" max="25" width="11" customWidth="1"/>
    <col min="26" max="26" width="12.125" customWidth="1"/>
    <col min="27" max="27" width="12.875" customWidth="1"/>
    <col min="28" max="28" width="18.125" customWidth="1"/>
  </cols>
  <sheetData>
    <row r="1" spans="1:28" s="311" customFormat="1" ht="40.5" customHeight="1" thickBot="1" x14ac:dyDescent="0.35">
      <c r="A1" s="77"/>
      <c r="B1" s="327" t="s">
        <v>1</v>
      </c>
      <c r="C1" s="347" t="s">
        <v>2909</v>
      </c>
      <c r="D1" s="289" t="s">
        <v>2908</v>
      </c>
      <c r="E1" s="289" t="s">
        <v>911</v>
      </c>
      <c r="F1" s="289" t="s">
        <v>3414</v>
      </c>
      <c r="G1" s="289" t="s">
        <v>3415</v>
      </c>
      <c r="H1" s="289" t="s">
        <v>1819</v>
      </c>
      <c r="I1" s="289" t="s">
        <v>3301</v>
      </c>
      <c r="J1" s="289" t="s">
        <v>3328</v>
      </c>
      <c r="K1" s="289" t="s">
        <v>3416</v>
      </c>
      <c r="L1" s="289" t="s">
        <v>3302</v>
      </c>
      <c r="M1" s="289" t="s">
        <v>3403</v>
      </c>
      <c r="N1" s="239"/>
      <c r="O1" s="559" t="s">
        <v>3404</v>
      </c>
      <c r="P1" s="560"/>
      <c r="Q1" s="561"/>
      <c r="R1" s="367" t="s">
        <v>3745</v>
      </c>
      <c r="S1" s="325" t="s">
        <v>3528</v>
      </c>
      <c r="T1" s="328" t="s">
        <v>3420</v>
      </c>
      <c r="U1" s="329" t="s">
        <v>3421</v>
      </c>
      <c r="V1" s="330" t="s">
        <v>3420</v>
      </c>
      <c r="W1" s="373" t="s">
        <v>3738</v>
      </c>
      <c r="X1" s="374" t="s">
        <v>3739</v>
      </c>
      <c r="Y1" s="374" t="s">
        <v>3741</v>
      </c>
      <c r="Z1" s="375" t="s">
        <v>3740</v>
      </c>
      <c r="AA1" s="376" t="s">
        <v>3739</v>
      </c>
      <c r="AB1" s="330" t="s">
        <v>3741</v>
      </c>
    </row>
    <row r="2" spans="1:28" ht="17.25" thickBot="1" x14ac:dyDescent="0.35">
      <c r="A2" s="380">
        <v>1</v>
      </c>
      <c r="B2" s="348"/>
      <c r="C2" s="345"/>
      <c r="D2" s="346"/>
      <c r="E2" s="346"/>
      <c r="F2" s="349"/>
      <c r="G2" s="351"/>
      <c r="H2" s="350"/>
      <c r="I2" s="346"/>
      <c r="J2" s="349"/>
      <c r="K2" s="351"/>
      <c r="L2" s="352"/>
      <c r="M2" s="351"/>
      <c r="N2" s="356"/>
      <c r="O2" s="369" t="s">
        <v>3742</v>
      </c>
      <c r="P2" s="369" t="s">
        <v>3736</v>
      </c>
      <c r="Q2" s="369" t="s">
        <v>3743</v>
      </c>
      <c r="R2" s="372" t="s">
        <v>3744</v>
      </c>
      <c r="S2" s="368"/>
      <c r="T2" s="328"/>
      <c r="U2" s="329"/>
      <c r="V2" s="330"/>
      <c r="W2" s="377"/>
      <c r="X2" s="377"/>
      <c r="Y2" s="377"/>
      <c r="Z2" s="378"/>
      <c r="AA2" s="378"/>
      <c r="AB2" s="378"/>
    </row>
    <row r="3" spans="1:28" x14ac:dyDescent="0.3">
      <c r="A3" s="381">
        <v>2</v>
      </c>
      <c r="B3" s="105">
        <v>12630</v>
      </c>
      <c r="C3" s="94">
        <v>46023</v>
      </c>
      <c r="D3" s="83" t="s">
        <v>3291</v>
      </c>
      <c r="E3" s="84" t="s">
        <v>456</v>
      </c>
      <c r="F3" s="83" t="s">
        <v>3436</v>
      </c>
      <c r="G3" s="119" t="s">
        <v>3406</v>
      </c>
      <c r="H3" s="137" t="s">
        <v>3408</v>
      </c>
      <c r="I3" s="81" t="s">
        <v>3438</v>
      </c>
      <c r="J3" s="81" t="s">
        <v>3449</v>
      </c>
      <c r="K3" s="81" t="s">
        <v>3600</v>
      </c>
      <c r="L3" s="85">
        <v>38000</v>
      </c>
      <c r="M3" s="91" t="s">
        <v>3413</v>
      </c>
      <c r="N3" s="240"/>
      <c r="O3" s="82" t="s">
        <v>3552</v>
      </c>
      <c r="P3" s="82"/>
      <c r="Q3" s="81"/>
      <c r="R3" s="320"/>
      <c r="S3" s="320"/>
      <c r="T3" s="320"/>
      <c r="U3" s="320"/>
      <c r="V3" s="6"/>
      <c r="W3" s="370"/>
      <c r="X3" s="370"/>
      <c r="Y3" s="370"/>
      <c r="Z3" s="370"/>
      <c r="AA3" s="370"/>
      <c r="AB3" s="370"/>
    </row>
    <row r="4" spans="1:28" x14ac:dyDescent="0.3">
      <c r="A4" s="381">
        <v>3</v>
      </c>
      <c r="B4" s="105">
        <v>12631</v>
      </c>
      <c r="C4" s="94">
        <v>46023</v>
      </c>
      <c r="D4" s="86" t="s">
        <v>3292</v>
      </c>
      <c r="E4" s="87" t="s">
        <v>551</v>
      </c>
      <c r="F4" s="83" t="s">
        <v>3460</v>
      </c>
      <c r="G4" s="119" t="s">
        <v>3461</v>
      </c>
      <c r="H4" s="84" t="s">
        <v>3408</v>
      </c>
      <c r="I4" s="81" t="s">
        <v>3438</v>
      </c>
      <c r="J4" s="81" t="s">
        <v>3451</v>
      </c>
      <c r="K4" s="81" t="s">
        <v>3601</v>
      </c>
      <c r="L4" s="85">
        <v>58000</v>
      </c>
      <c r="M4" s="91" t="s">
        <v>3413</v>
      </c>
      <c r="N4" s="240"/>
      <c r="O4" s="85" t="s">
        <v>3552</v>
      </c>
      <c r="P4" s="82"/>
      <c r="Q4" s="81"/>
      <c r="R4" s="320"/>
      <c r="S4" s="321"/>
      <c r="T4" s="321"/>
      <c r="U4" s="321"/>
      <c r="V4" s="4"/>
      <c r="W4" s="305"/>
      <c r="X4" s="305"/>
      <c r="Y4" s="305"/>
      <c r="Z4" s="305"/>
      <c r="AA4" s="306"/>
      <c r="AB4" s="305"/>
    </row>
    <row r="5" spans="1:28" x14ac:dyDescent="0.3">
      <c r="A5" s="381">
        <v>4</v>
      </c>
      <c r="B5" s="105">
        <v>12632</v>
      </c>
      <c r="C5" s="94">
        <v>46023</v>
      </c>
      <c r="D5" s="86" t="s">
        <v>3289</v>
      </c>
      <c r="E5" s="87" t="s">
        <v>3290</v>
      </c>
      <c r="F5" s="83" t="s">
        <v>3462</v>
      </c>
      <c r="G5" s="119" t="s">
        <v>3406</v>
      </c>
      <c r="H5" s="84" t="s">
        <v>3407</v>
      </c>
      <c r="I5" s="81" t="s">
        <v>3439</v>
      </c>
      <c r="J5" s="81" t="s">
        <v>3448</v>
      </c>
      <c r="K5" s="81" t="s">
        <v>3601</v>
      </c>
      <c r="L5" s="85">
        <v>257000</v>
      </c>
      <c r="M5" s="91" t="s">
        <v>3413</v>
      </c>
      <c r="N5" s="240"/>
      <c r="O5" s="85" t="s">
        <v>3552</v>
      </c>
      <c r="P5" s="82"/>
      <c r="Q5" s="81"/>
      <c r="R5" s="320"/>
      <c r="S5" s="321"/>
      <c r="T5" s="321"/>
      <c r="U5" s="321"/>
      <c r="V5" s="4"/>
      <c r="W5" s="305"/>
      <c r="X5" s="305"/>
      <c r="Y5" s="305"/>
      <c r="Z5" s="305"/>
      <c r="AA5" s="306"/>
      <c r="AB5" s="305"/>
    </row>
    <row r="6" spans="1:28" x14ac:dyDescent="0.3">
      <c r="A6" s="381">
        <v>5</v>
      </c>
      <c r="B6" s="105">
        <v>12633</v>
      </c>
      <c r="C6" s="271">
        <v>46023</v>
      </c>
      <c r="D6" s="278" t="s">
        <v>3287</v>
      </c>
      <c r="E6" s="277" t="s">
        <v>3288</v>
      </c>
      <c r="F6" s="272" t="s">
        <v>3462</v>
      </c>
      <c r="G6" s="274" t="s">
        <v>3406</v>
      </c>
      <c r="H6" s="273" t="s">
        <v>3408</v>
      </c>
      <c r="I6" s="275" t="s">
        <v>3440</v>
      </c>
      <c r="J6" s="275" t="s">
        <v>3449</v>
      </c>
      <c r="K6" s="275" t="s">
        <v>3601</v>
      </c>
      <c r="L6" s="276">
        <v>234500</v>
      </c>
      <c r="M6" s="91" t="s">
        <v>3413</v>
      </c>
      <c r="N6" s="240"/>
      <c r="O6" s="85" t="s">
        <v>3552</v>
      </c>
      <c r="P6" s="82"/>
      <c r="Q6" s="81"/>
      <c r="R6" s="320"/>
      <c r="S6" s="321"/>
      <c r="T6" s="321"/>
      <c r="U6" s="321"/>
      <c r="V6" s="4"/>
      <c r="W6" s="305"/>
      <c r="X6" s="305"/>
      <c r="Y6" s="305"/>
      <c r="Z6" s="305"/>
      <c r="AA6" s="306"/>
      <c r="AB6" s="305"/>
    </row>
    <row r="7" spans="1:28" x14ac:dyDescent="0.3">
      <c r="A7" s="381">
        <v>6</v>
      </c>
      <c r="B7" s="105">
        <v>12634</v>
      </c>
      <c r="C7" s="94">
        <v>46024</v>
      </c>
      <c r="D7" s="83" t="s">
        <v>1443</v>
      </c>
      <c r="E7" s="84" t="s">
        <v>3294</v>
      </c>
      <c r="F7" s="83" t="s">
        <v>3462</v>
      </c>
      <c r="G7" s="119" t="s">
        <v>3406</v>
      </c>
      <c r="H7" s="84" t="s">
        <v>3407</v>
      </c>
      <c r="I7" s="81" t="s">
        <v>3441</v>
      </c>
      <c r="J7" s="81" t="s">
        <v>3448</v>
      </c>
      <c r="K7" s="81" t="s">
        <v>3601</v>
      </c>
      <c r="L7" s="85">
        <v>11000</v>
      </c>
      <c r="M7" s="91" t="s">
        <v>3413</v>
      </c>
      <c r="N7" s="240"/>
      <c r="O7" s="85" t="s">
        <v>3552</v>
      </c>
      <c r="P7" s="82"/>
      <c r="Q7" s="81"/>
      <c r="R7" s="320"/>
      <c r="S7" s="321"/>
      <c r="T7" s="321"/>
      <c r="U7" s="321"/>
      <c r="V7" s="4"/>
      <c r="W7" s="305"/>
      <c r="X7" s="305"/>
      <c r="Y7" s="305"/>
      <c r="Z7" s="305"/>
      <c r="AA7" s="306"/>
      <c r="AB7" s="305"/>
    </row>
    <row r="8" spans="1:28" x14ac:dyDescent="0.3">
      <c r="A8" s="381">
        <v>7</v>
      </c>
      <c r="B8" s="105">
        <v>12635</v>
      </c>
      <c r="C8" s="94">
        <v>46024</v>
      </c>
      <c r="D8" s="83" t="s">
        <v>3293</v>
      </c>
      <c r="E8" s="84" t="s">
        <v>409</v>
      </c>
      <c r="F8" s="83" t="s">
        <v>3462</v>
      </c>
      <c r="G8" s="119" t="s">
        <v>3406</v>
      </c>
      <c r="H8" s="84" t="s">
        <v>3408</v>
      </c>
      <c r="I8" s="81" t="s">
        <v>3440</v>
      </c>
      <c r="J8" s="81" t="s">
        <v>3452</v>
      </c>
      <c r="K8" s="81" t="s">
        <v>3601</v>
      </c>
      <c r="L8" s="85">
        <v>127050</v>
      </c>
      <c r="M8" s="91" t="s">
        <v>3413</v>
      </c>
      <c r="N8" s="240"/>
      <c r="O8" s="85" t="s">
        <v>3552</v>
      </c>
      <c r="P8" s="82"/>
      <c r="Q8" s="81"/>
      <c r="R8" s="320"/>
      <c r="S8" s="321"/>
      <c r="T8" s="321"/>
      <c r="U8" s="321"/>
      <c r="V8" s="4"/>
      <c r="W8" s="305"/>
      <c r="X8" s="305"/>
      <c r="Y8" s="305"/>
      <c r="Z8" s="305"/>
      <c r="AA8" s="306"/>
      <c r="AB8" s="305"/>
    </row>
    <row r="9" spans="1:28" x14ac:dyDescent="0.3">
      <c r="A9" s="381">
        <v>8</v>
      </c>
      <c r="B9" s="105">
        <v>12636</v>
      </c>
      <c r="C9" s="94">
        <v>46025</v>
      </c>
      <c r="D9" s="83" t="s">
        <v>3295</v>
      </c>
      <c r="E9" s="84" t="s">
        <v>3296</v>
      </c>
      <c r="F9" s="83" t="s">
        <v>3462</v>
      </c>
      <c r="G9" s="119" t="s">
        <v>3406</v>
      </c>
      <c r="H9" s="84" t="s">
        <v>3408</v>
      </c>
      <c r="I9" s="81" t="s">
        <v>3440</v>
      </c>
      <c r="J9" s="81" t="s">
        <v>3448</v>
      </c>
      <c r="K9" s="81" t="s">
        <v>3601</v>
      </c>
      <c r="L9" s="85">
        <v>93500</v>
      </c>
      <c r="M9" s="91" t="s">
        <v>3413</v>
      </c>
      <c r="N9" s="240"/>
      <c r="O9" s="85" t="s">
        <v>3552</v>
      </c>
      <c r="P9" s="82"/>
      <c r="Q9" s="81"/>
      <c r="R9" s="320"/>
      <c r="S9" s="321"/>
      <c r="T9" s="321"/>
      <c r="U9" s="321"/>
      <c r="V9" s="4"/>
      <c r="W9" s="305"/>
      <c r="X9" s="305"/>
      <c r="Y9" s="305"/>
      <c r="Z9" s="305"/>
      <c r="AA9" s="306"/>
      <c r="AB9" s="305"/>
    </row>
    <row r="10" spans="1:28" x14ac:dyDescent="0.3">
      <c r="A10" s="381">
        <v>9</v>
      </c>
      <c r="B10" s="105">
        <v>12637</v>
      </c>
      <c r="C10" s="94">
        <v>46025</v>
      </c>
      <c r="D10" s="83" t="s">
        <v>3297</v>
      </c>
      <c r="E10" s="84" t="s">
        <v>2060</v>
      </c>
      <c r="F10" s="83" t="s">
        <v>3462</v>
      </c>
      <c r="G10" s="119" t="s">
        <v>3406</v>
      </c>
      <c r="H10" s="84" t="s">
        <v>3409</v>
      </c>
      <c r="I10" s="81" t="s">
        <v>3442</v>
      </c>
      <c r="J10" s="81" t="s">
        <v>3453</v>
      </c>
      <c r="K10" s="81" t="s">
        <v>3601</v>
      </c>
      <c r="L10" s="85">
        <v>82050</v>
      </c>
      <c r="M10" s="91" t="s">
        <v>3413</v>
      </c>
      <c r="N10" s="240"/>
      <c r="O10" s="85" t="s">
        <v>3552</v>
      </c>
      <c r="P10" s="82"/>
      <c r="Q10" s="81"/>
      <c r="R10" s="320"/>
      <c r="S10" s="321"/>
      <c r="T10" s="321"/>
      <c r="U10" s="321"/>
      <c r="V10" s="4"/>
      <c r="W10" s="305"/>
      <c r="X10" s="305"/>
      <c r="Y10" s="305"/>
      <c r="Z10" s="305"/>
      <c r="AA10" s="306"/>
      <c r="AB10" s="305"/>
    </row>
    <row r="11" spans="1:28" x14ac:dyDescent="0.3">
      <c r="A11" s="381">
        <v>10</v>
      </c>
      <c r="B11" s="105">
        <v>12638</v>
      </c>
      <c r="C11" s="94">
        <v>46025</v>
      </c>
      <c r="D11" s="83" t="s">
        <v>1774</v>
      </c>
      <c r="E11" s="84" t="s">
        <v>838</v>
      </c>
      <c r="F11" s="83" t="s">
        <v>3459</v>
      </c>
      <c r="G11" s="119" t="s">
        <v>3406</v>
      </c>
      <c r="H11" s="84" t="s">
        <v>3408</v>
      </c>
      <c r="I11" s="81" t="s">
        <v>3443</v>
      </c>
      <c r="J11" s="81" t="s">
        <v>3448</v>
      </c>
      <c r="K11" s="81" t="s">
        <v>3601</v>
      </c>
      <c r="L11" s="85">
        <v>592800</v>
      </c>
      <c r="M11" s="91" t="s">
        <v>3413</v>
      </c>
      <c r="N11" s="240"/>
      <c r="O11" s="85" t="s">
        <v>3552</v>
      </c>
      <c r="P11" s="82"/>
      <c r="Q11" s="81"/>
      <c r="R11" s="320"/>
      <c r="S11" s="321"/>
      <c r="T11" s="321"/>
      <c r="U11" s="321"/>
      <c r="V11" s="4"/>
      <c r="W11" s="305"/>
      <c r="X11" s="305"/>
      <c r="Y11" s="305"/>
      <c r="Z11" s="305"/>
      <c r="AA11" s="306"/>
      <c r="AB11" s="305"/>
    </row>
    <row r="12" spans="1:28" x14ac:dyDescent="0.3">
      <c r="A12" s="381">
        <v>11</v>
      </c>
      <c r="B12" s="105">
        <v>12641</v>
      </c>
      <c r="C12" s="94">
        <v>46025</v>
      </c>
      <c r="D12" s="83" t="s">
        <v>3298</v>
      </c>
      <c r="E12" s="84" t="s">
        <v>184</v>
      </c>
      <c r="F12" s="83" t="s">
        <v>3462</v>
      </c>
      <c r="G12" s="119" t="s">
        <v>3406</v>
      </c>
      <c r="H12" s="84" t="s">
        <v>3410</v>
      </c>
      <c r="I12" s="81" t="s">
        <v>3444</v>
      </c>
      <c r="J12" s="81" t="s">
        <v>3448</v>
      </c>
      <c r="K12" s="81" t="s">
        <v>3601</v>
      </c>
      <c r="L12" s="85">
        <v>79400</v>
      </c>
      <c r="M12" s="91" t="s">
        <v>3413</v>
      </c>
      <c r="N12" s="240"/>
      <c r="O12" s="85" t="s">
        <v>3552</v>
      </c>
      <c r="P12" s="82"/>
      <c r="Q12" s="81"/>
      <c r="R12" s="320"/>
      <c r="S12" s="321"/>
      <c r="T12" s="321"/>
      <c r="U12" s="321"/>
      <c r="V12" s="4"/>
      <c r="W12" s="305"/>
      <c r="X12" s="305"/>
      <c r="Y12" s="305"/>
      <c r="Z12" s="305"/>
      <c r="AA12" s="306"/>
      <c r="AB12" s="305"/>
    </row>
    <row r="13" spans="1:28" x14ac:dyDescent="0.3">
      <c r="A13" s="381">
        <v>12</v>
      </c>
      <c r="B13" s="105">
        <v>12642</v>
      </c>
      <c r="C13" s="271">
        <v>46025</v>
      </c>
      <c r="D13" s="272" t="s">
        <v>3299</v>
      </c>
      <c r="E13" s="273" t="s">
        <v>3300</v>
      </c>
      <c r="F13" s="272" t="s">
        <v>3462</v>
      </c>
      <c r="G13" s="274" t="s">
        <v>3406</v>
      </c>
      <c r="H13" s="273" t="s">
        <v>3408</v>
      </c>
      <c r="I13" s="275" t="s">
        <v>3440</v>
      </c>
      <c r="J13" s="275" t="s">
        <v>3449</v>
      </c>
      <c r="K13" s="275" t="s">
        <v>3601</v>
      </c>
      <c r="L13" s="276">
        <v>417000</v>
      </c>
      <c r="M13" s="91" t="s">
        <v>3413</v>
      </c>
      <c r="N13" s="240"/>
      <c r="O13" s="85" t="s">
        <v>3552</v>
      </c>
      <c r="P13" s="82"/>
      <c r="Q13" s="81"/>
      <c r="R13" s="320"/>
      <c r="S13" s="321"/>
      <c r="T13" s="321"/>
      <c r="U13" s="321"/>
      <c r="V13" s="4"/>
      <c r="W13" s="305"/>
      <c r="X13" s="305"/>
      <c r="Y13" s="305"/>
      <c r="Z13" s="305"/>
      <c r="AA13" s="306"/>
      <c r="AB13" s="305"/>
    </row>
    <row r="14" spans="1:28" x14ac:dyDescent="0.3">
      <c r="A14" s="381">
        <v>13</v>
      </c>
      <c r="B14" s="105">
        <v>12643</v>
      </c>
      <c r="C14" s="94">
        <v>46025</v>
      </c>
      <c r="D14" s="83" t="s">
        <v>3303</v>
      </c>
      <c r="E14" s="84" t="s">
        <v>3304</v>
      </c>
      <c r="F14" s="83" t="s">
        <v>3462</v>
      </c>
      <c r="G14" s="119" t="s">
        <v>3406</v>
      </c>
      <c r="H14" s="84" t="s">
        <v>3408</v>
      </c>
      <c r="I14" s="81" t="s">
        <v>3444</v>
      </c>
      <c r="J14" s="81" t="s">
        <v>3452</v>
      </c>
      <c r="K14" s="81" t="s">
        <v>3601</v>
      </c>
      <c r="L14" s="85">
        <v>28500</v>
      </c>
      <c r="M14" s="91" t="s">
        <v>3413</v>
      </c>
      <c r="N14" s="240"/>
      <c r="O14" s="85" t="s">
        <v>3552</v>
      </c>
      <c r="P14" s="82"/>
      <c r="Q14" s="81"/>
      <c r="R14" s="320"/>
      <c r="S14" s="321"/>
      <c r="T14" s="321"/>
      <c r="U14" s="321"/>
      <c r="V14" s="4"/>
      <c r="W14" s="305"/>
      <c r="X14" s="305"/>
      <c r="Y14" s="305"/>
      <c r="Z14" s="305"/>
      <c r="AA14" s="306"/>
      <c r="AB14" s="305"/>
    </row>
    <row r="15" spans="1:28" x14ac:dyDescent="0.3">
      <c r="A15" s="381">
        <v>14</v>
      </c>
      <c r="B15" s="105">
        <v>12644</v>
      </c>
      <c r="C15" s="94">
        <v>46026</v>
      </c>
      <c r="D15" s="83" t="s">
        <v>3306</v>
      </c>
      <c r="E15" s="84" t="s">
        <v>3307</v>
      </c>
      <c r="F15" s="83" t="s">
        <v>3462</v>
      </c>
      <c r="G15" s="119" t="s">
        <v>3406</v>
      </c>
      <c r="H15" s="84" t="s">
        <v>3409</v>
      </c>
      <c r="I15" s="81" t="s">
        <v>3440</v>
      </c>
      <c r="J15" s="81" t="s">
        <v>3448</v>
      </c>
      <c r="K15" s="81" t="s">
        <v>3601</v>
      </c>
      <c r="L15" s="85">
        <v>23500</v>
      </c>
      <c r="M15" s="91" t="s">
        <v>3413</v>
      </c>
      <c r="N15" s="240"/>
      <c r="O15" s="85" t="s">
        <v>3552</v>
      </c>
      <c r="P15" s="82"/>
      <c r="Q15" s="81"/>
      <c r="R15" s="320"/>
      <c r="S15" s="321"/>
      <c r="T15" s="321"/>
      <c r="U15" s="321"/>
      <c r="V15" s="4"/>
      <c r="W15" s="305"/>
      <c r="X15" s="305"/>
      <c r="Y15" s="305"/>
      <c r="Z15" s="305"/>
      <c r="AA15" s="305"/>
      <c r="AB15" s="305"/>
    </row>
    <row r="16" spans="1:28" x14ac:dyDescent="0.3">
      <c r="A16" s="381">
        <v>15</v>
      </c>
      <c r="B16" s="105">
        <v>12645</v>
      </c>
      <c r="C16" s="94">
        <v>46026</v>
      </c>
      <c r="D16" s="83" t="s">
        <v>3309</v>
      </c>
      <c r="E16" s="84" t="s">
        <v>3310</v>
      </c>
      <c r="F16" s="83" t="s">
        <v>3462</v>
      </c>
      <c r="G16" s="119" t="s">
        <v>3406</v>
      </c>
      <c r="H16" s="84" t="s">
        <v>3408</v>
      </c>
      <c r="I16" s="81" t="s">
        <v>3440</v>
      </c>
      <c r="J16" s="81" t="s">
        <v>3448</v>
      </c>
      <c r="K16" s="81" t="s">
        <v>3601</v>
      </c>
      <c r="L16" s="85">
        <v>324000</v>
      </c>
      <c r="M16" s="91" t="s">
        <v>3413</v>
      </c>
      <c r="N16" s="240"/>
      <c r="O16" s="85" t="s">
        <v>3552</v>
      </c>
      <c r="P16" s="82"/>
      <c r="Q16" s="81"/>
      <c r="R16" s="320"/>
      <c r="S16" s="321"/>
      <c r="T16" s="321"/>
      <c r="U16" s="321"/>
      <c r="V16" s="4"/>
      <c r="W16" s="305"/>
      <c r="X16" s="305"/>
      <c r="Y16" s="305"/>
      <c r="Z16" s="305"/>
      <c r="AA16" s="305"/>
      <c r="AB16" s="307"/>
    </row>
    <row r="17" spans="1:28" x14ac:dyDescent="0.3">
      <c r="A17" s="381">
        <v>16</v>
      </c>
      <c r="B17" s="105">
        <v>12647</v>
      </c>
      <c r="C17" s="94">
        <v>46027</v>
      </c>
      <c r="D17" s="83" t="s">
        <v>3311</v>
      </c>
      <c r="E17" s="84" t="s">
        <v>3312</v>
      </c>
      <c r="F17" s="83" t="s">
        <v>3462</v>
      </c>
      <c r="G17" s="119" t="s">
        <v>3406</v>
      </c>
      <c r="H17" s="84" t="s">
        <v>3410</v>
      </c>
      <c r="I17" s="81" t="s">
        <v>3444</v>
      </c>
      <c r="J17" s="81" t="s">
        <v>3449</v>
      </c>
      <c r="K17" s="81" t="s">
        <v>3601</v>
      </c>
      <c r="L17" s="85">
        <v>26000</v>
      </c>
      <c r="M17" s="91" t="s">
        <v>3413</v>
      </c>
      <c r="N17" s="240"/>
      <c r="O17" s="85" t="s">
        <v>3552</v>
      </c>
      <c r="P17" s="82"/>
      <c r="Q17" s="81"/>
      <c r="R17" s="320"/>
      <c r="S17" s="321"/>
      <c r="T17" s="321"/>
      <c r="U17" s="321"/>
      <c r="V17" s="4"/>
      <c r="W17" s="305"/>
      <c r="X17" s="305"/>
      <c r="Y17" s="305"/>
      <c r="Z17" s="305"/>
      <c r="AA17" s="305"/>
      <c r="AB17" s="306"/>
    </row>
    <row r="18" spans="1:28" x14ac:dyDescent="0.3">
      <c r="A18" s="381">
        <v>17</v>
      </c>
      <c r="B18" s="105">
        <v>12648</v>
      </c>
      <c r="C18" s="94">
        <v>46027</v>
      </c>
      <c r="D18" s="83" t="s">
        <v>3313</v>
      </c>
      <c r="E18" s="84" t="s">
        <v>3313</v>
      </c>
      <c r="F18" s="83" t="s">
        <v>3462</v>
      </c>
      <c r="G18" s="119" t="s">
        <v>3406</v>
      </c>
      <c r="H18" s="84" t="s">
        <v>3410</v>
      </c>
      <c r="I18" s="81" t="s">
        <v>3438</v>
      </c>
      <c r="J18" s="81" t="s">
        <v>3454</v>
      </c>
      <c r="K18" s="81" t="s">
        <v>3601</v>
      </c>
      <c r="L18" s="85" t="s">
        <v>3315</v>
      </c>
      <c r="M18" s="91" t="s">
        <v>3413</v>
      </c>
      <c r="N18" s="240"/>
      <c r="O18" s="85" t="s">
        <v>3552</v>
      </c>
      <c r="P18" s="82"/>
      <c r="Q18" s="81"/>
      <c r="R18" s="320"/>
      <c r="S18" s="321"/>
      <c r="T18" s="321"/>
      <c r="U18" s="321"/>
      <c r="V18" s="4"/>
      <c r="W18" s="305"/>
      <c r="X18" s="305"/>
      <c r="Y18" s="305"/>
      <c r="Z18" s="305"/>
      <c r="AA18" s="305"/>
      <c r="AB18" s="306"/>
    </row>
    <row r="19" spans="1:28" x14ac:dyDescent="0.3">
      <c r="A19" s="381">
        <v>18</v>
      </c>
      <c r="B19" s="105">
        <v>12639</v>
      </c>
      <c r="C19" s="94">
        <v>46028</v>
      </c>
      <c r="D19" s="83" t="s">
        <v>3316</v>
      </c>
      <c r="E19" s="84" t="s">
        <v>3317</v>
      </c>
      <c r="F19" s="83" t="s">
        <v>3462</v>
      </c>
      <c r="G19" s="119" t="s">
        <v>3406</v>
      </c>
      <c r="H19" s="84" t="s">
        <v>3409</v>
      </c>
      <c r="I19" s="81" t="s">
        <v>3438</v>
      </c>
      <c r="J19" s="81" t="s">
        <v>3455</v>
      </c>
      <c r="K19" s="81" t="s">
        <v>3417</v>
      </c>
      <c r="L19" s="85">
        <v>200500</v>
      </c>
      <c r="M19" s="91" t="s">
        <v>3413</v>
      </c>
      <c r="N19" s="240"/>
      <c r="O19" s="85" t="s">
        <v>3412</v>
      </c>
      <c r="P19" s="82"/>
      <c r="Q19" s="136">
        <v>46049</v>
      </c>
      <c r="R19" s="320"/>
      <c r="S19" s="321"/>
      <c r="T19" s="321"/>
      <c r="U19" s="321"/>
      <c r="V19" s="4"/>
      <c r="W19" s="305"/>
      <c r="X19" s="305"/>
      <c r="Y19" s="305"/>
      <c r="Z19" s="305"/>
      <c r="AA19" s="305"/>
      <c r="AB19" s="306"/>
    </row>
    <row r="20" spans="1:28" x14ac:dyDescent="0.3">
      <c r="A20" s="381">
        <v>19</v>
      </c>
      <c r="B20" s="105">
        <v>12651</v>
      </c>
      <c r="C20" s="271">
        <v>46030</v>
      </c>
      <c r="D20" s="272" t="s">
        <v>3326</v>
      </c>
      <c r="E20" s="273" t="s">
        <v>3327</v>
      </c>
      <c r="F20" s="272" t="s">
        <v>3462</v>
      </c>
      <c r="G20" s="274" t="s">
        <v>3406</v>
      </c>
      <c r="H20" s="273" t="s">
        <v>3408</v>
      </c>
      <c r="I20" s="275" t="s">
        <v>3442</v>
      </c>
      <c r="J20" s="275" t="s">
        <v>3454</v>
      </c>
      <c r="K20" s="275" t="s">
        <v>3601</v>
      </c>
      <c r="L20" s="276">
        <v>107000</v>
      </c>
      <c r="M20" s="91" t="s">
        <v>3413</v>
      </c>
      <c r="N20" s="240"/>
      <c r="O20" s="85" t="s">
        <v>3552</v>
      </c>
      <c r="P20" s="82"/>
      <c r="Q20" s="81"/>
      <c r="R20" s="320"/>
      <c r="S20" s="321"/>
      <c r="T20" s="321"/>
      <c r="U20" s="321"/>
      <c r="V20" s="4"/>
      <c r="W20" s="305"/>
      <c r="X20" s="305"/>
      <c r="Y20" s="305"/>
      <c r="Z20" s="305"/>
      <c r="AA20" s="305"/>
      <c r="AB20" s="306"/>
    </row>
    <row r="21" spans="1:28" x14ac:dyDescent="0.3">
      <c r="A21" s="381">
        <v>20</v>
      </c>
      <c r="B21" s="105">
        <v>12652</v>
      </c>
      <c r="C21" s="94">
        <v>46032</v>
      </c>
      <c r="D21" s="83" t="s">
        <v>3341</v>
      </c>
      <c r="E21" s="84" t="s">
        <v>3342</v>
      </c>
      <c r="F21" s="83" t="s">
        <v>3462</v>
      </c>
      <c r="G21" s="119" t="s">
        <v>3406</v>
      </c>
      <c r="H21" s="84" t="s">
        <v>3407</v>
      </c>
      <c r="I21" s="81" t="s">
        <v>3445</v>
      </c>
      <c r="J21" s="81" t="s">
        <v>3448</v>
      </c>
      <c r="K21" s="81" t="s">
        <v>3601</v>
      </c>
      <c r="L21" s="85">
        <v>50000</v>
      </c>
      <c r="M21" s="91" t="s">
        <v>3413</v>
      </c>
      <c r="N21" s="240"/>
      <c r="O21" s="85" t="s">
        <v>3552</v>
      </c>
      <c r="P21" s="82"/>
      <c r="Q21" s="81"/>
      <c r="R21" s="320"/>
      <c r="S21" s="321"/>
      <c r="T21" s="321" t="s">
        <v>3422</v>
      </c>
      <c r="U21" s="321" t="s">
        <v>3437</v>
      </c>
      <c r="V21" s="4"/>
      <c r="W21" s="305"/>
      <c r="X21" s="305"/>
      <c r="Y21" s="305"/>
      <c r="Z21" s="305"/>
      <c r="AA21" s="305"/>
      <c r="AB21" s="306"/>
    </row>
    <row r="22" spans="1:28" x14ac:dyDescent="0.3">
      <c r="A22" s="381">
        <v>21</v>
      </c>
      <c r="B22" s="105">
        <v>12653</v>
      </c>
      <c r="C22" s="94">
        <v>46031</v>
      </c>
      <c r="D22" s="83" t="s">
        <v>3346</v>
      </c>
      <c r="E22" s="84" t="s">
        <v>3347</v>
      </c>
      <c r="F22" s="83" t="s">
        <v>3462</v>
      </c>
      <c r="G22" s="119" t="s">
        <v>3406</v>
      </c>
      <c r="H22" s="84" t="s">
        <v>3410</v>
      </c>
      <c r="I22" s="81" t="s">
        <v>3446</v>
      </c>
      <c r="J22" s="81" t="s">
        <v>3448</v>
      </c>
      <c r="K22" s="81" t="s">
        <v>3601</v>
      </c>
      <c r="L22" s="85">
        <v>66000</v>
      </c>
      <c r="M22" s="91" t="s">
        <v>3413</v>
      </c>
      <c r="N22" s="240"/>
      <c r="O22" s="85" t="s">
        <v>3552</v>
      </c>
      <c r="P22" s="82"/>
      <c r="Q22" s="81"/>
      <c r="R22" s="320"/>
      <c r="S22" s="321"/>
      <c r="T22" s="321"/>
      <c r="U22" s="321"/>
      <c r="V22" s="4"/>
      <c r="W22" s="305"/>
      <c r="X22" s="305"/>
      <c r="Y22" s="305"/>
      <c r="Z22" s="305"/>
      <c r="AA22" s="305"/>
      <c r="AB22" s="306"/>
    </row>
    <row r="23" spans="1:28" x14ac:dyDescent="0.3">
      <c r="A23" s="381">
        <v>22</v>
      </c>
      <c r="B23" s="105">
        <v>12614</v>
      </c>
      <c r="C23" s="94">
        <v>46032</v>
      </c>
      <c r="D23" s="83" t="s">
        <v>3348</v>
      </c>
      <c r="E23" s="84" t="s">
        <v>3349</v>
      </c>
      <c r="F23" s="83" t="s">
        <v>3462</v>
      </c>
      <c r="G23" s="119" t="s">
        <v>3406</v>
      </c>
      <c r="H23" s="84" t="s">
        <v>3407</v>
      </c>
      <c r="I23" s="81" t="s">
        <v>3443</v>
      </c>
      <c r="J23" s="81" t="s">
        <v>3454</v>
      </c>
      <c r="K23" s="81" t="s">
        <v>3417</v>
      </c>
      <c r="L23" s="85">
        <v>466300</v>
      </c>
      <c r="M23" s="91" t="s">
        <v>3413</v>
      </c>
      <c r="N23" s="240"/>
      <c r="O23" s="85" t="s">
        <v>3552</v>
      </c>
      <c r="P23" s="82"/>
      <c r="Q23" s="81"/>
      <c r="R23" s="320"/>
      <c r="S23" s="321"/>
      <c r="T23" s="321"/>
      <c r="U23" s="321"/>
      <c r="V23" s="4"/>
      <c r="W23" s="305"/>
      <c r="X23" s="305"/>
      <c r="Y23" s="305"/>
      <c r="Z23" s="305"/>
      <c r="AA23" s="305"/>
      <c r="AB23" s="305"/>
    </row>
    <row r="24" spans="1:28" x14ac:dyDescent="0.3">
      <c r="A24" s="381">
        <v>23</v>
      </c>
      <c r="B24" s="105">
        <v>12654</v>
      </c>
      <c r="C24" s="94">
        <v>46032</v>
      </c>
      <c r="D24" s="83" t="s">
        <v>3350</v>
      </c>
      <c r="E24" s="84" t="s">
        <v>3351</v>
      </c>
      <c r="F24" s="83" t="s">
        <v>3462</v>
      </c>
      <c r="G24" s="119" t="s">
        <v>3406</v>
      </c>
      <c r="H24" s="137" t="s">
        <v>3408</v>
      </c>
      <c r="I24" s="81" t="s">
        <v>3442</v>
      </c>
      <c r="J24" s="81" t="s">
        <v>3454</v>
      </c>
      <c r="K24" s="81" t="s">
        <v>3417</v>
      </c>
      <c r="L24" s="85">
        <v>63000</v>
      </c>
      <c r="M24" s="91" t="s">
        <v>3413</v>
      </c>
      <c r="N24" s="240"/>
      <c r="O24" s="85" t="s">
        <v>3552</v>
      </c>
      <c r="P24" s="82"/>
      <c r="Q24" s="81"/>
      <c r="R24" s="320"/>
      <c r="S24" s="321"/>
      <c r="T24" s="321"/>
      <c r="U24" s="321"/>
      <c r="V24" s="4"/>
      <c r="W24" s="305"/>
      <c r="X24" s="305"/>
      <c r="Y24" s="305"/>
      <c r="Z24" s="305"/>
      <c r="AA24" s="305"/>
      <c r="AB24" s="305"/>
    </row>
    <row r="25" spans="1:28" ht="16.5" customHeight="1" x14ac:dyDescent="0.3">
      <c r="A25" s="381">
        <v>24</v>
      </c>
      <c r="B25" s="105">
        <v>12655</v>
      </c>
      <c r="C25" s="94">
        <v>46032</v>
      </c>
      <c r="D25" s="83" t="s">
        <v>3352</v>
      </c>
      <c r="E25" s="84" t="s">
        <v>3353</v>
      </c>
      <c r="F25" s="83" t="s">
        <v>3462</v>
      </c>
      <c r="G25" s="119" t="s">
        <v>3406</v>
      </c>
      <c r="H25" s="84" t="s">
        <v>3410</v>
      </c>
      <c r="I25" s="81" t="s">
        <v>3438</v>
      </c>
      <c r="J25" s="81" t="s">
        <v>3448</v>
      </c>
      <c r="K25" s="81" t="s">
        <v>3601</v>
      </c>
      <c r="L25" s="85">
        <v>655250</v>
      </c>
      <c r="M25" s="91" t="s">
        <v>3413</v>
      </c>
      <c r="N25" s="240"/>
      <c r="O25" s="85" t="s">
        <v>3552</v>
      </c>
      <c r="P25" s="82"/>
      <c r="Q25" s="81"/>
      <c r="R25" s="320"/>
      <c r="S25" s="321"/>
      <c r="T25" s="321"/>
      <c r="U25" s="321"/>
      <c r="V25" s="4"/>
      <c r="W25" s="305"/>
      <c r="X25" s="305"/>
      <c r="Y25" s="305"/>
      <c r="Z25" s="364"/>
      <c r="AA25" s="363"/>
      <c r="AB25" s="305"/>
    </row>
    <row r="26" spans="1:28" ht="16.5" customHeight="1" x14ac:dyDescent="0.3">
      <c r="A26" s="381">
        <v>25</v>
      </c>
      <c r="B26" s="105">
        <v>12656</v>
      </c>
      <c r="C26" s="94">
        <v>46033</v>
      </c>
      <c r="D26" s="83" t="s">
        <v>3354</v>
      </c>
      <c r="E26" s="84" t="s">
        <v>3355</v>
      </c>
      <c r="F26" s="83" t="s">
        <v>3462</v>
      </c>
      <c r="G26" s="119" t="s">
        <v>3406</v>
      </c>
      <c r="H26" s="84" t="s">
        <v>3408</v>
      </c>
      <c r="I26" s="81" t="s">
        <v>3440</v>
      </c>
      <c r="J26" s="81" t="s">
        <v>3454</v>
      </c>
      <c r="K26" s="81" t="s">
        <v>3601</v>
      </c>
      <c r="L26" s="85">
        <v>104500</v>
      </c>
      <c r="M26" s="91" t="s">
        <v>3413</v>
      </c>
      <c r="N26" s="240"/>
      <c r="O26" s="85" t="s">
        <v>3552</v>
      </c>
      <c r="P26" s="82"/>
      <c r="Q26" s="81"/>
      <c r="R26" s="320"/>
      <c r="S26" s="321"/>
      <c r="T26" s="321"/>
      <c r="U26" s="321"/>
      <c r="V26" s="4"/>
      <c r="W26" s="305"/>
      <c r="X26" s="305"/>
      <c r="Y26" s="305"/>
      <c r="Z26" s="365"/>
      <c r="AA26" s="363"/>
      <c r="AB26" s="305"/>
    </row>
    <row r="27" spans="1:28" ht="16.5" customHeight="1" x14ac:dyDescent="0.3">
      <c r="A27" s="381">
        <v>26</v>
      </c>
      <c r="B27" s="105">
        <v>12657</v>
      </c>
      <c r="C27" s="94">
        <v>46033</v>
      </c>
      <c r="D27" s="83" t="s">
        <v>3356</v>
      </c>
      <c r="E27" s="84" t="s">
        <v>3357</v>
      </c>
      <c r="F27" s="83" t="s">
        <v>3462</v>
      </c>
      <c r="G27" s="119" t="s">
        <v>3406</v>
      </c>
      <c r="H27" s="84" t="s">
        <v>3408</v>
      </c>
      <c r="I27" s="81" t="s">
        <v>3447</v>
      </c>
      <c r="J27" s="81" t="s">
        <v>3453</v>
      </c>
      <c r="K27" s="81" t="s">
        <v>3601</v>
      </c>
      <c r="L27" s="85">
        <v>457440</v>
      </c>
      <c r="M27" s="91" t="s">
        <v>3413</v>
      </c>
      <c r="N27" s="240"/>
      <c r="O27" s="85" t="s">
        <v>3552</v>
      </c>
      <c r="P27" s="82"/>
      <c r="Q27" s="81"/>
      <c r="R27" s="320"/>
      <c r="S27" s="321"/>
      <c r="T27" s="321"/>
      <c r="U27" s="321"/>
      <c r="V27" s="4"/>
      <c r="W27" s="305"/>
      <c r="X27" s="305"/>
      <c r="Y27" s="305"/>
      <c r="Z27" s="362"/>
      <c r="AA27" s="361"/>
      <c r="AB27" s="305"/>
    </row>
    <row r="28" spans="1:28" ht="16.5" customHeight="1" x14ac:dyDescent="0.3">
      <c r="A28" s="381">
        <v>27</v>
      </c>
      <c r="B28" s="105">
        <v>12658</v>
      </c>
      <c r="C28" s="94">
        <v>46033</v>
      </c>
      <c r="D28" s="83" t="s">
        <v>3358</v>
      </c>
      <c r="E28" s="84" t="s">
        <v>3359</v>
      </c>
      <c r="F28" s="83" t="s">
        <v>3459</v>
      </c>
      <c r="G28" s="119" t="s">
        <v>3406</v>
      </c>
      <c r="H28" s="84" t="s">
        <v>3410</v>
      </c>
      <c r="I28" s="81" t="s">
        <v>3440</v>
      </c>
      <c r="J28" s="81" t="s">
        <v>3448</v>
      </c>
      <c r="K28" s="81" t="s">
        <v>3601</v>
      </c>
      <c r="L28" s="85">
        <v>535000</v>
      </c>
      <c r="M28" s="91" t="s">
        <v>3413</v>
      </c>
      <c r="N28" s="240"/>
      <c r="O28" s="85" t="s">
        <v>3552</v>
      </c>
      <c r="P28" s="82"/>
      <c r="Q28" s="81"/>
      <c r="R28" s="320"/>
      <c r="S28" s="321"/>
      <c r="T28" s="321"/>
      <c r="U28" s="321"/>
      <c r="V28" s="4"/>
      <c r="W28" s="305"/>
      <c r="X28" s="305"/>
      <c r="Y28" s="305"/>
      <c r="Z28" s="362"/>
      <c r="AA28" s="361"/>
      <c r="AB28" s="305"/>
    </row>
    <row r="29" spans="1:28" x14ac:dyDescent="0.3">
      <c r="A29" s="381">
        <v>28</v>
      </c>
      <c r="B29" s="105">
        <v>12659</v>
      </c>
      <c r="C29" s="94">
        <v>46040</v>
      </c>
      <c r="D29" s="83" t="s">
        <v>1177</v>
      </c>
      <c r="E29" s="84" t="s">
        <v>64</v>
      </c>
      <c r="F29" s="83" t="s">
        <v>3462</v>
      </c>
      <c r="G29" s="119" t="s">
        <v>3406</v>
      </c>
      <c r="H29" s="137" t="s">
        <v>3408</v>
      </c>
      <c r="I29" s="81" t="s">
        <v>3447</v>
      </c>
      <c r="J29" s="81" t="s">
        <v>3454</v>
      </c>
      <c r="K29" s="81" t="s">
        <v>3417</v>
      </c>
      <c r="L29" s="85">
        <v>480850</v>
      </c>
      <c r="M29" s="91" t="s">
        <v>3413</v>
      </c>
      <c r="N29" s="240"/>
      <c r="O29" s="85" t="s">
        <v>3552</v>
      </c>
      <c r="P29" s="82"/>
      <c r="Q29" s="81"/>
      <c r="R29" s="320"/>
      <c r="S29" s="321"/>
      <c r="T29" s="321" t="s">
        <v>3422</v>
      </c>
      <c r="U29" s="321" t="s">
        <v>3437</v>
      </c>
      <c r="V29" s="4"/>
      <c r="W29" s="360"/>
      <c r="X29" s="305"/>
      <c r="Y29" s="305"/>
      <c r="Z29" s="305"/>
      <c r="AA29" s="305"/>
      <c r="AB29" s="305"/>
    </row>
    <row r="30" spans="1:28" x14ac:dyDescent="0.3">
      <c r="A30" s="381">
        <v>29</v>
      </c>
      <c r="B30" s="105">
        <v>12660</v>
      </c>
      <c r="C30" s="94">
        <v>46034</v>
      </c>
      <c r="D30" s="83" t="s">
        <v>3363</v>
      </c>
      <c r="E30" s="84" t="s">
        <v>3362</v>
      </c>
      <c r="F30" s="83" t="s">
        <v>3459</v>
      </c>
      <c r="G30" s="119" t="s">
        <v>3406</v>
      </c>
      <c r="H30" s="137" t="s">
        <v>3408</v>
      </c>
      <c r="I30" s="81" t="s">
        <v>3444</v>
      </c>
      <c r="J30" s="81" t="s">
        <v>3454</v>
      </c>
      <c r="K30" s="81" t="s">
        <v>3417</v>
      </c>
      <c r="L30" s="85">
        <v>1042100</v>
      </c>
      <c r="M30" s="91" t="s">
        <v>3413</v>
      </c>
      <c r="N30" s="240"/>
      <c r="O30" s="85" t="s">
        <v>3552</v>
      </c>
      <c r="P30" s="82"/>
      <c r="Q30" s="81"/>
      <c r="R30" s="320"/>
      <c r="S30" s="321"/>
      <c r="T30" s="321"/>
      <c r="U30" s="321"/>
      <c r="V30" s="4"/>
      <c r="W30" s="4"/>
      <c r="X30" s="4"/>
      <c r="Y30" s="4"/>
      <c r="Z30" s="4"/>
      <c r="AA30" s="4"/>
      <c r="AB30" s="4"/>
    </row>
    <row r="31" spans="1:28" x14ac:dyDescent="0.3">
      <c r="A31" s="381">
        <v>30</v>
      </c>
      <c r="B31" s="105">
        <v>12661</v>
      </c>
      <c r="C31" s="94">
        <v>46034</v>
      </c>
      <c r="D31" s="83" t="s">
        <v>3360</v>
      </c>
      <c r="E31" s="87" t="s">
        <v>3361</v>
      </c>
      <c r="F31" s="83" t="s">
        <v>3462</v>
      </c>
      <c r="G31" s="119" t="s">
        <v>3406</v>
      </c>
      <c r="H31" s="84" t="s">
        <v>3408</v>
      </c>
      <c r="I31" s="81" t="s">
        <v>3446</v>
      </c>
      <c r="J31" s="81" t="s">
        <v>3448</v>
      </c>
      <c r="K31" s="81" t="s">
        <v>3601</v>
      </c>
      <c r="L31" s="85">
        <v>229500</v>
      </c>
      <c r="M31" s="91" t="s">
        <v>3413</v>
      </c>
      <c r="N31" s="240"/>
      <c r="O31" s="85" t="s">
        <v>3552</v>
      </c>
      <c r="P31" s="82"/>
      <c r="Q31" s="81"/>
      <c r="R31" s="320"/>
      <c r="S31" s="321"/>
      <c r="T31" s="321"/>
      <c r="U31" s="321"/>
      <c r="V31" s="4"/>
      <c r="W31" s="305"/>
      <c r="X31" s="305"/>
      <c r="Y31" s="305"/>
      <c r="Z31" s="305"/>
      <c r="AA31" s="305"/>
      <c r="AB31" s="305"/>
    </row>
    <row r="32" spans="1:28" x14ac:dyDescent="0.3">
      <c r="A32" s="381">
        <v>31</v>
      </c>
      <c r="B32" s="105">
        <v>12662</v>
      </c>
      <c r="C32" s="271">
        <v>46035</v>
      </c>
      <c r="D32" s="272" t="s">
        <v>3364</v>
      </c>
      <c r="E32" s="277" t="s">
        <v>769</v>
      </c>
      <c r="F32" s="272" t="s">
        <v>3462</v>
      </c>
      <c r="G32" s="274" t="s">
        <v>3406</v>
      </c>
      <c r="H32" s="273" t="s">
        <v>3408</v>
      </c>
      <c r="I32" s="275" t="s">
        <v>3440</v>
      </c>
      <c r="J32" s="275" t="s">
        <v>3454</v>
      </c>
      <c r="K32" s="275" t="s">
        <v>3601</v>
      </c>
      <c r="L32" s="276">
        <v>62500</v>
      </c>
      <c r="M32" s="91" t="s">
        <v>3413</v>
      </c>
      <c r="N32" s="240"/>
      <c r="O32" s="85" t="s">
        <v>3552</v>
      </c>
      <c r="P32" s="82"/>
      <c r="Q32" s="81"/>
      <c r="R32" s="320"/>
      <c r="S32" s="321"/>
      <c r="T32" s="321"/>
      <c r="U32" s="321"/>
      <c r="V32" s="4"/>
      <c r="W32" s="307"/>
      <c r="X32" s="307"/>
      <c r="Y32" s="307"/>
      <c r="Z32" s="307"/>
      <c r="AA32" s="307"/>
      <c r="AB32" s="307"/>
    </row>
    <row r="33" spans="1:28" x14ac:dyDescent="0.3">
      <c r="A33" s="381">
        <v>32</v>
      </c>
      <c r="B33" s="105">
        <v>12663</v>
      </c>
      <c r="C33" s="94">
        <v>46035</v>
      </c>
      <c r="D33" s="83" t="s">
        <v>1068</v>
      </c>
      <c r="E33" s="87" t="s">
        <v>64</v>
      </c>
      <c r="F33" s="83" t="s">
        <v>3462</v>
      </c>
      <c r="G33" s="119" t="s">
        <v>3406</v>
      </c>
      <c r="H33" s="84" t="s">
        <v>3408</v>
      </c>
      <c r="I33" s="81" t="s">
        <v>3446</v>
      </c>
      <c r="J33" s="81" t="s">
        <v>3448</v>
      </c>
      <c r="K33" s="81" t="s">
        <v>3601</v>
      </c>
      <c r="L33" s="85">
        <v>11000</v>
      </c>
      <c r="M33" s="91" t="s">
        <v>3413</v>
      </c>
      <c r="N33" s="240"/>
      <c r="O33" s="85" t="s">
        <v>3552</v>
      </c>
      <c r="P33" s="82"/>
      <c r="Q33" s="81"/>
      <c r="R33" s="320"/>
      <c r="S33" s="321"/>
      <c r="T33" s="321"/>
      <c r="U33" s="321"/>
      <c r="V33" s="4"/>
      <c r="W33" s="26"/>
      <c r="X33" s="26"/>
      <c r="Y33" s="26"/>
      <c r="Z33" s="26"/>
      <c r="AA33" s="26"/>
      <c r="AB33" s="4"/>
    </row>
    <row r="34" spans="1:28" x14ac:dyDescent="0.3">
      <c r="A34" s="381">
        <v>33</v>
      </c>
      <c r="B34" s="105">
        <v>12664</v>
      </c>
      <c r="C34" s="94">
        <v>46036</v>
      </c>
      <c r="D34" s="83" t="s">
        <v>3365</v>
      </c>
      <c r="E34" s="87" t="s">
        <v>173</v>
      </c>
      <c r="F34" s="83" t="s">
        <v>3462</v>
      </c>
      <c r="G34" s="119" t="s">
        <v>3406</v>
      </c>
      <c r="H34" s="84" t="s">
        <v>3408</v>
      </c>
      <c r="I34" s="81" t="s">
        <v>3442</v>
      </c>
      <c r="J34" s="81" t="s">
        <v>3448</v>
      </c>
      <c r="K34" s="81" t="s">
        <v>3601</v>
      </c>
      <c r="L34" s="85">
        <v>107500</v>
      </c>
      <c r="M34" s="91" t="s">
        <v>3413</v>
      </c>
      <c r="N34" s="240"/>
      <c r="O34" s="85" t="s">
        <v>3552</v>
      </c>
      <c r="P34" s="82"/>
      <c r="Q34" s="81"/>
      <c r="R34" s="320"/>
      <c r="S34" s="321"/>
      <c r="T34" s="321"/>
      <c r="U34" s="321"/>
      <c r="V34" s="4"/>
      <c r="W34" s="26"/>
      <c r="X34" s="26"/>
      <c r="Y34" s="26"/>
      <c r="Z34" s="26"/>
      <c r="AA34" s="26"/>
      <c r="AB34" s="4"/>
    </row>
    <row r="35" spans="1:28" x14ac:dyDescent="0.3">
      <c r="A35" s="381">
        <v>34</v>
      </c>
      <c r="B35" s="105">
        <v>12665</v>
      </c>
      <c r="C35" s="94">
        <v>46036</v>
      </c>
      <c r="D35" s="83" t="s">
        <v>3366</v>
      </c>
      <c r="E35" s="87" t="s">
        <v>3296</v>
      </c>
      <c r="F35" s="83" t="s">
        <v>3462</v>
      </c>
      <c r="G35" s="119" t="s">
        <v>3406</v>
      </c>
      <c r="H35" s="84" t="s">
        <v>3408</v>
      </c>
      <c r="I35" s="81" t="s">
        <v>3447</v>
      </c>
      <c r="J35" s="81" t="s">
        <v>3454</v>
      </c>
      <c r="K35" s="81" t="s">
        <v>3601</v>
      </c>
      <c r="L35" s="85">
        <v>18000</v>
      </c>
      <c r="M35" s="91" t="s">
        <v>3413</v>
      </c>
      <c r="N35" s="240"/>
      <c r="O35" s="85" t="s">
        <v>3412</v>
      </c>
      <c r="P35" s="82"/>
      <c r="Q35" s="136">
        <v>46052</v>
      </c>
      <c r="R35" s="320"/>
      <c r="S35" s="321"/>
      <c r="T35" s="321"/>
      <c r="U35" s="321"/>
      <c r="V35" s="4"/>
      <c r="W35" s="26"/>
      <c r="X35" s="26"/>
      <c r="Y35" s="26"/>
      <c r="Z35" s="26"/>
      <c r="AA35" s="26"/>
      <c r="AB35" s="4"/>
    </row>
    <row r="36" spans="1:28" x14ac:dyDescent="0.3">
      <c r="A36" s="381">
        <v>35</v>
      </c>
      <c r="B36" s="105">
        <v>12666</v>
      </c>
      <c r="C36" s="271">
        <v>46036</v>
      </c>
      <c r="D36" s="272" t="s">
        <v>3367</v>
      </c>
      <c r="E36" s="277" t="s">
        <v>3368</v>
      </c>
      <c r="F36" s="272" t="s">
        <v>3459</v>
      </c>
      <c r="G36" s="274" t="s">
        <v>3406</v>
      </c>
      <c r="H36" s="273" t="s">
        <v>3410</v>
      </c>
      <c r="I36" s="275" t="s">
        <v>3440</v>
      </c>
      <c r="J36" s="275" t="s">
        <v>3448</v>
      </c>
      <c r="K36" s="275" t="s">
        <v>3601</v>
      </c>
      <c r="L36" s="276">
        <v>58000</v>
      </c>
      <c r="M36" s="91" t="s">
        <v>3413</v>
      </c>
      <c r="N36" s="240"/>
      <c r="O36" s="85" t="s">
        <v>3552</v>
      </c>
      <c r="P36" s="82"/>
      <c r="Q36" s="81"/>
      <c r="R36" s="320"/>
      <c r="S36" s="321"/>
      <c r="T36" s="321"/>
      <c r="U36" s="321"/>
      <c r="V36" s="4"/>
      <c r="W36" s="26"/>
      <c r="X36" s="26"/>
      <c r="Y36" s="26"/>
      <c r="Z36" s="26"/>
      <c r="AA36" s="26"/>
      <c r="AB36" s="4"/>
    </row>
    <row r="37" spans="1:28" x14ac:dyDescent="0.3">
      <c r="A37" s="381">
        <v>36</v>
      </c>
      <c r="B37" s="105">
        <v>12667</v>
      </c>
      <c r="C37" s="94">
        <v>46039</v>
      </c>
      <c r="D37" s="83" t="s">
        <v>3369</v>
      </c>
      <c r="E37" s="87" t="s">
        <v>64</v>
      </c>
      <c r="F37" s="83" t="s">
        <v>3405</v>
      </c>
      <c r="G37" s="119" t="s">
        <v>3406</v>
      </c>
      <c r="H37" s="84" t="s">
        <v>3410</v>
      </c>
      <c r="I37" s="81" t="s">
        <v>3444</v>
      </c>
      <c r="J37" s="81" t="s">
        <v>3448</v>
      </c>
      <c r="K37" s="81" t="s">
        <v>3601</v>
      </c>
      <c r="L37" s="85">
        <v>91700</v>
      </c>
      <c r="M37" s="91" t="s">
        <v>3413</v>
      </c>
      <c r="N37" s="240"/>
      <c r="O37" s="85" t="s">
        <v>3412</v>
      </c>
      <c r="P37" s="82"/>
      <c r="Q37" s="136">
        <v>46053</v>
      </c>
      <c r="R37" s="320"/>
      <c r="S37" s="321"/>
      <c r="T37" s="321" t="s">
        <v>3422</v>
      </c>
      <c r="U37" s="321" t="s">
        <v>3437</v>
      </c>
      <c r="V37" s="4"/>
      <c r="W37" s="26"/>
      <c r="X37" s="26"/>
      <c r="Y37" s="26"/>
      <c r="Z37" s="26"/>
      <c r="AA37" s="26"/>
      <c r="AB37" s="4"/>
    </row>
    <row r="38" spans="1:28" x14ac:dyDescent="0.3">
      <c r="A38" s="381">
        <v>37</v>
      </c>
      <c r="B38" s="105">
        <v>12650</v>
      </c>
      <c r="C38" s="94">
        <v>46039</v>
      </c>
      <c r="D38" s="83" t="s">
        <v>3370</v>
      </c>
      <c r="E38" s="87" t="s">
        <v>3371</v>
      </c>
      <c r="F38" s="83" t="s">
        <v>3405</v>
      </c>
      <c r="G38" s="119" t="s">
        <v>3406</v>
      </c>
      <c r="H38" s="137" t="s">
        <v>3408</v>
      </c>
      <c r="I38" s="81" t="s">
        <v>3438</v>
      </c>
      <c r="J38" s="81" t="s">
        <v>3449</v>
      </c>
      <c r="K38" s="81" t="s">
        <v>3417</v>
      </c>
      <c r="L38" s="85">
        <v>578500</v>
      </c>
      <c r="M38" s="91" t="s">
        <v>3413</v>
      </c>
      <c r="N38" s="240"/>
      <c r="O38" s="85" t="s">
        <v>3552</v>
      </c>
      <c r="P38" s="82"/>
      <c r="Q38" s="81"/>
      <c r="R38" s="320"/>
      <c r="S38" s="321"/>
      <c r="T38" s="321"/>
      <c r="U38" s="321"/>
      <c r="V38" s="4"/>
      <c r="W38" s="26"/>
      <c r="X38" s="26"/>
      <c r="Y38" s="26"/>
      <c r="Z38" s="26"/>
      <c r="AA38" s="26"/>
      <c r="AB38" s="4"/>
    </row>
    <row r="39" spans="1:28" x14ac:dyDescent="0.3">
      <c r="A39" s="381">
        <v>38</v>
      </c>
      <c r="B39" s="105">
        <v>12668</v>
      </c>
      <c r="C39" s="94">
        <v>46039</v>
      </c>
      <c r="D39" s="83" t="s">
        <v>3372</v>
      </c>
      <c r="E39" s="87" t="s">
        <v>3373</v>
      </c>
      <c r="F39" s="83" t="s">
        <v>3405</v>
      </c>
      <c r="G39" s="119" t="s">
        <v>3406</v>
      </c>
      <c r="H39" s="84" t="s">
        <v>3407</v>
      </c>
      <c r="I39" s="81" t="s">
        <v>3440</v>
      </c>
      <c r="J39" s="81" t="s">
        <v>3454</v>
      </c>
      <c r="K39" s="81" t="s">
        <v>3601</v>
      </c>
      <c r="L39" s="85">
        <v>13000</v>
      </c>
      <c r="M39" s="91" t="s">
        <v>3413</v>
      </c>
      <c r="N39" s="240"/>
      <c r="O39" s="85" t="s">
        <v>3552</v>
      </c>
      <c r="P39" s="82"/>
      <c r="Q39" s="81"/>
      <c r="R39" s="320"/>
      <c r="S39" s="321"/>
      <c r="T39" s="321"/>
      <c r="U39" s="321"/>
      <c r="V39" s="4"/>
      <c r="W39" s="26"/>
      <c r="X39" s="26"/>
      <c r="Y39" s="26"/>
      <c r="Z39" s="26"/>
      <c r="AA39" s="26"/>
      <c r="AB39" s="4"/>
    </row>
    <row r="40" spans="1:28" x14ac:dyDescent="0.3">
      <c r="A40" s="381">
        <v>39</v>
      </c>
      <c r="B40" s="105">
        <v>12669</v>
      </c>
      <c r="C40" s="271">
        <v>46040</v>
      </c>
      <c r="D40" s="272" t="s">
        <v>3374</v>
      </c>
      <c r="E40" s="277" t="s">
        <v>3375</v>
      </c>
      <c r="F40" s="272" t="s">
        <v>3405</v>
      </c>
      <c r="G40" s="274" t="s">
        <v>3406</v>
      </c>
      <c r="H40" s="273" t="s">
        <v>3409</v>
      </c>
      <c r="I40" s="275" t="s">
        <v>3444</v>
      </c>
      <c r="J40" s="275" t="s">
        <v>3448</v>
      </c>
      <c r="K40" s="275" t="s">
        <v>3601</v>
      </c>
      <c r="L40" s="276">
        <v>454500</v>
      </c>
      <c r="M40" s="91" t="s">
        <v>3413</v>
      </c>
      <c r="N40" s="240"/>
      <c r="O40" s="85" t="s">
        <v>3552</v>
      </c>
      <c r="P40" s="82"/>
      <c r="Q40" s="81"/>
      <c r="R40" s="320"/>
      <c r="S40" s="321"/>
      <c r="T40" s="321"/>
      <c r="U40" s="321"/>
      <c r="V40" s="4"/>
      <c r="W40" s="26"/>
      <c r="X40" s="26"/>
      <c r="Y40" s="26"/>
      <c r="Z40" s="26"/>
      <c r="AA40" s="26"/>
      <c r="AB40" s="4"/>
    </row>
    <row r="41" spans="1:28" x14ac:dyDescent="0.3">
      <c r="A41" s="381">
        <v>40</v>
      </c>
      <c r="B41" s="105">
        <v>12670</v>
      </c>
      <c r="C41" s="94">
        <v>46040</v>
      </c>
      <c r="D41" s="83" t="s">
        <v>3376</v>
      </c>
      <c r="E41" s="84" t="s">
        <v>3377</v>
      </c>
      <c r="F41" s="83" t="s">
        <v>3459</v>
      </c>
      <c r="G41" s="119" t="s">
        <v>3463</v>
      </c>
      <c r="H41" s="84" t="s">
        <v>3410</v>
      </c>
      <c r="I41" s="81" t="s">
        <v>3440</v>
      </c>
      <c r="J41" s="81" t="s">
        <v>3448</v>
      </c>
      <c r="K41" s="81" t="s">
        <v>3601</v>
      </c>
      <c r="L41" s="85">
        <v>3459300</v>
      </c>
      <c r="M41" s="91" t="s">
        <v>3413</v>
      </c>
      <c r="N41" s="240"/>
      <c r="O41" s="85" t="s">
        <v>3412</v>
      </c>
      <c r="P41" s="82"/>
      <c r="Q41" s="136">
        <v>46054</v>
      </c>
      <c r="R41" s="320"/>
      <c r="S41" s="321"/>
      <c r="T41" s="321"/>
      <c r="U41" s="321"/>
      <c r="V41" s="4"/>
      <c r="W41" s="26"/>
      <c r="X41" s="26"/>
      <c r="Y41" s="26"/>
      <c r="Z41" s="26"/>
      <c r="AA41" s="26"/>
      <c r="AB41" s="4"/>
    </row>
    <row r="42" spans="1:28" x14ac:dyDescent="0.3">
      <c r="A42" s="381">
        <v>41</v>
      </c>
      <c r="B42" s="105">
        <v>12671</v>
      </c>
      <c r="C42" s="94">
        <v>46044</v>
      </c>
      <c r="D42" s="83" t="s">
        <v>3398</v>
      </c>
      <c r="E42" s="84" t="s">
        <v>3399</v>
      </c>
      <c r="F42" s="83" t="s">
        <v>3459</v>
      </c>
      <c r="G42" s="119" t="s">
        <v>3463</v>
      </c>
      <c r="H42" s="84" t="s">
        <v>3408</v>
      </c>
      <c r="I42" s="81" t="s">
        <v>3440</v>
      </c>
      <c r="J42" s="81" t="s">
        <v>3450</v>
      </c>
      <c r="K42" s="81" t="s">
        <v>3601</v>
      </c>
      <c r="L42" s="85">
        <v>304000</v>
      </c>
      <c r="M42" s="91" t="s">
        <v>3413</v>
      </c>
      <c r="N42" s="240"/>
      <c r="O42" s="85" t="s">
        <v>3412</v>
      </c>
      <c r="P42" s="82"/>
      <c r="Q42" s="136">
        <v>46058</v>
      </c>
      <c r="R42" s="320"/>
      <c r="S42" s="321"/>
      <c r="T42" s="321"/>
      <c r="U42" s="321"/>
      <c r="V42" s="4"/>
      <c r="W42" s="4"/>
      <c r="X42" s="4"/>
      <c r="Y42" s="4"/>
      <c r="Z42" s="4"/>
      <c r="AA42" s="4"/>
      <c r="AB42" s="4"/>
    </row>
    <row r="43" spans="1:28" x14ac:dyDescent="0.3">
      <c r="A43" s="381">
        <v>42</v>
      </c>
      <c r="B43" s="105">
        <v>12672</v>
      </c>
      <c r="C43" s="94">
        <v>46040</v>
      </c>
      <c r="D43" s="83" t="s">
        <v>935</v>
      </c>
      <c r="E43" s="84" t="s">
        <v>257</v>
      </c>
      <c r="F43" s="83" t="s">
        <v>3405</v>
      </c>
      <c r="G43" s="119" t="s">
        <v>3406</v>
      </c>
      <c r="H43" s="84" t="s">
        <v>3408</v>
      </c>
      <c r="I43" s="81" t="s">
        <v>3444</v>
      </c>
      <c r="J43" s="81" t="s">
        <v>3452</v>
      </c>
      <c r="K43" s="81" t="s">
        <v>3601</v>
      </c>
      <c r="L43" s="85">
        <v>108500</v>
      </c>
      <c r="M43" s="91" t="s">
        <v>3413</v>
      </c>
      <c r="N43" s="240"/>
      <c r="O43" s="85" t="s">
        <v>3552</v>
      </c>
      <c r="P43" s="82"/>
      <c r="Q43" s="81"/>
      <c r="R43" s="320"/>
      <c r="S43" s="321"/>
      <c r="T43" s="321"/>
      <c r="U43" s="321"/>
      <c r="V43" s="4"/>
      <c r="W43" s="4"/>
      <c r="X43" s="4"/>
      <c r="Y43" s="4"/>
      <c r="Z43" s="4"/>
      <c r="AA43" s="4"/>
      <c r="AB43" s="4"/>
    </row>
    <row r="44" spans="1:28" x14ac:dyDescent="0.3">
      <c r="A44" s="381">
        <v>43</v>
      </c>
      <c r="B44" s="105">
        <v>12673</v>
      </c>
      <c r="C44" s="94">
        <v>46040</v>
      </c>
      <c r="D44" s="83" t="s">
        <v>3380</v>
      </c>
      <c r="E44" s="84" t="s">
        <v>3381</v>
      </c>
      <c r="F44" s="83" t="s">
        <v>3459</v>
      </c>
      <c r="G44" s="119" t="s">
        <v>3406</v>
      </c>
      <c r="H44" s="137" t="s">
        <v>3408</v>
      </c>
      <c r="I44" s="81" t="s">
        <v>3440</v>
      </c>
      <c r="J44" s="81" t="s">
        <v>3454</v>
      </c>
      <c r="K44" s="81" t="s">
        <v>3417</v>
      </c>
      <c r="L44" s="85">
        <v>2543500</v>
      </c>
      <c r="M44" s="91" t="s">
        <v>3413</v>
      </c>
      <c r="N44" s="240"/>
      <c r="O44" s="85" t="s">
        <v>3552</v>
      </c>
      <c r="P44" s="82"/>
      <c r="Q44" s="81"/>
      <c r="R44" s="320"/>
      <c r="S44" s="321" t="s">
        <v>3437</v>
      </c>
      <c r="T44" s="321"/>
      <c r="U44" s="321"/>
      <c r="V44" s="4"/>
      <c r="W44" s="4"/>
      <c r="X44" s="4"/>
      <c r="Y44" s="4"/>
      <c r="Z44" s="4"/>
      <c r="AA44" s="4"/>
      <c r="AB44" s="4"/>
    </row>
    <row r="45" spans="1:28" x14ac:dyDescent="0.3">
      <c r="A45" s="381">
        <v>44</v>
      </c>
      <c r="B45" s="105">
        <v>12674</v>
      </c>
      <c r="C45" s="94">
        <v>46040</v>
      </c>
      <c r="D45" s="83" t="s">
        <v>3378</v>
      </c>
      <c r="E45" s="84" t="s">
        <v>3379</v>
      </c>
      <c r="F45" s="83" t="s">
        <v>3405</v>
      </c>
      <c r="G45" s="119" t="s">
        <v>3406</v>
      </c>
      <c r="H45" s="137" t="s">
        <v>3408</v>
      </c>
      <c r="I45" s="81" t="s">
        <v>3440</v>
      </c>
      <c r="J45" s="81" t="s">
        <v>3448</v>
      </c>
      <c r="K45" s="81" t="s">
        <v>3417</v>
      </c>
      <c r="L45" s="85">
        <v>63000</v>
      </c>
      <c r="M45" s="91" t="s">
        <v>3413</v>
      </c>
      <c r="N45" s="240"/>
      <c r="O45" s="85" t="s">
        <v>3412</v>
      </c>
      <c r="P45" s="82"/>
      <c r="Q45" s="136">
        <v>46052</v>
      </c>
      <c r="R45" s="320"/>
      <c r="S45" s="321"/>
      <c r="T45" s="321"/>
      <c r="U45" s="321"/>
      <c r="V45" s="4"/>
      <c r="W45" s="4"/>
      <c r="X45" s="4"/>
      <c r="Y45" s="4"/>
      <c r="Z45" s="4"/>
      <c r="AA45" s="4"/>
      <c r="AB45" s="4"/>
    </row>
    <row r="46" spans="1:28" x14ac:dyDescent="0.3">
      <c r="A46" s="381">
        <v>45</v>
      </c>
      <c r="B46" s="105">
        <v>12675</v>
      </c>
      <c r="C46" s="94">
        <v>46040</v>
      </c>
      <c r="D46" s="83" t="s">
        <v>3382</v>
      </c>
      <c r="E46" s="84" t="s">
        <v>3383</v>
      </c>
      <c r="F46" s="83" t="s">
        <v>3405</v>
      </c>
      <c r="G46" s="119" t="s">
        <v>3406</v>
      </c>
      <c r="H46" s="84" t="s">
        <v>3410</v>
      </c>
      <c r="I46" s="81" t="s">
        <v>3440</v>
      </c>
      <c r="J46" s="81" t="s">
        <v>3448</v>
      </c>
      <c r="K46" s="81" t="s">
        <v>3601</v>
      </c>
      <c r="L46" s="85">
        <v>225400</v>
      </c>
      <c r="M46" s="91" t="s">
        <v>3413</v>
      </c>
      <c r="N46" s="240"/>
      <c r="O46" s="85" t="s">
        <v>3552</v>
      </c>
      <c r="P46" s="82"/>
      <c r="Q46" s="81"/>
      <c r="R46" s="320"/>
      <c r="S46" s="321"/>
      <c r="T46" s="321"/>
      <c r="U46" s="321"/>
      <c r="V46" s="4"/>
      <c r="W46" s="4"/>
      <c r="X46" s="4"/>
      <c r="Y46" s="4"/>
      <c r="Z46" s="4"/>
      <c r="AA46" s="4"/>
      <c r="AB46" s="4"/>
    </row>
    <row r="47" spans="1:28" x14ac:dyDescent="0.3">
      <c r="A47" s="381">
        <v>46</v>
      </c>
      <c r="B47" s="105">
        <v>12676</v>
      </c>
      <c r="C47" s="94">
        <v>46040</v>
      </c>
      <c r="D47" s="83" t="s">
        <v>3384</v>
      </c>
      <c r="E47" s="84" t="s">
        <v>3385</v>
      </c>
      <c r="F47" s="83" t="s">
        <v>3405</v>
      </c>
      <c r="G47" s="119" t="s">
        <v>3406</v>
      </c>
      <c r="H47" s="84" t="s">
        <v>3408</v>
      </c>
      <c r="I47" s="81" t="s">
        <v>3446</v>
      </c>
      <c r="J47" s="81" t="s">
        <v>3448</v>
      </c>
      <c r="K47" s="81" t="s">
        <v>3601</v>
      </c>
      <c r="L47" s="85">
        <v>1805400</v>
      </c>
      <c r="M47" s="91" t="s">
        <v>3413</v>
      </c>
      <c r="N47" s="240"/>
      <c r="O47" s="85" t="s">
        <v>3552</v>
      </c>
      <c r="P47" s="82"/>
      <c r="Q47" s="136"/>
      <c r="R47" s="320"/>
      <c r="S47" s="321" t="s">
        <v>3437</v>
      </c>
      <c r="T47" s="321"/>
      <c r="U47" s="321"/>
      <c r="V47" s="4"/>
      <c r="W47" s="4"/>
      <c r="X47" s="4"/>
      <c r="Y47" s="4"/>
      <c r="Z47" s="4"/>
      <c r="AA47" s="4"/>
      <c r="AB47" s="4"/>
    </row>
    <row r="48" spans="1:28" x14ac:dyDescent="0.3">
      <c r="A48" s="381">
        <v>47</v>
      </c>
      <c r="B48" s="105">
        <v>12677</v>
      </c>
      <c r="C48" s="94">
        <v>46040</v>
      </c>
      <c r="D48" s="83" t="s">
        <v>3386</v>
      </c>
      <c r="E48" s="84" t="s">
        <v>3387</v>
      </c>
      <c r="F48" s="83" t="s">
        <v>3405</v>
      </c>
      <c r="G48" s="119" t="s">
        <v>3406</v>
      </c>
      <c r="H48" s="84" t="s">
        <v>3410</v>
      </c>
      <c r="I48" s="81" t="s">
        <v>3444</v>
      </c>
      <c r="J48" s="81" t="s">
        <v>3448</v>
      </c>
      <c r="K48" s="81" t="s">
        <v>3601</v>
      </c>
      <c r="L48" s="85">
        <v>5000</v>
      </c>
      <c r="M48" s="91" t="s">
        <v>3413</v>
      </c>
      <c r="N48" s="240"/>
      <c r="O48" s="85" t="s">
        <v>3412</v>
      </c>
      <c r="P48" s="82"/>
      <c r="Q48" s="136">
        <v>46054</v>
      </c>
      <c r="R48" s="320"/>
      <c r="S48" s="321"/>
      <c r="T48" s="321"/>
      <c r="U48" s="321"/>
      <c r="V48" s="4"/>
      <c r="W48" s="4"/>
      <c r="X48" s="4"/>
      <c r="Y48" s="4"/>
      <c r="Z48" s="4"/>
      <c r="AA48" s="4"/>
      <c r="AB48" s="4"/>
    </row>
    <row r="49" spans="1:28" x14ac:dyDescent="0.3">
      <c r="A49" s="381">
        <v>48</v>
      </c>
      <c r="B49" s="105">
        <v>12678</v>
      </c>
      <c r="C49" s="94">
        <v>46040</v>
      </c>
      <c r="D49" s="83" t="s">
        <v>3389</v>
      </c>
      <c r="E49" s="84" t="s">
        <v>3388</v>
      </c>
      <c r="F49" s="83" t="s">
        <v>3405</v>
      </c>
      <c r="G49" s="119" t="s">
        <v>3406</v>
      </c>
      <c r="H49" s="84" t="s">
        <v>3408</v>
      </c>
      <c r="I49" s="81" t="s">
        <v>3443</v>
      </c>
      <c r="J49" s="81" t="s">
        <v>3448</v>
      </c>
      <c r="K49" s="81" t="s">
        <v>3601</v>
      </c>
      <c r="L49" s="85">
        <v>257000</v>
      </c>
      <c r="M49" s="91" t="s">
        <v>3413</v>
      </c>
      <c r="N49" s="240"/>
      <c r="O49" s="85" t="s">
        <v>3412</v>
      </c>
      <c r="P49" s="82"/>
      <c r="Q49" s="136">
        <v>46054</v>
      </c>
      <c r="R49" s="320"/>
      <c r="S49" s="321"/>
      <c r="T49" s="321"/>
      <c r="U49" s="321"/>
      <c r="V49" s="4"/>
      <c r="W49" s="4"/>
      <c r="X49" s="4"/>
      <c r="Y49" s="4"/>
      <c r="Z49" s="4"/>
      <c r="AA49" s="4"/>
      <c r="AB49" s="4"/>
    </row>
    <row r="50" spans="1:28" x14ac:dyDescent="0.3">
      <c r="A50" s="381">
        <v>49</v>
      </c>
      <c r="B50" s="105">
        <v>12679</v>
      </c>
      <c r="C50" s="94">
        <v>46043</v>
      </c>
      <c r="D50" s="83" t="s">
        <v>3391</v>
      </c>
      <c r="E50" s="84" t="s">
        <v>3390</v>
      </c>
      <c r="F50" s="83" t="s">
        <v>3405</v>
      </c>
      <c r="G50" s="119" t="s">
        <v>3406</v>
      </c>
      <c r="H50" s="84" t="s">
        <v>3410</v>
      </c>
      <c r="I50" s="81" t="s">
        <v>3444</v>
      </c>
      <c r="J50" s="81" t="s">
        <v>3448</v>
      </c>
      <c r="K50" s="81" t="s">
        <v>3601</v>
      </c>
      <c r="L50" s="85">
        <v>197400</v>
      </c>
      <c r="M50" s="91" t="s">
        <v>3413</v>
      </c>
      <c r="N50" s="240"/>
      <c r="O50" s="85" t="s">
        <v>3552</v>
      </c>
      <c r="P50" s="82"/>
      <c r="Q50" s="136"/>
      <c r="R50" s="320"/>
      <c r="S50" s="321"/>
      <c r="T50" s="321"/>
      <c r="U50" s="321"/>
      <c r="V50" s="4"/>
      <c r="W50" s="4"/>
      <c r="X50" s="4"/>
      <c r="Y50" s="4"/>
      <c r="Z50" s="4"/>
      <c r="AA50" s="4"/>
      <c r="AB50" s="4"/>
    </row>
    <row r="51" spans="1:28" x14ac:dyDescent="0.3">
      <c r="A51" s="381">
        <v>50</v>
      </c>
      <c r="B51" s="105">
        <v>12680</v>
      </c>
      <c r="C51" s="94">
        <v>46041</v>
      </c>
      <c r="D51" s="83" t="s">
        <v>3392</v>
      </c>
      <c r="E51" s="84" t="s">
        <v>3393</v>
      </c>
      <c r="F51" s="83" t="s">
        <v>3405</v>
      </c>
      <c r="G51" s="119" t="s">
        <v>3406</v>
      </c>
      <c r="H51" s="84" t="s">
        <v>3408</v>
      </c>
      <c r="I51" s="81" t="s">
        <v>3438</v>
      </c>
      <c r="J51" s="81" t="s">
        <v>3448</v>
      </c>
      <c r="K51" s="81" t="s">
        <v>3601</v>
      </c>
      <c r="L51" s="85">
        <v>107800</v>
      </c>
      <c r="M51" s="91" t="s">
        <v>3413</v>
      </c>
      <c r="N51" s="240"/>
      <c r="O51" s="85" t="s">
        <v>3552</v>
      </c>
      <c r="P51" s="82"/>
      <c r="Q51" s="81"/>
      <c r="R51" s="320"/>
      <c r="S51" s="321"/>
      <c r="T51" s="321"/>
      <c r="U51" s="321"/>
      <c r="V51" s="4"/>
      <c r="W51" s="4"/>
      <c r="X51" s="4"/>
      <c r="Y51" s="4"/>
      <c r="Z51" s="4"/>
      <c r="AA51" s="4"/>
      <c r="AB51" s="4"/>
    </row>
    <row r="52" spans="1:28" x14ac:dyDescent="0.3">
      <c r="A52" s="381">
        <v>51</v>
      </c>
      <c r="B52" s="105">
        <v>12681</v>
      </c>
      <c r="C52" s="271">
        <v>46041</v>
      </c>
      <c r="D52" s="272" t="s">
        <v>3394</v>
      </c>
      <c r="E52" s="273" t="s">
        <v>3395</v>
      </c>
      <c r="F52" s="272" t="s">
        <v>3459</v>
      </c>
      <c r="G52" s="274" t="s">
        <v>3406</v>
      </c>
      <c r="H52" s="273" t="s">
        <v>3408</v>
      </c>
      <c r="I52" s="275" t="s">
        <v>3446</v>
      </c>
      <c r="J52" s="275" t="s">
        <v>3451</v>
      </c>
      <c r="K52" s="275" t="s">
        <v>3601</v>
      </c>
      <c r="L52" s="276">
        <v>518000</v>
      </c>
      <c r="M52" s="91" t="s">
        <v>3413</v>
      </c>
      <c r="N52" s="240"/>
      <c r="O52" s="85" t="s">
        <v>3552</v>
      </c>
      <c r="P52" s="82"/>
      <c r="Q52" s="81"/>
      <c r="R52" s="320"/>
      <c r="S52" s="321"/>
      <c r="T52" s="321"/>
      <c r="U52" s="321"/>
      <c r="V52" s="4"/>
      <c r="W52" s="4"/>
      <c r="X52" s="4"/>
      <c r="Y52" s="4"/>
      <c r="Z52" s="4"/>
      <c r="AA52" s="4"/>
      <c r="AB52" s="4"/>
    </row>
    <row r="53" spans="1:28" x14ac:dyDescent="0.3">
      <c r="A53" s="381">
        <v>52</v>
      </c>
      <c r="B53" s="105">
        <v>12682</v>
      </c>
      <c r="C53" s="94">
        <v>46042</v>
      </c>
      <c r="D53" s="83" t="s">
        <v>3397</v>
      </c>
      <c r="E53" s="84" t="s">
        <v>3396</v>
      </c>
      <c r="F53" s="83" t="s">
        <v>3405</v>
      </c>
      <c r="G53" s="119" t="s">
        <v>3406</v>
      </c>
      <c r="H53" s="84" t="s">
        <v>3410</v>
      </c>
      <c r="I53" s="81" t="s">
        <v>3444</v>
      </c>
      <c r="J53" s="81" t="s">
        <v>3454</v>
      </c>
      <c r="K53" s="81" t="s">
        <v>3601</v>
      </c>
      <c r="L53" s="85">
        <v>125800</v>
      </c>
      <c r="M53" s="91" t="s">
        <v>3413</v>
      </c>
      <c r="N53" s="240"/>
      <c r="O53" s="85" t="s">
        <v>3552</v>
      </c>
      <c r="P53" s="82"/>
      <c r="Q53" s="81"/>
      <c r="R53" s="320"/>
      <c r="S53" s="321"/>
      <c r="T53" s="321"/>
      <c r="U53" s="321"/>
      <c r="V53" s="4"/>
      <c r="W53" s="317"/>
      <c r="X53" s="4"/>
      <c r="Y53" s="4"/>
      <c r="Z53" s="4"/>
      <c r="AA53" s="4"/>
      <c r="AB53" s="4"/>
    </row>
    <row r="54" spans="1:28" x14ac:dyDescent="0.3">
      <c r="A54" s="381">
        <v>53</v>
      </c>
      <c r="B54" s="105">
        <v>12683</v>
      </c>
      <c r="C54" s="94">
        <v>46043</v>
      </c>
      <c r="D54" s="83" t="s">
        <v>3400</v>
      </c>
      <c r="E54" s="84" t="s">
        <v>3401</v>
      </c>
      <c r="F54" s="83" t="s">
        <v>3405</v>
      </c>
      <c r="G54" s="119" t="s">
        <v>3406</v>
      </c>
      <c r="H54" s="84" t="s">
        <v>3407</v>
      </c>
      <c r="I54" s="81" t="s">
        <v>3440</v>
      </c>
      <c r="J54" s="81" t="s">
        <v>3448</v>
      </c>
      <c r="K54" s="81" t="s">
        <v>3601</v>
      </c>
      <c r="L54" s="85" t="s">
        <v>3464</v>
      </c>
      <c r="M54" s="91" t="s">
        <v>3413</v>
      </c>
      <c r="N54" s="240"/>
      <c r="O54" s="85" t="s">
        <v>3552</v>
      </c>
      <c r="P54" s="82"/>
      <c r="Q54" s="81"/>
      <c r="R54" s="320"/>
      <c r="S54" s="321"/>
      <c r="T54" s="321"/>
      <c r="U54" s="321"/>
      <c r="V54" s="4"/>
      <c r="W54" s="4"/>
      <c r="X54" s="4"/>
      <c r="Y54" s="4"/>
      <c r="Z54" s="4"/>
      <c r="AA54" s="4"/>
      <c r="AB54" s="4"/>
    </row>
    <row r="55" spans="1:28" x14ac:dyDescent="0.3">
      <c r="A55" s="381">
        <v>54</v>
      </c>
      <c r="B55" s="105">
        <v>12684</v>
      </c>
      <c r="C55" s="270">
        <v>46043</v>
      </c>
      <c r="D55" s="265" t="s">
        <v>3508</v>
      </c>
      <c r="E55" s="251" t="s">
        <v>3509</v>
      </c>
      <c r="F55" s="83" t="s">
        <v>3510</v>
      </c>
      <c r="G55" s="119" t="s">
        <v>3406</v>
      </c>
      <c r="H55" s="84" t="s">
        <v>3511</v>
      </c>
      <c r="I55" s="81" t="s">
        <v>3512</v>
      </c>
      <c r="J55" s="81" t="s">
        <v>3329</v>
      </c>
      <c r="K55" s="81" t="s">
        <v>3601</v>
      </c>
      <c r="L55" s="85">
        <v>398900</v>
      </c>
      <c r="M55" s="91" t="s">
        <v>3413</v>
      </c>
      <c r="N55" s="240"/>
      <c r="O55" s="85" t="s">
        <v>3412</v>
      </c>
      <c r="P55" s="82"/>
      <c r="Q55" s="136">
        <v>46060</v>
      </c>
      <c r="R55" s="320"/>
      <c r="S55" s="321"/>
      <c r="T55" s="321"/>
      <c r="U55" s="321"/>
      <c r="V55" s="4"/>
      <c r="W55" s="4"/>
      <c r="X55" s="4"/>
      <c r="Y55" s="4"/>
      <c r="Z55" s="4"/>
      <c r="AA55" s="4"/>
      <c r="AB55" s="4"/>
    </row>
    <row r="56" spans="1:28" x14ac:dyDescent="0.3">
      <c r="A56" s="381">
        <v>55</v>
      </c>
      <c r="B56" s="105">
        <v>12685</v>
      </c>
      <c r="C56" s="271">
        <v>46044</v>
      </c>
      <c r="D56" s="272" t="s">
        <v>3513</v>
      </c>
      <c r="E56" s="273" t="s">
        <v>3514</v>
      </c>
      <c r="F56" s="272" t="s">
        <v>3510</v>
      </c>
      <c r="G56" s="274" t="s">
        <v>3406</v>
      </c>
      <c r="H56" s="273" t="s">
        <v>3511</v>
      </c>
      <c r="I56" s="275" t="s">
        <v>3308</v>
      </c>
      <c r="J56" s="275" t="s">
        <v>3329</v>
      </c>
      <c r="K56" s="275" t="s">
        <v>3601</v>
      </c>
      <c r="L56" s="276">
        <v>170000</v>
      </c>
      <c r="M56" s="91" t="s">
        <v>3413</v>
      </c>
      <c r="N56" s="240"/>
      <c r="O56" s="85" t="s">
        <v>3552</v>
      </c>
      <c r="P56" s="82"/>
      <c r="Q56" s="81"/>
      <c r="R56" s="320"/>
      <c r="S56" s="321" t="s">
        <v>3437</v>
      </c>
      <c r="T56" s="321"/>
      <c r="U56" s="321"/>
      <c r="V56" s="4"/>
      <c r="W56" s="4"/>
      <c r="X56" s="4"/>
      <c r="Y56" s="4"/>
      <c r="Z56" s="4"/>
      <c r="AA56" s="4"/>
      <c r="AB56" s="4"/>
    </row>
    <row r="57" spans="1:28" x14ac:dyDescent="0.3">
      <c r="A57" s="381">
        <v>56</v>
      </c>
      <c r="B57" s="105">
        <v>12688</v>
      </c>
      <c r="C57" s="94">
        <v>46047</v>
      </c>
      <c r="D57" s="83" t="s">
        <v>3515</v>
      </c>
      <c r="E57" s="84" t="s">
        <v>3516</v>
      </c>
      <c r="F57" s="83" t="s">
        <v>3510</v>
      </c>
      <c r="G57" s="119" t="s">
        <v>3406</v>
      </c>
      <c r="H57" s="84" t="s">
        <v>3518</v>
      </c>
      <c r="I57" s="81" t="s">
        <v>3517</v>
      </c>
      <c r="J57" s="81" t="s">
        <v>3329</v>
      </c>
      <c r="K57" s="81" t="s">
        <v>3601</v>
      </c>
      <c r="L57" s="85">
        <v>0</v>
      </c>
      <c r="M57" s="91" t="s">
        <v>3413</v>
      </c>
      <c r="N57" s="240"/>
      <c r="O57" s="85" t="s">
        <v>3552</v>
      </c>
      <c r="P57" s="82"/>
      <c r="Q57" s="81"/>
      <c r="R57" s="320"/>
      <c r="S57" s="321" t="s">
        <v>3437</v>
      </c>
      <c r="T57" s="321"/>
      <c r="U57" s="321"/>
      <c r="V57" s="4"/>
      <c r="W57" s="4"/>
      <c r="X57" s="4"/>
      <c r="Y57" s="4"/>
      <c r="Z57" s="4"/>
      <c r="AA57" s="4"/>
      <c r="AB57" s="4"/>
    </row>
    <row r="58" spans="1:28" x14ac:dyDescent="0.3">
      <c r="A58" s="381">
        <v>57</v>
      </c>
      <c r="B58" s="105">
        <v>12689</v>
      </c>
      <c r="C58" s="94">
        <v>46047</v>
      </c>
      <c r="D58" s="83" t="s">
        <v>3519</v>
      </c>
      <c r="E58" s="84" t="s">
        <v>3520</v>
      </c>
      <c r="F58" s="83" t="s">
        <v>3521</v>
      </c>
      <c r="G58" s="119" t="s">
        <v>3522</v>
      </c>
      <c r="H58" s="84" t="s">
        <v>3523</v>
      </c>
      <c r="I58" s="81" t="s">
        <v>3517</v>
      </c>
      <c r="J58" s="81" t="s">
        <v>3524</v>
      </c>
      <c r="K58" s="81" t="s">
        <v>3601</v>
      </c>
      <c r="L58" s="85">
        <v>835800</v>
      </c>
      <c r="M58" s="91" t="s">
        <v>3413</v>
      </c>
      <c r="N58" s="240"/>
      <c r="O58" s="85" t="s">
        <v>3552</v>
      </c>
      <c r="P58" s="82"/>
      <c r="Q58" s="81"/>
      <c r="R58" s="320"/>
      <c r="S58" s="321" t="s">
        <v>3437</v>
      </c>
      <c r="T58" s="321"/>
      <c r="U58" s="321"/>
      <c r="V58" s="4"/>
      <c r="W58" s="4"/>
      <c r="X58" s="4"/>
      <c r="Y58" s="4"/>
      <c r="Z58" s="4"/>
      <c r="AA58" s="4"/>
      <c r="AB58" s="4"/>
    </row>
    <row r="59" spans="1:28" x14ac:dyDescent="0.3">
      <c r="A59" s="381">
        <v>58</v>
      </c>
      <c r="B59" s="105">
        <v>12691</v>
      </c>
      <c r="C59" s="94">
        <v>46047</v>
      </c>
      <c r="D59" s="83" t="s">
        <v>3525</v>
      </c>
      <c r="E59" s="84" t="s">
        <v>3526</v>
      </c>
      <c r="F59" s="83" t="s">
        <v>3510</v>
      </c>
      <c r="G59" s="119" t="s">
        <v>3522</v>
      </c>
      <c r="H59" s="84" t="s">
        <v>3527</v>
      </c>
      <c r="I59" s="81" t="s">
        <v>3343</v>
      </c>
      <c r="J59" s="81" t="s">
        <v>3329</v>
      </c>
      <c r="K59" s="81" t="s">
        <v>3601</v>
      </c>
      <c r="L59" s="85">
        <v>50000</v>
      </c>
      <c r="M59" s="91" t="s">
        <v>3413</v>
      </c>
      <c r="N59" s="240"/>
      <c r="O59" s="85" t="s">
        <v>3552</v>
      </c>
      <c r="P59" s="82"/>
      <c r="Q59" s="81"/>
      <c r="R59" s="320"/>
      <c r="S59" s="321" t="s">
        <v>3437</v>
      </c>
      <c r="T59" s="321"/>
      <c r="U59" s="321"/>
      <c r="V59" s="4"/>
      <c r="W59" s="4"/>
      <c r="X59" s="4"/>
      <c r="Y59" s="4"/>
      <c r="Z59" s="4"/>
      <c r="AA59" s="4"/>
      <c r="AB59" s="4"/>
    </row>
    <row r="60" spans="1:28" x14ac:dyDescent="0.3">
      <c r="A60" s="381">
        <v>59</v>
      </c>
      <c r="B60" s="105">
        <v>12692</v>
      </c>
      <c r="C60" s="94">
        <v>46048</v>
      </c>
      <c r="D60" s="83" t="s">
        <v>3545</v>
      </c>
      <c r="E60" s="84" t="s">
        <v>3546</v>
      </c>
      <c r="F60" s="83" t="s">
        <v>3510</v>
      </c>
      <c r="G60" s="119" t="s">
        <v>3522</v>
      </c>
      <c r="H60" s="84" t="s">
        <v>3527</v>
      </c>
      <c r="I60" s="81" t="s">
        <v>3512</v>
      </c>
      <c r="J60" s="81" t="s">
        <v>3524</v>
      </c>
      <c r="K60" s="81" t="s">
        <v>3601</v>
      </c>
      <c r="L60" s="85">
        <v>159700</v>
      </c>
      <c r="M60" s="91" t="s">
        <v>3413</v>
      </c>
      <c r="N60" s="240"/>
      <c r="O60" s="85" t="s">
        <v>3412</v>
      </c>
      <c r="P60" s="82"/>
      <c r="Q60" s="81" t="s">
        <v>3612</v>
      </c>
      <c r="R60" s="320"/>
      <c r="S60" s="321" t="s">
        <v>3437</v>
      </c>
      <c r="T60" s="321"/>
      <c r="U60" s="321"/>
      <c r="V60" s="4"/>
      <c r="W60" s="4"/>
      <c r="X60" s="4"/>
      <c r="Y60" s="4"/>
      <c r="Z60" s="4"/>
      <c r="AA60" s="4"/>
      <c r="AB60" s="4"/>
    </row>
    <row r="61" spans="1:28" x14ac:dyDescent="0.3">
      <c r="A61" s="381">
        <v>60</v>
      </c>
      <c r="B61" s="105">
        <v>12693</v>
      </c>
      <c r="C61" s="94">
        <v>46048</v>
      </c>
      <c r="D61" s="83" t="s">
        <v>3547</v>
      </c>
      <c r="E61" s="84" t="s">
        <v>3548</v>
      </c>
      <c r="F61" s="83" t="s">
        <v>3510</v>
      </c>
      <c r="G61" s="119" t="s">
        <v>3522</v>
      </c>
      <c r="H61" s="84" t="s">
        <v>3511</v>
      </c>
      <c r="I61" s="81" t="s">
        <v>3549</v>
      </c>
      <c r="J61" s="81" t="s">
        <v>3524</v>
      </c>
      <c r="K61" s="81" t="s">
        <v>3601</v>
      </c>
      <c r="L61" s="85">
        <v>73000</v>
      </c>
      <c r="M61" s="91" t="s">
        <v>3413</v>
      </c>
      <c r="N61" s="240"/>
      <c r="O61" s="85" t="s">
        <v>3552</v>
      </c>
      <c r="P61" s="82"/>
      <c r="Q61" s="81"/>
      <c r="R61" s="320"/>
      <c r="S61" s="321" t="s">
        <v>3437</v>
      </c>
      <c r="T61" s="321"/>
      <c r="U61" s="321"/>
      <c r="V61" s="4"/>
      <c r="W61" s="4"/>
      <c r="X61" s="4"/>
      <c r="Y61" s="4"/>
      <c r="Z61" s="4"/>
      <c r="AA61" s="4"/>
      <c r="AB61" s="4"/>
    </row>
    <row r="62" spans="1:28" x14ac:dyDescent="0.3">
      <c r="A62" s="381">
        <v>61</v>
      </c>
      <c r="B62" s="105">
        <v>12694</v>
      </c>
      <c r="C62" s="94">
        <v>46048</v>
      </c>
      <c r="D62" s="83" t="s">
        <v>3665</v>
      </c>
      <c r="E62" s="84" t="s">
        <v>3666</v>
      </c>
      <c r="F62" s="83" t="s">
        <v>534</v>
      </c>
      <c r="G62" s="119" t="s">
        <v>3644</v>
      </c>
      <c r="H62" s="84" t="s">
        <v>3511</v>
      </c>
      <c r="I62" s="81" t="s">
        <v>3517</v>
      </c>
      <c r="J62" s="81" t="s">
        <v>3524</v>
      </c>
      <c r="K62" s="81" t="s">
        <v>3601</v>
      </c>
      <c r="L62" s="85">
        <v>397000</v>
      </c>
      <c r="M62" s="91" t="s">
        <v>3413</v>
      </c>
      <c r="N62" s="240"/>
      <c r="O62" s="85" t="s">
        <v>3552</v>
      </c>
      <c r="P62" s="82"/>
      <c r="Q62" s="81"/>
      <c r="R62" s="320"/>
      <c r="S62" s="321" t="s">
        <v>3437</v>
      </c>
      <c r="T62" s="321"/>
      <c r="U62" s="321"/>
      <c r="V62" s="4"/>
      <c r="W62" s="4"/>
      <c r="X62" s="4"/>
      <c r="Y62" s="4"/>
      <c r="Z62" s="4"/>
      <c r="AA62" s="4"/>
      <c r="AB62" s="4"/>
    </row>
    <row r="63" spans="1:28" x14ac:dyDescent="0.3">
      <c r="A63" s="381">
        <v>62</v>
      </c>
      <c r="B63" s="105">
        <v>10058</v>
      </c>
      <c r="C63" s="94">
        <v>46048</v>
      </c>
      <c r="D63" s="83" t="s">
        <v>3550</v>
      </c>
      <c r="E63" s="84" t="s">
        <v>3551</v>
      </c>
      <c r="F63" s="83" t="s">
        <v>1050</v>
      </c>
      <c r="G63" s="119" t="s">
        <v>3463</v>
      </c>
      <c r="H63" s="84" t="s">
        <v>3456</v>
      </c>
      <c r="I63" s="81" t="s">
        <v>3308</v>
      </c>
      <c r="J63" s="81" t="s">
        <v>3329</v>
      </c>
      <c r="K63" s="81" t="s">
        <v>3601</v>
      </c>
      <c r="L63" s="85">
        <v>113000</v>
      </c>
      <c r="M63" s="91" t="s">
        <v>3413</v>
      </c>
      <c r="N63" s="240"/>
      <c r="O63" s="85" t="s">
        <v>3412</v>
      </c>
      <c r="P63" s="82"/>
      <c r="Q63" s="81" t="s">
        <v>3613</v>
      </c>
      <c r="R63" s="320"/>
      <c r="S63" s="321" t="s">
        <v>3437</v>
      </c>
      <c r="T63" s="321" t="s">
        <v>3422</v>
      </c>
      <c r="U63" s="321" t="s">
        <v>3437</v>
      </c>
      <c r="V63" s="4"/>
      <c r="W63" s="4"/>
      <c r="X63" s="4"/>
      <c r="Y63" s="4"/>
      <c r="Z63" s="4"/>
      <c r="AA63" s="4"/>
      <c r="AB63" s="4"/>
    </row>
    <row r="64" spans="1:28" x14ac:dyDescent="0.3">
      <c r="A64" s="381">
        <v>63</v>
      </c>
      <c r="B64" s="142">
        <v>12695</v>
      </c>
      <c r="C64" s="143" t="s">
        <v>3553</v>
      </c>
      <c r="D64" s="144" t="s">
        <v>2046</v>
      </c>
      <c r="E64" s="144" t="s">
        <v>2199</v>
      </c>
      <c r="F64" s="144" t="s">
        <v>1050</v>
      </c>
      <c r="G64" s="145" t="s">
        <v>3406</v>
      </c>
      <c r="H64" s="144" t="s">
        <v>3410</v>
      </c>
      <c r="I64" s="138" t="s">
        <v>3555</v>
      </c>
      <c r="J64" s="138" t="s">
        <v>3557</v>
      </c>
      <c r="K64" s="138" t="s">
        <v>3601</v>
      </c>
      <c r="L64" s="140">
        <v>200000</v>
      </c>
      <c r="M64" s="91" t="s">
        <v>3556</v>
      </c>
      <c r="N64" s="240"/>
      <c r="O64" s="141" t="s">
        <v>3552</v>
      </c>
      <c r="P64" s="310"/>
      <c r="Q64" s="139" t="s">
        <v>3558</v>
      </c>
      <c r="R64" s="320"/>
      <c r="S64" s="321"/>
      <c r="T64" s="321"/>
      <c r="U64" s="321"/>
      <c r="V64" s="4"/>
      <c r="W64" s="4"/>
      <c r="X64" s="4"/>
      <c r="Y64" s="4"/>
      <c r="Z64" s="4"/>
      <c r="AA64" s="4"/>
      <c r="AB64" s="4"/>
    </row>
    <row r="65" spans="1:28" x14ac:dyDescent="0.3">
      <c r="A65" s="381">
        <v>64</v>
      </c>
      <c r="B65" s="105">
        <v>12696</v>
      </c>
      <c r="C65" s="94">
        <v>46050</v>
      </c>
      <c r="D65" s="83" t="s">
        <v>3611</v>
      </c>
      <c r="E65" s="84" t="s">
        <v>173</v>
      </c>
      <c r="F65" s="83" t="s">
        <v>1050</v>
      </c>
      <c r="G65" s="119" t="s">
        <v>3461</v>
      </c>
      <c r="H65" s="238" t="s">
        <v>3456</v>
      </c>
      <c r="I65" s="81" t="s">
        <v>3308</v>
      </c>
      <c r="J65" s="81" t="s">
        <v>3454</v>
      </c>
      <c r="K65" s="81" t="s">
        <v>3600</v>
      </c>
      <c r="L65" s="85">
        <v>89000</v>
      </c>
      <c r="M65" s="91" t="s">
        <v>3610</v>
      </c>
      <c r="N65" s="240"/>
      <c r="O65" s="85" t="s">
        <v>3552</v>
      </c>
      <c r="P65" s="82"/>
      <c r="Q65" s="81"/>
      <c r="R65" s="320"/>
      <c r="S65" s="321" t="s">
        <v>3437</v>
      </c>
      <c r="T65" s="321"/>
      <c r="U65" s="321"/>
      <c r="V65" s="4"/>
      <c r="W65" s="4"/>
      <c r="X65" s="4"/>
      <c r="Y65" s="4"/>
      <c r="Z65" s="4"/>
      <c r="AA65" s="4"/>
      <c r="AB65" s="4"/>
    </row>
    <row r="66" spans="1:28" x14ac:dyDescent="0.3">
      <c r="A66" s="381">
        <v>65</v>
      </c>
      <c r="B66" s="105">
        <v>12698</v>
      </c>
      <c r="C66" s="95" t="s">
        <v>3615</v>
      </c>
      <c r="D66" s="83" t="s">
        <v>3614</v>
      </c>
      <c r="E66" s="84" t="s">
        <v>2264</v>
      </c>
      <c r="F66" s="83" t="s">
        <v>534</v>
      </c>
      <c r="G66" s="119" t="s">
        <v>3461</v>
      </c>
      <c r="H66" s="84" t="s">
        <v>3458</v>
      </c>
      <c r="I66" s="81" t="s">
        <v>3609</v>
      </c>
      <c r="J66" s="81" t="s">
        <v>3557</v>
      </c>
      <c r="K66" s="81" t="s">
        <v>3601</v>
      </c>
      <c r="L66" s="85">
        <v>284100</v>
      </c>
      <c r="M66" s="91" t="s">
        <v>3413</v>
      </c>
      <c r="N66" s="240"/>
      <c r="O66" s="85" t="s">
        <v>3552</v>
      </c>
      <c r="P66" s="82"/>
      <c r="Q66" s="81"/>
      <c r="R66" s="320"/>
      <c r="S66" s="321" t="s">
        <v>3437</v>
      </c>
      <c r="T66" s="321"/>
      <c r="U66" s="321"/>
      <c r="V66" s="4"/>
      <c r="W66" s="4"/>
      <c r="X66" s="4"/>
      <c r="Y66" s="4"/>
      <c r="Z66" s="4"/>
      <c r="AA66" s="4"/>
      <c r="AB66" s="4"/>
    </row>
    <row r="67" spans="1:28" x14ac:dyDescent="0.3">
      <c r="A67" s="381">
        <v>66</v>
      </c>
      <c r="B67" s="105">
        <v>12699</v>
      </c>
      <c r="C67" s="94">
        <v>46051</v>
      </c>
      <c r="D67" s="83" t="s">
        <v>3626</v>
      </c>
      <c r="E67" s="84" t="s">
        <v>693</v>
      </c>
      <c r="F67" s="83" t="s">
        <v>534</v>
      </c>
      <c r="G67" s="119" t="s">
        <v>3461</v>
      </c>
      <c r="H67" s="84" t="s">
        <v>3458</v>
      </c>
      <c r="I67" s="81" t="s">
        <v>3308</v>
      </c>
      <c r="J67" s="81" t="s">
        <v>3454</v>
      </c>
      <c r="K67" s="81" t="s">
        <v>3601</v>
      </c>
      <c r="L67" s="85">
        <v>291600</v>
      </c>
      <c r="M67" s="91" t="s">
        <v>3610</v>
      </c>
      <c r="N67" s="240"/>
      <c r="O67" s="85" t="s">
        <v>3627</v>
      </c>
      <c r="P67" s="82"/>
      <c r="Q67" s="81"/>
      <c r="R67" s="320"/>
      <c r="S67" s="321"/>
      <c r="T67" s="321"/>
      <c r="U67" s="321"/>
      <c r="V67" s="4"/>
      <c r="W67" s="4"/>
      <c r="X67" s="4"/>
      <c r="Y67" s="4"/>
      <c r="Z67" s="4"/>
      <c r="AA67" s="4"/>
      <c r="AB67" s="4"/>
    </row>
    <row r="68" spans="1:28" x14ac:dyDescent="0.3">
      <c r="A68" s="381">
        <v>67</v>
      </c>
      <c r="B68" s="105">
        <v>12700</v>
      </c>
      <c r="C68" s="271">
        <v>46051</v>
      </c>
      <c r="D68" s="272" t="s">
        <v>3628</v>
      </c>
      <c r="E68" s="273" t="s">
        <v>3629</v>
      </c>
      <c r="F68" s="272" t="s">
        <v>1050</v>
      </c>
      <c r="G68" s="274" t="s">
        <v>3630</v>
      </c>
      <c r="H68" s="273" t="s">
        <v>3456</v>
      </c>
      <c r="I68" s="275" t="s">
        <v>3344</v>
      </c>
      <c r="J68" s="275" t="s">
        <v>3329</v>
      </c>
      <c r="K68" s="275" t="s">
        <v>3601</v>
      </c>
      <c r="L68" s="276">
        <v>3882860</v>
      </c>
      <c r="M68" s="91" t="s">
        <v>3610</v>
      </c>
      <c r="N68" s="240"/>
      <c r="O68" s="85" t="s">
        <v>3412</v>
      </c>
      <c r="P68" s="82"/>
      <c r="Q68" s="81" t="s">
        <v>3672</v>
      </c>
      <c r="R68" s="320"/>
      <c r="S68" s="321" t="s">
        <v>3411</v>
      </c>
      <c r="T68" s="321"/>
      <c r="U68" s="321"/>
      <c r="V68" s="4"/>
      <c r="W68" s="4"/>
      <c r="X68" s="4"/>
      <c r="Y68" s="4"/>
      <c r="Z68" s="4"/>
      <c r="AA68" s="4"/>
      <c r="AB68" s="4"/>
    </row>
    <row r="69" spans="1:28" x14ac:dyDescent="0.3">
      <c r="A69" s="381">
        <v>68</v>
      </c>
      <c r="B69" s="105">
        <v>12702</v>
      </c>
      <c r="C69" s="94">
        <v>46052</v>
      </c>
      <c r="D69" s="83" t="s">
        <v>3631</v>
      </c>
      <c r="E69" s="84" t="s">
        <v>3632</v>
      </c>
      <c r="F69" s="83" t="s">
        <v>534</v>
      </c>
      <c r="G69" s="119" t="s">
        <v>3461</v>
      </c>
      <c r="H69" s="84" t="s">
        <v>2800</v>
      </c>
      <c r="I69" s="81" t="s">
        <v>3314</v>
      </c>
      <c r="J69" s="81" t="s">
        <v>3329</v>
      </c>
      <c r="K69" s="81" t="s">
        <v>3601</v>
      </c>
      <c r="L69" s="85">
        <v>401000</v>
      </c>
      <c r="M69" s="91" t="s">
        <v>3610</v>
      </c>
      <c r="N69" s="240"/>
      <c r="O69" s="85" t="s">
        <v>3627</v>
      </c>
      <c r="P69" s="82"/>
      <c r="Q69" s="81" t="s">
        <v>3672</v>
      </c>
      <c r="R69" s="320"/>
      <c r="S69" s="321" t="s">
        <v>3411</v>
      </c>
      <c r="T69" s="321"/>
      <c r="U69" s="321"/>
      <c r="V69" s="4"/>
      <c r="W69" s="4"/>
      <c r="X69" s="4"/>
      <c r="Y69" s="4"/>
      <c r="Z69" s="4"/>
      <c r="AA69" s="4"/>
      <c r="AB69" s="4"/>
    </row>
    <row r="70" spans="1:28" x14ac:dyDescent="0.3">
      <c r="A70" s="381">
        <v>69</v>
      </c>
      <c r="B70" s="105">
        <v>12703</v>
      </c>
      <c r="C70" s="94">
        <v>46052</v>
      </c>
      <c r="D70" s="83" t="s">
        <v>3633</v>
      </c>
      <c r="E70" s="84" t="s">
        <v>3634</v>
      </c>
      <c r="F70" s="83" t="s">
        <v>534</v>
      </c>
      <c r="G70" s="119" t="s">
        <v>3461</v>
      </c>
      <c r="H70" s="84" t="s">
        <v>3456</v>
      </c>
      <c r="I70" s="81" t="s">
        <v>3314</v>
      </c>
      <c r="J70" s="81" t="s">
        <v>3329</v>
      </c>
      <c r="K70" s="81" t="s">
        <v>3601</v>
      </c>
      <c r="L70" s="85">
        <v>158500</v>
      </c>
      <c r="M70" s="91" t="s">
        <v>3610</v>
      </c>
      <c r="N70" s="240"/>
      <c r="O70" s="85" t="s">
        <v>3412</v>
      </c>
      <c r="P70" s="82"/>
      <c r="Q70" s="136">
        <v>46055</v>
      </c>
      <c r="R70" s="320"/>
      <c r="S70" s="321" t="s">
        <v>3437</v>
      </c>
      <c r="T70" s="321"/>
      <c r="U70" s="321"/>
      <c r="V70" s="4"/>
      <c r="W70" s="4"/>
      <c r="X70" s="4"/>
      <c r="Y70" s="4"/>
      <c r="Z70" s="4"/>
      <c r="AA70" s="4"/>
      <c r="AB70" s="4"/>
    </row>
    <row r="71" spans="1:28" x14ac:dyDescent="0.3">
      <c r="A71" s="381">
        <v>70</v>
      </c>
      <c r="B71" s="105">
        <v>12704</v>
      </c>
      <c r="C71" s="271">
        <v>46053</v>
      </c>
      <c r="D71" s="272" t="s">
        <v>3641</v>
      </c>
      <c r="E71" s="273" t="s">
        <v>3642</v>
      </c>
      <c r="F71" s="272" t="s">
        <v>3643</v>
      </c>
      <c r="G71" s="274" t="s">
        <v>3644</v>
      </c>
      <c r="H71" s="273" t="s">
        <v>3645</v>
      </c>
      <c r="I71" s="275" t="s">
        <v>3646</v>
      </c>
      <c r="J71" s="275" t="s">
        <v>3647</v>
      </c>
      <c r="K71" s="275" t="s">
        <v>3601</v>
      </c>
      <c r="L71" s="276">
        <v>564500</v>
      </c>
      <c r="M71" s="91" t="s">
        <v>3648</v>
      </c>
      <c r="N71" s="240"/>
      <c r="O71" s="85" t="s">
        <v>3627</v>
      </c>
      <c r="P71" s="82"/>
      <c r="Q71" s="81"/>
      <c r="R71" s="320"/>
      <c r="S71" s="321"/>
      <c r="T71" s="321"/>
      <c r="U71" s="321"/>
      <c r="V71" s="4"/>
      <c r="W71" s="4"/>
      <c r="X71" s="4"/>
      <c r="Y71" s="4"/>
      <c r="Z71" s="4"/>
      <c r="AA71" s="4"/>
      <c r="AB71" s="4"/>
    </row>
    <row r="72" spans="1:28" x14ac:dyDescent="0.3">
      <c r="A72" s="381">
        <v>71</v>
      </c>
      <c r="B72" s="105">
        <v>12705</v>
      </c>
      <c r="C72" s="271">
        <v>46053</v>
      </c>
      <c r="D72" s="272" t="s">
        <v>3649</v>
      </c>
      <c r="E72" s="273" t="s">
        <v>3650</v>
      </c>
      <c r="F72" s="272" t="s">
        <v>3643</v>
      </c>
      <c r="G72" s="274" t="s">
        <v>3644</v>
      </c>
      <c r="H72" s="273" t="s">
        <v>3645</v>
      </c>
      <c r="I72" s="275" t="s">
        <v>3651</v>
      </c>
      <c r="J72" s="275" t="s">
        <v>3647</v>
      </c>
      <c r="K72" s="275" t="s">
        <v>3601</v>
      </c>
      <c r="L72" s="276">
        <v>129000</v>
      </c>
      <c r="M72" s="91" t="s">
        <v>3648</v>
      </c>
      <c r="N72" s="240"/>
      <c r="O72" s="85" t="s">
        <v>3627</v>
      </c>
      <c r="P72" s="82"/>
      <c r="Q72" s="81" t="s">
        <v>3672</v>
      </c>
      <c r="R72" s="320"/>
      <c r="S72" s="321" t="s">
        <v>3411</v>
      </c>
      <c r="T72" s="321"/>
      <c r="U72" s="321"/>
      <c r="V72" s="4"/>
      <c r="W72" s="4"/>
      <c r="X72" s="4"/>
      <c r="Y72" s="4"/>
      <c r="Z72" s="4"/>
      <c r="AA72" s="4"/>
      <c r="AB72" s="4"/>
    </row>
    <row r="73" spans="1:28" x14ac:dyDescent="0.3">
      <c r="A73" s="381">
        <v>72</v>
      </c>
      <c r="B73" s="105"/>
      <c r="C73" s="95"/>
      <c r="D73" s="83"/>
      <c r="E73" s="84"/>
      <c r="F73" s="83"/>
      <c r="G73" s="119"/>
      <c r="H73" s="84"/>
      <c r="I73" s="81"/>
      <c r="J73" s="81"/>
      <c r="K73" s="81"/>
      <c r="L73" s="85"/>
      <c r="M73" s="91"/>
      <c r="N73" s="240"/>
      <c r="O73" s="85"/>
      <c r="P73" s="82"/>
      <c r="Q73" s="81"/>
      <c r="R73" s="320"/>
      <c r="S73" s="321"/>
      <c r="T73" s="321"/>
      <c r="U73" s="321"/>
      <c r="V73" s="4"/>
      <c r="W73" s="4"/>
      <c r="X73" s="4"/>
      <c r="Y73" s="4"/>
      <c r="Z73" s="4"/>
      <c r="AA73" s="4"/>
      <c r="AB73" s="4"/>
    </row>
    <row r="74" spans="1:28" x14ac:dyDescent="0.3">
      <c r="A74" s="381">
        <v>73</v>
      </c>
      <c r="B74" s="105"/>
      <c r="C74" s="95"/>
      <c r="D74" s="83"/>
      <c r="E74" s="84"/>
      <c r="F74" s="83"/>
      <c r="G74" s="119"/>
      <c r="H74" s="84"/>
      <c r="I74" s="81"/>
      <c r="J74" s="81"/>
      <c r="K74" s="81"/>
      <c r="L74" s="85"/>
      <c r="M74" s="91"/>
      <c r="N74" s="240"/>
      <c r="O74" s="85"/>
      <c r="P74" s="82"/>
      <c r="Q74" s="81"/>
      <c r="R74" s="320"/>
      <c r="S74" s="321"/>
      <c r="T74" s="321"/>
      <c r="U74" s="321"/>
      <c r="V74" s="4"/>
      <c r="W74" s="4"/>
      <c r="X74" s="4"/>
      <c r="Y74" s="4"/>
      <c r="Z74" s="4"/>
      <c r="AA74" s="4"/>
      <c r="AB74" s="4"/>
    </row>
    <row r="75" spans="1:28" x14ac:dyDescent="0.3">
      <c r="A75" s="381">
        <v>74</v>
      </c>
      <c r="B75" s="105"/>
      <c r="C75" s="95"/>
      <c r="D75" s="83"/>
      <c r="E75" s="84"/>
      <c r="F75" s="83"/>
      <c r="G75" s="119"/>
      <c r="H75" s="84"/>
      <c r="I75" s="81"/>
      <c r="J75" s="81"/>
      <c r="K75" s="81"/>
      <c r="L75" s="85"/>
      <c r="M75" s="91"/>
      <c r="N75" s="240"/>
      <c r="O75" s="85"/>
      <c r="P75" s="82"/>
      <c r="Q75" s="81"/>
      <c r="R75" s="320"/>
      <c r="S75" s="321"/>
      <c r="T75" s="321"/>
      <c r="U75" s="321"/>
      <c r="V75" s="4"/>
      <c r="W75" s="4"/>
      <c r="X75" s="4"/>
      <c r="Y75" s="4"/>
      <c r="Z75" s="4"/>
      <c r="AA75" s="4"/>
      <c r="AB75" s="4"/>
    </row>
    <row r="76" spans="1:28" x14ac:dyDescent="0.3">
      <c r="A76" s="381">
        <v>75</v>
      </c>
      <c r="B76" s="105"/>
      <c r="C76" s="95"/>
      <c r="D76" s="83"/>
      <c r="E76" s="84"/>
      <c r="F76" s="83"/>
      <c r="G76" s="119"/>
      <c r="H76" s="84"/>
      <c r="I76" s="81"/>
      <c r="J76" s="81"/>
      <c r="K76" s="81"/>
      <c r="L76" s="85"/>
      <c r="M76" s="91"/>
      <c r="N76" s="240"/>
      <c r="O76" s="85"/>
      <c r="P76" s="82"/>
      <c r="Q76" s="81"/>
      <c r="R76" s="320"/>
      <c r="S76" s="321"/>
      <c r="T76" s="321"/>
      <c r="U76" s="321"/>
      <c r="V76" s="4"/>
      <c r="W76" s="4"/>
      <c r="X76" s="4"/>
      <c r="Y76" s="4"/>
      <c r="Z76" s="4"/>
      <c r="AA76" s="4"/>
      <c r="AB76" s="4"/>
    </row>
    <row r="77" spans="1:28" x14ac:dyDescent="0.3">
      <c r="A77" s="381">
        <v>76</v>
      </c>
      <c r="B77" s="105"/>
      <c r="C77" s="95"/>
      <c r="D77" s="83"/>
      <c r="E77" s="84"/>
      <c r="F77" s="83"/>
      <c r="G77" s="119"/>
      <c r="H77" s="84"/>
      <c r="I77" s="81"/>
      <c r="J77" s="81"/>
      <c r="K77" s="81"/>
      <c r="L77" s="85"/>
      <c r="M77" s="91"/>
      <c r="N77" s="240"/>
      <c r="O77" s="85"/>
      <c r="P77" s="82"/>
      <c r="Q77" s="81"/>
      <c r="R77" s="320"/>
      <c r="S77" s="321"/>
      <c r="T77" s="321"/>
      <c r="U77" s="321"/>
      <c r="V77" s="4"/>
      <c r="W77" s="4"/>
      <c r="X77" s="4"/>
      <c r="Y77" s="4"/>
      <c r="Z77" s="4"/>
      <c r="AA77" s="4"/>
      <c r="AB77" s="4"/>
    </row>
    <row r="78" spans="1:28" x14ac:dyDescent="0.3">
      <c r="A78" s="381">
        <v>77</v>
      </c>
      <c r="B78" s="105"/>
      <c r="C78" s="95"/>
      <c r="D78" s="83"/>
      <c r="E78" s="84"/>
      <c r="F78" s="83"/>
      <c r="G78" s="119"/>
      <c r="H78" s="84"/>
      <c r="I78" s="81"/>
      <c r="J78" s="81"/>
      <c r="K78" s="81"/>
      <c r="L78" s="85"/>
      <c r="M78" s="91"/>
      <c r="N78" s="240"/>
      <c r="O78" s="85"/>
      <c r="P78" s="82"/>
      <c r="Q78" s="81"/>
      <c r="R78" s="320"/>
      <c r="S78" s="321"/>
      <c r="T78" s="321"/>
      <c r="U78" s="321"/>
      <c r="V78" s="4"/>
      <c r="W78" s="4"/>
      <c r="X78" s="4"/>
      <c r="Y78" s="4"/>
      <c r="Z78" s="4"/>
      <c r="AA78" s="4"/>
      <c r="AB78" s="4"/>
    </row>
    <row r="79" spans="1:28" x14ac:dyDescent="0.3">
      <c r="A79" s="381">
        <v>78</v>
      </c>
      <c r="B79" s="105"/>
      <c r="C79" s="95"/>
      <c r="D79" s="83"/>
      <c r="E79" s="84"/>
      <c r="F79" s="83"/>
      <c r="G79" s="119"/>
      <c r="H79" s="84"/>
      <c r="I79" s="81"/>
      <c r="J79" s="81"/>
      <c r="K79" s="81"/>
      <c r="L79" s="85"/>
      <c r="M79" s="91"/>
      <c r="N79" s="240"/>
      <c r="O79" s="85"/>
      <c r="P79" s="82"/>
      <c r="Q79" s="81"/>
      <c r="R79" s="320"/>
      <c r="S79" s="321"/>
      <c r="T79" s="321"/>
      <c r="U79" s="321"/>
      <c r="V79" s="4"/>
      <c r="W79" s="4"/>
      <c r="X79" s="4"/>
      <c r="Y79" s="4"/>
      <c r="Z79" s="4"/>
      <c r="AA79" s="4"/>
      <c r="AB79" s="4"/>
    </row>
    <row r="80" spans="1:28" x14ac:dyDescent="0.3">
      <c r="A80" s="381">
        <v>79</v>
      </c>
      <c r="B80" s="105"/>
      <c r="C80" s="95"/>
      <c r="D80" s="83"/>
      <c r="E80" s="84"/>
      <c r="F80" s="83"/>
      <c r="G80" s="119"/>
      <c r="H80" s="84"/>
      <c r="I80" s="81"/>
      <c r="J80" s="81"/>
      <c r="K80" s="81"/>
      <c r="L80" s="85"/>
      <c r="M80" s="91"/>
      <c r="N80" s="240"/>
      <c r="O80" s="85"/>
      <c r="P80" s="82"/>
      <c r="Q80" s="81"/>
      <c r="R80" s="320"/>
      <c r="S80" s="321"/>
      <c r="T80" s="321"/>
      <c r="U80" s="321"/>
      <c r="V80" s="4"/>
      <c r="W80" s="4"/>
      <c r="X80" s="4"/>
      <c r="Y80" s="4"/>
      <c r="Z80" s="4"/>
      <c r="AA80" s="4"/>
      <c r="AB80" s="4"/>
    </row>
    <row r="81" spans="1:28" x14ac:dyDescent="0.3">
      <c r="A81" s="381">
        <v>80</v>
      </c>
      <c r="B81" s="105"/>
      <c r="C81" s="95"/>
      <c r="D81" s="83"/>
      <c r="E81" s="84"/>
      <c r="F81" s="83"/>
      <c r="G81" s="119"/>
      <c r="H81" s="84"/>
      <c r="I81" s="81"/>
      <c r="J81" s="81"/>
      <c r="K81" s="81"/>
      <c r="L81" s="85"/>
      <c r="M81" s="91"/>
      <c r="N81" s="240"/>
      <c r="O81" s="85"/>
      <c r="P81" s="82"/>
      <c r="Q81" s="81"/>
      <c r="R81" s="320"/>
      <c r="S81" s="321"/>
      <c r="T81" s="321"/>
      <c r="U81" s="321"/>
      <c r="V81" s="4"/>
      <c r="W81" s="4"/>
      <c r="X81" s="4"/>
      <c r="Y81" s="4"/>
      <c r="Z81" s="4"/>
      <c r="AA81" s="4"/>
      <c r="AB81" s="4"/>
    </row>
    <row r="82" spans="1:28" x14ac:dyDescent="0.3">
      <c r="A82" s="381">
        <v>81</v>
      </c>
      <c r="B82" s="105"/>
      <c r="C82" s="95"/>
      <c r="D82" s="83"/>
      <c r="E82" s="84"/>
      <c r="F82" s="83"/>
      <c r="G82" s="119"/>
      <c r="H82" s="84"/>
      <c r="I82" s="81"/>
      <c r="J82" s="81"/>
      <c r="K82" s="81"/>
      <c r="L82" s="85"/>
      <c r="M82" s="91"/>
      <c r="N82" s="240"/>
      <c r="O82" s="85"/>
      <c r="P82" s="82"/>
      <c r="Q82" s="81"/>
      <c r="R82" s="320"/>
      <c r="S82" s="321"/>
      <c r="T82" s="321"/>
      <c r="U82" s="321"/>
      <c r="V82" s="4"/>
      <c r="W82" s="4"/>
      <c r="X82" s="4"/>
      <c r="Y82" s="4"/>
      <c r="Z82" s="4"/>
      <c r="AA82" s="4"/>
      <c r="AB82" s="4"/>
    </row>
    <row r="83" spans="1:28" x14ac:dyDescent="0.3">
      <c r="A83" s="381">
        <v>82</v>
      </c>
      <c r="B83" s="105"/>
      <c r="C83" s="95"/>
      <c r="D83" s="83"/>
      <c r="E83" s="84"/>
      <c r="F83" s="83"/>
      <c r="G83" s="119"/>
      <c r="H83" s="84"/>
      <c r="I83" s="81"/>
      <c r="J83" s="81"/>
      <c r="K83" s="81"/>
      <c r="L83" s="85"/>
      <c r="M83" s="91"/>
      <c r="N83" s="240"/>
      <c r="O83" s="85"/>
      <c r="P83" s="82"/>
      <c r="Q83" s="81"/>
      <c r="R83" s="320"/>
      <c r="S83" s="321"/>
      <c r="T83" s="321"/>
      <c r="U83" s="321"/>
      <c r="V83" s="4"/>
      <c r="W83" s="4"/>
      <c r="X83" s="4"/>
      <c r="Y83" s="4"/>
      <c r="Z83" s="4"/>
      <c r="AA83" s="4"/>
      <c r="AB83" s="4"/>
    </row>
    <row r="84" spans="1:28" x14ac:dyDescent="0.3">
      <c r="A84" s="381">
        <v>83</v>
      </c>
      <c r="B84" s="105"/>
      <c r="C84" s="95"/>
      <c r="D84" s="83"/>
      <c r="E84" s="84"/>
      <c r="F84" s="83"/>
      <c r="G84" s="119"/>
      <c r="H84" s="84"/>
      <c r="I84" s="81"/>
      <c r="J84" s="81"/>
      <c r="K84" s="81"/>
      <c r="L84" s="84"/>
      <c r="M84" s="91"/>
      <c r="N84" s="240"/>
      <c r="O84" s="85"/>
      <c r="P84" s="82"/>
      <c r="Q84" s="81"/>
      <c r="R84" s="320"/>
      <c r="S84" s="321"/>
      <c r="T84" s="321"/>
      <c r="U84" s="321"/>
      <c r="V84" s="4"/>
      <c r="W84" s="4"/>
      <c r="X84" s="4"/>
      <c r="Y84" s="4"/>
      <c r="Z84" s="4"/>
      <c r="AA84" s="4"/>
      <c r="AB84" s="4"/>
    </row>
    <row r="85" spans="1:28" x14ac:dyDescent="0.3">
      <c r="A85" s="381">
        <v>84</v>
      </c>
      <c r="B85" s="105"/>
      <c r="C85" s="95"/>
      <c r="D85" s="83"/>
      <c r="E85" s="84"/>
      <c r="F85" s="83"/>
      <c r="G85" s="119"/>
      <c r="H85" s="84"/>
      <c r="I85" s="81"/>
      <c r="J85" s="81"/>
      <c r="K85" s="81"/>
      <c r="L85" s="84"/>
      <c r="M85" s="91"/>
      <c r="N85" s="240"/>
      <c r="O85" s="85"/>
      <c r="P85" s="82"/>
      <c r="Q85" s="81"/>
      <c r="R85" s="320"/>
      <c r="S85" s="321"/>
      <c r="T85" s="321"/>
      <c r="U85" s="321"/>
      <c r="V85" s="4"/>
      <c r="W85" s="4"/>
      <c r="X85" s="4"/>
      <c r="Y85" s="4"/>
      <c r="Z85" s="4"/>
      <c r="AA85" s="4"/>
      <c r="AB85" s="4"/>
    </row>
    <row r="86" spans="1:28" x14ac:dyDescent="0.3">
      <c r="A86" s="381">
        <v>85</v>
      </c>
      <c r="B86" s="105"/>
      <c r="C86" s="95"/>
      <c r="D86" s="83"/>
      <c r="E86" s="84"/>
      <c r="F86" s="83"/>
      <c r="G86" s="119"/>
      <c r="H86" s="84"/>
      <c r="I86" s="81"/>
      <c r="J86" s="81"/>
      <c r="K86" s="81"/>
      <c r="L86" s="84"/>
      <c r="M86" s="91"/>
      <c r="N86" s="240"/>
      <c r="O86" s="85"/>
      <c r="P86" s="82"/>
      <c r="Q86" s="81"/>
      <c r="R86" s="320"/>
      <c r="S86" s="321"/>
      <c r="T86" s="321"/>
      <c r="U86" s="321"/>
      <c r="V86" s="4"/>
      <c r="W86" s="4"/>
      <c r="X86" s="4"/>
      <c r="Y86" s="4"/>
      <c r="Z86" s="4"/>
      <c r="AA86" s="4"/>
      <c r="AB86" s="4"/>
    </row>
    <row r="87" spans="1:28" x14ac:dyDescent="0.3">
      <c r="A87" s="381">
        <v>86</v>
      </c>
      <c r="B87" s="105"/>
      <c r="C87" s="95"/>
      <c r="D87" s="83"/>
      <c r="E87" s="84"/>
      <c r="F87" s="83"/>
      <c r="G87" s="119"/>
      <c r="H87" s="84"/>
      <c r="I87" s="81"/>
      <c r="J87" s="81"/>
      <c r="K87" s="81"/>
      <c r="L87" s="84"/>
      <c r="M87" s="91"/>
      <c r="N87" s="240"/>
      <c r="O87" s="85"/>
      <c r="P87" s="82"/>
      <c r="Q87" s="81"/>
      <c r="R87" s="320"/>
      <c r="S87" s="321"/>
      <c r="T87" s="321"/>
      <c r="U87" s="321"/>
      <c r="V87" s="4"/>
      <c r="W87" s="4"/>
      <c r="X87" s="4"/>
      <c r="Y87" s="4"/>
      <c r="Z87" s="4"/>
      <c r="AA87" s="4"/>
      <c r="AB87" s="4"/>
    </row>
    <row r="88" spans="1:28" x14ac:dyDescent="0.3">
      <c r="A88" s="381">
        <v>87</v>
      </c>
      <c r="B88" s="105"/>
      <c r="C88" s="95"/>
      <c r="D88" s="83"/>
      <c r="E88" s="84"/>
      <c r="F88" s="83"/>
      <c r="G88" s="119"/>
      <c r="H88" s="84"/>
      <c r="I88" s="81"/>
      <c r="J88" s="81"/>
      <c r="K88" s="81"/>
      <c r="L88" s="84"/>
      <c r="M88" s="91"/>
      <c r="N88" s="240"/>
      <c r="O88" s="85"/>
      <c r="P88" s="82"/>
      <c r="Q88" s="81"/>
      <c r="R88" s="320"/>
      <c r="S88" s="321"/>
      <c r="T88" s="321"/>
      <c r="U88" s="321"/>
      <c r="V88" s="4"/>
      <c r="W88" s="4"/>
      <c r="X88" s="4"/>
      <c r="Y88" s="4"/>
      <c r="Z88" s="4"/>
      <c r="AA88" s="4"/>
      <c r="AB88" s="4"/>
    </row>
    <row r="89" spans="1:28" x14ac:dyDescent="0.3">
      <c r="A89" s="381">
        <v>88</v>
      </c>
      <c r="B89" s="105"/>
      <c r="C89" s="95"/>
      <c r="D89" s="83"/>
      <c r="E89" s="84"/>
      <c r="F89" s="83"/>
      <c r="G89" s="119"/>
      <c r="H89" s="84"/>
      <c r="I89" s="81"/>
      <c r="J89" s="81"/>
      <c r="K89" s="81"/>
      <c r="L89" s="84"/>
      <c r="M89" s="91"/>
      <c r="N89" s="240"/>
      <c r="O89" s="85"/>
      <c r="P89" s="82"/>
      <c r="Q89" s="81"/>
      <c r="R89" s="320"/>
      <c r="S89" s="321"/>
      <c r="T89" s="321"/>
      <c r="U89" s="321"/>
      <c r="V89" s="4"/>
      <c r="W89" s="4"/>
      <c r="X89" s="4"/>
      <c r="Y89" s="4"/>
      <c r="Z89" s="4"/>
      <c r="AA89" s="4"/>
      <c r="AB89" s="4"/>
    </row>
    <row r="90" spans="1:28" x14ac:dyDescent="0.3">
      <c r="A90" s="381">
        <v>89</v>
      </c>
      <c r="B90" s="105"/>
      <c r="C90" s="95"/>
      <c r="D90" s="83"/>
      <c r="E90" s="84"/>
      <c r="F90" s="83"/>
      <c r="G90" s="119"/>
      <c r="H90" s="84"/>
      <c r="I90" s="81"/>
      <c r="J90" s="81"/>
      <c r="K90" s="81"/>
      <c r="L90" s="84"/>
      <c r="M90" s="91"/>
      <c r="N90" s="240"/>
      <c r="O90" s="85"/>
      <c r="P90" s="82"/>
      <c r="Q90" s="81"/>
      <c r="R90" s="320"/>
      <c r="S90" s="321"/>
      <c r="T90" s="321"/>
      <c r="U90" s="321"/>
      <c r="V90" s="4"/>
      <c r="W90" s="4"/>
      <c r="X90" s="4"/>
      <c r="Y90" s="4"/>
      <c r="Z90" s="4"/>
      <c r="AA90" s="4"/>
      <c r="AB90" s="4"/>
    </row>
    <row r="91" spans="1:28" x14ac:dyDescent="0.3">
      <c r="A91" s="381">
        <v>90</v>
      </c>
      <c r="B91" s="105"/>
      <c r="C91" s="95"/>
      <c r="D91" s="83"/>
      <c r="E91" s="84"/>
      <c r="F91" s="83"/>
      <c r="G91" s="119"/>
      <c r="H91" s="84"/>
      <c r="I91" s="81"/>
      <c r="J91" s="81"/>
      <c r="K91" s="81"/>
      <c r="L91" s="84"/>
      <c r="M91" s="91"/>
      <c r="N91" s="240"/>
      <c r="O91" s="85"/>
      <c r="P91" s="82"/>
      <c r="Q91" s="81"/>
      <c r="R91" s="320"/>
      <c r="S91" s="321"/>
      <c r="T91" s="321"/>
      <c r="U91" s="321"/>
      <c r="V91" s="4"/>
      <c r="W91" s="4"/>
      <c r="X91" s="4"/>
      <c r="Y91" s="4"/>
      <c r="Z91" s="4"/>
      <c r="AA91" s="4"/>
      <c r="AB91" s="4"/>
    </row>
    <row r="92" spans="1:28" x14ac:dyDescent="0.3">
      <c r="A92" s="381">
        <v>91</v>
      </c>
      <c r="B92" s="105"/>
      <c r="C92" s="95"/>
      <c r="D92" s="83"/>
      <c r="E92" s="84"/>
      <c r="F92" s="83"/>
      <c r="G92" s="119"/>
      <c r="H92" s="84"/>
      <c r="I92" s="81"/>
      <c r="J92" s="81"/>
      <c r="K92" s="81"/>
      <c r="L92" s="84"/>
      <c r="M92" s="91"/>
      <c r="N92" s="240"/>
      <c r="O92" s="85"/>
      <c r="P92" s="82"/>
      <c r="Q92" s="81"/>
      <c r="R92" s="320"/>
      <c r="S92" s="321"/>
      <c r="T92" s="321"/>
      <c r="U92" s="321"/>
      <c r="V92" s="4"/>
      <c r="W92" s="4"/>
      <c r="X92" s="4"/>
      <c r="Y92" s="4"/>
      <c r="Z92" s="4"/>
      <c r="AA92" s="4"/>
      <c r="AB92" s="4"/>
    </row>
    <row r="93" spans="1:28" x14ac:dyDescent="0.3">
      <c r="A93" s="381">
        <v>92</v>
      </c>
      <c r="B93" s="105"/>
      <c r="C93" s="95"/>
      <c r="D93" s="83"/>
      <c r="E93" s="84"/>
      <c r="F93" s="83"/>
      <c r="G93" s="119"/>
      <c r="H93" s="84"/>
      <c r="I93" s="81"/>
      <c r="J93" s="81"/>
      <c r="K93" s="81"/>
      <c r="L93" s="84"/>
      <c r="M93" s="91"/>
      <c r="N93" s="240"/>
      <c r="O93" s="85"/>
      <c r="P93" s="82"/>
      <c r="Q93" s="81"/>
      <c r="R93" s="320"/>
      <c r="S93" s="321"/>
      <c r="T93" s="321"/>
      <c r="U93" s="321"/>
      <c r="V93" s="4"/>
      <c r="W93" s="4"/>
      <c r="X93" s="4"/>
      <c r="Y93" s="4"/>
      <c r="Z93" s="4"/>
      <c r="AA93" s="4"/>
      <c r="AB93" s="4"/>
    </row>
    <row r="94" spans="1:28" x14ac:dyDescent="0.3">
      <c r="A94" s="381">
        <v>93</v>
      </c>
      <c r="B94" s="105"/>
      <c r="C94" s="95"/>
      <c r="D94" s="83"/>
      <c r="E94" s="84"/>
      <c r="F94" s="83"/>
      <c r="G94" s="119"/>
      <c r="H94" s="84"/>
      <c r="I94" s="81"/>
      <c r="J94" s="81"/>
      <c r="K94" s="81"/>
      <c r="L94" s="84"/>
      <c r="M94" s="91"/>
      <c r="N94" s="240"/>
      <c r="O94" s="85"/>
      <c r="P94" s="82"/>
      <c r="Q94" s="81"/>
      <c r="R94" s="320"/>
      <c r="S94" s="321"/>
      <c r="T94" s="321"/>
      <c r="U94" s="321"/>
      <c r="V94" s="4"/>
      <c r="W94" s="4"/>
      <c r="X94" s="4"/>
      <c r="Y94" s="4"/>
      <c r="Z94" s="4"/>
      <c r="AA94" s="4"/>
      <c r="AB94" s="4"/>
    </row>
    <row r="95" spans="1:28" x14ac:dyDescent="0.3">
      <c r="A95" s="381">
        <v>94</v>
      </c>
      <c r="B95" s="105"/>
      <c r="C95" s="95"/>
      <c r="D95" s="83"/>
      <c r="E95" s="84"/>
      <c r="F95" s="83"/>
      <c r="G95" s="119"/>
      <c r="H95" s="84"/>
      <c r="I95" s="81"/>
      <c r="J95" s="81"/>
      <c r="K95" s="81"/>
      <c r="L95" s="84"/>
      <c r="M95" s="91"/>
      <c r="N95" s="240"/>
      <c r="O95" s="85"/>
      <c r="P95" s="82"/>
      <c r="Q95" s="81"/>
      <c r="R95" s="320"/>
      <c r="S95" s="321"/>
      <c r="T95" s="321"/>
      <c r="U95" s="321"/>
      <c r="V95" s="4"/>
      <c r="W95" s="4"/>
      <c r="X95" s="4"/>
      <c r="Y95" s="4"/>
      <c r="Z95" s="4"/>
      <c r="AA95" s="4"/>
      <c r="AB95" s="4"/>
    </row>
    <row r="96" spans="1:28" x14ac:dyDescent="0.3">
      <c r="A96" s="381">
        <v>95</v>
      </c>
      <c r="B96" s="105"/>
      <c r="C96" s="95"/>
      <c r="D96" s="83"/>
      <c r="E96" s="84"/>
      <c r="F96" s="83"/>
      <c r="G96" s="119"/>
      <c r="H96" s="84"/>
      <c r="I96" s="81"/>
      <c r="J96" s="81"/>
      <c r="K96" s="81"/>
      <c r="L96" s="84"/>
      <c r="M96" s="91"/>
      <c r="N96" s="240"/>
      <c r="O96" s="85"/>
      <c r="P96" s="82"/>
      <c r="Q96" s="81"/>
      <c r="R96" s="320"/>
      <c r="S96" s="321"/>
      <c r="T96" s="321"/>
      <c r="U96" s="321"/>
      <c r="V96" s="4"/>
      <c r="W96" s="4"/>
      <c r="X96" s="4"/>
      <c r="Y96" s="4"/>
      <c r="Z96" s="4"/>
      <c r="AA96" s="4"/>
      <c r="AB96" s="4"/>
    </row>
    <row r="97" spans="1:28" x14ac:dyDescent="0.3">
      <c r="A97" s="381">
        <v>96</v>
      </c>
      <c r="B97" s="105"/>
      <c r="C97" s="95"/>
      <c r="D97" s="83"/>
      <c r="E97" s="84"/>
      <c r="F97" s="83"/>
      <c r="G97" s="119"/>
      <c r="H97" s="84"/>
      <c r="I97" s="81"/>
      <c r="J97" s="81"/>
      <c r="K97" s="81"/>
      <c r="L97" s="84"/>
      <c r="M97" s="91"/>
      <c r="N97" s="240"/>
      <c r="O97" s="85"/>
      <c r="P97" s="82"/>
      <c r="Q97" s="81"/>
      <c r="R97" s="320"/>
      <c r="S97" s="321"/>
      <c r="T97" s="321"/>
      <c r="U97" s="321"/>
      <c r="V97" s="4"/>
      <c r="W97" s="4"/>
      <c r="X97" s="4"/>
      <c r="Y97" s="4"/>
      <c r="Z97" s="4"/>
      <c r="AA97" s="4"/>
      <c r="AB97" s="4"/>
    </row>
    <row r="98" spans="1:28" x14ac:dyDescent="0.3">
      <c r="A98" s="381">
        <v>97</v>
      </c>
      <c r="B98" s="105"/>
      <c r="C98" s="95"/>
      <c r="D98" s="83"/>
      <c r="E98" s="84"/>
      <c r="F98" s="83"/>
      <c r="G98" s="119"/>
      <c r="H98" s="84"/>
      <c r="I98" s="81"/>
      <c r="J98" s="81"/>
      <c r="K98" s="81"/>
      <c r="L98" s="84"/>
      <c r="M98" s="91"/>
      <c r="N98" s="240"/>
      <c r="O98" s="85"/>
      <c r="P98" s="82"/>
      <c r="Q98" s="81"/>
      <c r="R98" s="320"/>
      <c r="S98" s="321"/>
      <c r="T98" s="321"/>
      <c r="U98" s="321"/>
      <c r="V98" s="4"/>
      <c r="W98" s="4"/>
      <c r="X98" s="4"/>
      <c r="Y98" s="4"/>
      <c r="Z98" s="4"/>
      <c r="AA98" s="4"/>
      <c r="AB98" s="4"/>
    </row>
    <row r="99" spans="1:28" ht="17.25" thickBot="1" x14ac:dyDescent="0.35">
      <c r="A99" s="382">
        <v>98</v>
      </c>
      <c r="B99" s="299"/>
      <c r="C99" s="95"/>
      <c r="D99" s="83"/>
      <c r="E99" s="84"/>
      <c r="F99" s="83"/>
      <c r="G99" s="119"/>
      <c r="H99" s="84"/>
      <c r="I99" s="81"/>
      <c r="J99" s="81"/>
      <c r="K99" s="81"/>
      <c r="L99" s="84"/>
      <c r="M99" s="91"/>
      <c r="N99" s="240"/>
      <c r="O99" s="85"/>
      <c r="P99" s="82"/>
      <c r="Q99" s="81"/>
      <c r="R99" s="320"/>
      <c r="S99" s="321"/>
      <c r="T99" s="321"/>
      <c r="U99" s="321"/>
      <c r="V99" s="4"/>
      <c r="W99" s="4"/>
      <c r="X99" s="4"/>
      <c r="Y99" s="4"/>
      <c r="Z99" s="4"/>
      <c r="AA99" s="4"/>
      <c r="AB99" s="4"/>
    </row>
    <row r="100" spans="1:28" ht="17.25" thickBot="1" x14ac:dyDescent="0.35">
      <c r="A100" s="383">
        <v>99</v>
      </c>
      <c r="B100" s="302"/>
      <c r="C100" s="96"/>
      <c r="D100" s="89"/>
      <c r="E100" s="88"/>
      <c r="F100" s="89"/>
      <c r="G100" s="89"/>
      <c r="H100" s="88"/>
      <c r="I100" s="97"/>
      <c r="J100" s="97"/>
      <c r="K100" s="97"/>
      <c r="L100" s="88"/>
      <c r="M100" s="92"/>
      <c r="N100" s="241"/>
      <c r="O100" s="90"/>
      <c r="P100" s="98"/>
      <c r="Q100" s="97"/>
      <c r="R100" s="358"/>
      <c r="S100" s="359"/>
      <c r="T100" s="359"/>
      <c r="U100" s="359"/>
      <c r="V100" s="4"/>
      <c r="W100" s="314"/>
      <c r="X100" s="4"/>
      <c r="Y100" s="4"/>
      <c r="Z100" s="4"/>
      <c r="AA100" s="4"/>
      <c r="AB100" s="4"/>
    </row>
    <row r="101" spans="1:28" x14ac:dyDescent="0.3">
      <c r="A101" s="300"/>
      <c r="B101" s="298"/>
      <c r="C101" s="148"/>
      <c r="D101" s="295"/>
      <c r="E101" s="148"/>
      <c r="F101" s="295"/>
      <c r="G101" s="295"/>
      <c r="H101" s="148"/>
      <c r="I101" s="148"/>
      <c r="J101" s="148"/>
      <c r="K101" s="148"/>
      <c r="L101" s="148"/>
      <c r="M101" s="303"/>
      <c r="N101" s="304"/>
      <c r="O101" s="303"/>
      <c r="P101" s="303"/>
      <c r="Q101" s="148"/>
      <c r="R101" s="297"/>
      <c r="S101" s="297"/>
      <c r="T101" s="297"/>
      <c r="U101" s="297"/>
      <c r="W101" s="73"/>
    </row>
    <row r="102" spans="1:28" x14ac:dyDescent="0.3">
      <c r="A102" s="300"/>
      <c r="B102" s="298"/>
      <c r="C102" s="148"/>
      <c r="D102" s="295"/>
      <c r="E102" s="148"/>
      <c r="F102" s="295"/>
      <c r="G102" s="295"/>
      <c r="H102" s="148"/>
      <c r="I102" s="148"/>
      <c r="J102" s="148"/>
      <c r="K102" s="148"/>
      <c r="L102" s="148"/>
      <c r="M102" s="303"/>
      <c r="N102" s="304"/>
      <c r="O102" s="303"/>
      <c r="P102" s="303"/>
      <c r="Q102" s="148"/>
      <c r="R102" s="297"/>
      <c r="S102" s="297"/>
      <c r="T102" s="297"/>
      <c r="U102" s="297"/>
      <c r="W102" s="73"/>
    </row>
    <row r="103" spans="1:28" x14ac:dyDescent="0.3">
      <c r="A103" s="300"/>
      <c r="B103" s="562" t="s">
        <v>3322</v>
      </c>
      <c r="C103" s="562"/>
      <c r="D103"/>
      <c r="E103" s="563" t="s">
        <v>3324</v>
      </c>
      <c r="F103" s="563"/>
      <c r="G103"/>
      <c r="H103" s="148"/>
      <c r="I103" s="148"/>
      <c r="J103" s="148"/>
      <c r="K103" s="148"/>
      <c r="L103" s="148"/>
      <c r="M103" s="303"/>
      <c r="N103" s="304"/>
      <c r="O103" s="303"/>
      <c r="P103" s="303"/>
      <c r="Q103" s="148"/>
      <c r="R103" s="297"/>
      <c r="S103" s="297"/>
      <c r="T103" s="297"/>
      <c r="U103" s="297"/>
      <c r="W103" s="73"/>
    </row>
    <row r="104" spans="1:28" x14ac:dyDescent="0.3">
      <c r="A104" s="300"/>
      <c r="B104" s="4" t="s">
        <v>3343</v>
      </c>
      <c r="C104" s="4">
        <f>COUNTIF($I$2:$I$100,#REF!)</f>
        <v>0</v>
      </c>
      <c r="D104"/>
      <c r="E104" s="4" t="s">
        <v>3343</v>
      </c>
      <c r="F104" s="68">
        <f t="shared" ref="F104:F114" si="0">SUMIF($I:$I, E104, $L:$L)</f>
        <v>100000</v>
      </c>
      <c r="G104"/>
      <c r="H104" s="148"/>
      <c r="I104" s="148"/>
      <c r="J104" s="148"/>
      <c r="K104" s="148"/>
      <c r="L104" s="148"/>
      <c r="M104" s="303"/>
      <c r="N104" s="304"/>
      <c r="O104" s="303"/>
      <c r="P104" s="303"/>
      <c r="Q104" s="148"/>
      <c r="R104" s="297"/>
      <c r="S104" s="297"/>
      <c r="T104" s="297"/>
      <c r="U104" s="297"/>
      <c r="W104" s="73"/>
    </row>
    <row r="105" spans="1:28" x14ac:dyDescent="0.3">
      <c r="A105" s="300"/>
      <c r="B105" s="4" t="s">
        <v>3318</v>
      </c>
      <c r="C105" s="4">
        <f>COUNTIF($I$2:$I$100,#REF!)</f>
        <v>0</v>
      </c>
      <c r="D105"/>
      <c r="E105" s="4" t="s">
        <v>3318</v>
      </c>
      <c r="F105" s="68">
        <f t="shared" si="0"/>
        <v>257000</v>
      </c>
      <c r="G105"/>
      <c r="H105" s="148"/>
      <c r="I105" s="148"/>
      <c r="J105" s="148"/>
      <c r="K105" s="148"/>
      <c r="L105" s="148"/>
      <c r="M105" s="303"/>
      <c r="N105" s="304"/>
      <c r="O105" s="303"/>
      <c r="P105" s="303"/>
      <c r="Q105" s="148"/>
      <c r="R105" s="297"/>
      <c r="S105" s="297"/>
      <c r="T105" s="297"/>
      <c r="U105" s="297"/>
      <c r="W105" s="73"/>
    </row>
    <row r="106" spans="1:28" x14ac:dyDescent="0.3">
      <c r="A106" s="300"/>
      <c r="B106" s="4" t="s">
        <v>3321</v>
      </c>
      <c r="C106" s="4">
        <f>COUNTIF($I$2:$I$100,#REF!)</f>
        <v>0</v>
      </c>
      <c r="D106"/>
      <c r="E106" s="4" t="s">
        <v>3321</v>
      </c>
      <c r="F106" s="68">
        <f t="shared" si="0"/>
        <v>1316100</v>
      </c>
      <c r="G106"/>
      <c r="H106" s="148"/>
      <c r="I106" s="148"/>
      <c r="J106" s="148"/>
      <c r="K106" s="148"/>
      <c r="L106" s="148"/>
      <c r="M106" s="303"/>
      <c r="N106" s="304"/>
      <c r="O106" s="303"/>
      <c r="P106" s="303"/>
      <c r="Q106" s="148"/>
      <c r="R106" s="297"/>
      <c r="S106" s="297"/>
      <c r="T106" s="297"/>
      <c r="U106" s="297"/>
      <c r="W106" s="73"/>
    </row>
    <row r="107" spans="1:28" x14ac:dyDescent="0.3">
      <c r="A107" s="300"/>
      <c r="B107" s="4" t="s">
        <v>3314</v>
      </c>
      <c r="C107" s="4">
        <f>COUNTIF($I$2:$I$100,#REF!)</f>
        <v>0</v>
      </c>
      <c r="D107"/>
      <c r="E107" s="4" t="s">
        <v>3314</v>
      </c>
      <c r="F107" s="68">
        <f t="shared" si="0"/>
        <v>2526550</v>
      </c>
      <c r="G107"/>
      <c r="H107" s="148"/>
      <c r="I107" s="148"/>
      <c r="J107" s="148"/>
      <c r="K107" s="148"/>
      <c r="L107" s="148"/>
      <c r="M107" s="303"/>
      <c r="N107" s="304"/>
      <c r="O107" s="303"/>
      <c r="P107" s="303"/>
      <c r="Q107" s="148"/>
      <c r="R107" s="297"/>
      <c r="S107" s="297"/>
      <c r="T107" s="297"/>
      <c r="U107" s="297"/>
      <c r="W107" s="73"/>
    </row>
    <row r="108" spans="1:28" x14ac:dyDescent="0.3">
      <c r="A108" s="300"/>
      <c r="B108" s="4" t="s">
        <v>3344</v>
      </c>
      <c r="C108" s="4">
        <f>COUNTIF($I$2:$I$100,#REF!)</f>
        <v>0</v>
      </c>
      <c r="D108"/>
      <c r="E108" s="4" t="s">
        <v>3344</v>
      </c>
      <c r="F108" s="68">
        <f t="shared" si="0"/>
        <v>4839150</v>
      </c>
      <c r="G108"/>
      <c r="H108" s="148"/>
      <c r="I108" s="148"/>
      <c r="J108" s="148"/>
      <c r="K108" s="148"/>
      <c r="L108" s="148"/>
      <c r="M108" s="303"/>
      <c r="N108" s="304"/>
      <c r="O108" s="303"/>
      <c r="P108" s="303"/>
      <c r="Q108" s="148"/>
      <c r="R108" s="297"/>
      <c r="S108" s="297"/>
      <c r="T108" s="297"/>
      <c r="U108" s="297"/>
      <c r="W108" s="73"/>
    </row>
    <row r="109" spans="1:28" x14ac:dyDescent="0.3">
      <c r="A109" s="300"/>
      <c r="B109" s="4" t="s">
        <v>3308</v>
      </c>
      <c r="C109" s="4">
        <f>COUNTIF($I$2:$I$100,#REF!)</f>
        <v>0</v>
      </c>
      <c r="D109"/>
      <c r="E109" s="4" t="s">
        <v>3308</v>
      </c>
      <c r="F109" s="68">
        <f t="shared" si="0"/>
        <v>11332750</v>
      </c>
      <c r="G109"/>
      <c r="H109" s="148"/>
      <c r="I109" s="148"/>
      <c r="J109" s="148"/>
      <c r="K109" s="148"/>
      <c r="L109" s="148"/>
      <c r="M109" s="303"/>
      <c r="N109" s="304"/>
      <c r="O109" s="303"/>
      <c r="P109" s="303"/>
      <c r="Q109" s="148"/>
      <c r="R109" s="297"/>
      <c r="S109" s="297"/>
      <c r="T109" s="297"/>
      <c r="U109" s="297"/>
      <c r="W109" s="73"/>
    </row>
    <row r="110" spans="1:28" x14ac:dyDescent="0.3">
      <c r="A110" s="300"/>
      <c r="B110" s="4" t="s">
        <v>3305</v>
      </c>
      <c r="C110" s="4">
        <f>COUNTIF($I$2:$I$100,#REF!)</f>
        <v>0</v>
      </c>
      <c r="D110"/>
      <c r="E110" s="4" t="s">
        <v>3305</v>
      </c>
      <c r="F110" s="68">
        <f t="shared" si="0"/>
        <v>2717500</v>
      </c>
      <c r="G110"/>
      <c r="H110" s="148"/>
      <c r="I110" s="148"/>
      <c r="J110" s="148"/>
      <c r="K110" s="148"/>
      <c r="L110" s="148"/>
      <c r="M110" s="303"/>
      <c r="N110" s="304"/>
      <c r="O110" s="303"/>
      <c r="P110" s="303"/>
      <c r="Q110" s="148"/>
      <c r="R110" s="297"/>
      <c r="S110" s="297"/>
      <c r="T110" s="297"/>
      <c r="U110" s="297"/>
      <c r="W110" s="73"/>
    </row>
    <row r="111" spans="1:28" x14ac:dyDescent="0.3">
      <c r="A111" s="300"/>
      <c r="B111" s="4" t="s">
        <v>3320</v>
      </c>
      <c r="C111" s="4">
        <f>COUNTIF($I$2:$I$100,#REF!)</f>
        <v>0</v>
      </c>
      <c r="D111"/>
      <c r="E111" s="4" t="s">
        <v>3320</v>
      </c>
      <c r="F111" s="68">
        <f t="shared" si="0"/>
        <v>432550</v>
      </c>
      <c r="G111"/>
      <c r="H111" s="148"/>
      <c r="I111" s="148"/>
      <c r="J111" s="148"/>
      <c r="K111" s="148"/>
      <c r="L111" s="148"/>
      <c r="M111" s="303"/>
      <c r="N111" s="304"/>
      <c r="O111" s="303"/>
      <c r="P111" s="303"/>
      <c r="Q111" s="148"/>
      <c r="R111" s="297"/>
      <c r="S111" s="297"/>
      <c r="T111" s="297"/>
      <c r="U111" s="297"/>
      <c r="W111" s="73"/>
    </row>
    <row r="112" spans="1:28" x14ac:dyDescent="0.3">
      <c r="A112" s="300"/>
      <c r="B112" s="4" t="s">
        <v>3345</v>
      </c>
      <c r="C112" s="4">
        <f>COUNTIF($I$2:$I$100,#REF!)</f>
        <v>0</v>
      </c>
      <c r="D112"/>
      <c r="E112" s="4" t="s">
        <v>3345</v>
      </c>
      <c r="F112" s="68">
        <f t="shared" si="0"/>
        <v>0</v>
      </c>
      <c r="G112"/>
      <c r="H112" s="148"/>
      <c r="I112" s="148"/>
      <c r="J112" s="148"/>
      <c r="K112" s="148"/>
      <c r="L112" s="148"/>
      <c r="M112" s="303"/>
      <c r="N112" s="304"/>
      <c r="O112" s="303"/>
      <c r="P112" s="303"/>
      <c r="Q112" s="148"/>
      <c r="R112" s="297"/>
      <c r="S112" s="297"/>
      <c r="T112" s="297"/>
      <c r="U112" s="297"/>
      <c r="W112" s="73"/>
    </row>
    <row r="113" spans="1:23" x14ac:dyDescent="0.3">
      <c r="A113" s="300"/>
      <c r="B113" s="4" t="s">
        <v>2800</v>
      </c>
      <c r="C113" s="4">
        <f>COUNTIF($I$2:$I$100,#REF!)</f>
        <v>0</v>
      </c>
      <c r="D113"/>
      <c r="E113" s="4" t="s">
        <v>2800</v>
      </c>
      <c r="F113" s="68">
        <f t="shared" si="0"/>
        <v>2629900</v>
      </c>
      <c r="G113"/>
      <c r="H113" s="148"/>
      <c r="I113" s="148"/>
      <c r="J113" s="148"/>
      <c r="K113" s="148"/>
      <c r="L113" s="148"/>
      <c r="M113" s="303"/>
      <c r="N113" s="304"/>
      <c r="O113" s="303"/>
      <c r="P113" s="303"/>
      <c r="Q113" s="148"/>
      <c r="R113" s="297"/>
      <c r="S113" s="297"/>
      <c r="T113" s="297"/>
      <c r="U113" s="297"/>
      <c r="W113" s="73"/>
    </row>
    <row r="114" spans="1:23" x14ac:dyDescent="0.3">
      <c r="A114" s="300"/>
      <c r="B114" s="4" t="s">
        <v>3319</v>
      </c>
      <c r="C114" s="4">
        <f>COUNTIF($I$2:$I$100,#REF!)</f>
        <v>0</v>
      </c>
      <c r="D114"/>
      <c r="E114" s="4" t="s">
        <v>3319</v>
      </c>
      <c r="F114" s="68">
        <f t="shared" si="0"/>
        <v>11000</v>
      </c>
      <c r="G114"/>
      <c r="H114" s="148"/>
      <c r="I114" s="148"/>
      <c r="J114" s="148"/>
      <c r="K114" s="148"/>
      <c r="L114" s="148"/>
      <c r="M114" s="303"/>
      <c r="N114" s="304"/>
      <c r="O114" s="303"/>
      <c r="P114" s="303"/>
      <c r="Q114" s="148"/>
      <c r="R114" s="297"/>
      <c r="S114" s="297"/>
      <c r="T114" s="297"/>
      <c r="U114" s="297"/>
      <c r="W114" s="73"/>
    </row>
    <row r="115" spans="1:23" x14ac:dyDescent="0.3">
      <c r="A115" s="300"/>
      <c r="D115"/>
      <c r="E115"/>
      <c r="F115"/>
      <c r="G115"/>
      <c r="H115" s="148"/>
      <c r="I115" s="148"/>
      <c r="J115" s="148"/>
      <c r="K115" s="148"/>
      <c r="L115" s="148"/>
      <c r="M115" s="303"/>
      <c r="N115" s="304"/>
      <c r="O115" s="303"/>
      <c r="P115" s="303"/>
      <c r="Q115" s="148"/>
      <c r="R115" s="297"/>
      <c r="S115" s="297"/>
      <c r="T115" s="297"/>
      <c r="U115" s="297"/>
      <c r="W115" s="73"/>
    </row>
    <row r="116" spans="1:23" x14ac:dyDescent="0.3">
      <c r="A116" s="300"/>
      <c r="B116" s="564" t="s">
        <v>3332</v>
      </c>
      <c r="C116" s="564"/>
      <c r="D116"/>
      <c r="E116" s="565" t="s">
        <v>1819</v>
      </c>
      <c r="F116" s="565"/>
      <c r="G116" s="72" t="s">
        <v>3402</v>
      </c>
      <c r="H116" s="148"/>
      <c r="I116" s="148"/>
      <c r="J116" s="148"/>
      <c r="K116" s="148"/>
      <c r="L116" s="148"/>
      <c r="M116" s="303"/>
      <c r="N116" s="304"/>
      <c r="O116" s="303"/>
      <c r="P116" s="303"/>
      <c r="Q116" s="148"/>
      <c r="R116" s="297"/>
      <c r="S116" s="297"/>
      <c r="T116" s="297"/>
      <c r="U116" s="297"/>
      <c r="W116" s="73"/>
    </row>
    <row r="117" spans="1:23" x14ac:dyDescent="0.3">
      <c r="A117" s="300"/>
      <c r="B117" s="4" t="s">
        <v>3333</v>
      </c>
      <c r="C117" s="4">
        <f>COUNTIF($J$2:$J$63,#REF!)</f>
        <v>0</v>
      </c>
      <c r="D117"/>
      <c r="E117" s="4" t="s">
        <v>3456</v>
      </c>
      <c r="F117" s="4">
        <v>36</v>
      </c>
      <c r="G117" s="68">
        <f>SUMIF($H:$H, E117, $L:$L)</f>
        <v>16858200</v>
      </c>
      <c r="H117" s="148"/>
      <c r="I117" s="148"/>
      <c r="J117" s="148"/>
      <c r="K117" s="148"/>
      <c r="L117" s="148"/>
      <c r="M117" s="303"/>
      <c r="N117" s="304"/>
      <c r="O117" s="303"/>
      <c r="P117" s="303"/>
      <c r="Q117" s="148"/>
      <c r="R117" s="297"/>
      <c r="S117" s="297"/>
      <c r="T117" s="297"/>
      <c r="U117" s="297"/>
      <c r="W117" s="73"/>
    </row>
    <row r="118" spans="1:23" x14ac:dyDescent="0.3">
      <c r="A118" s="300"/>
      <c r="B118" s="4" t="s">
        <v>3334</v>
      </c>
      <c r="C118" s="4">
        <f>COUNTIF($J$2:$J$63,#REF!)</f>
        <v>0</v>
      </c>
      <c r="D118"/>
      <c r="E118" s="4" t="s">
        <v>3457</v>
      </c>
      <c r="F118" s="4">
        <v>1</v>
      </c>
      <c r="G118" s="68">
        <f>SUMIF($H:$H, E118, $L:$L)</f>
        <v>835800</v>
      </c>
      <c r="H118" s="148"/>
      <c r="I118" s="148"/>
      <c r="J118" s="148"/>
      <c r="K118" s="148"/>
      <c r="L118" s="148"/>
      <c r="M118" s="303"/>
      <c r="N118" s="304"/>
      <c r="O118" s="303"/>
      <c r="P118" s="303"/>
      <c r="Q118" s="148"/>
      <c r="R118" s="297"/>
      <c r="S118" s="297"/>
      <c r="T118" s="297"/>
      <c r="U118" s="297"/>
      <c r="W118" s="73"/>
    </row>
    <row r="119" spans="1:23" x14ac:dyDescent="0.3">
      <c r="A119" s="300"/>
      <c r="B119" s="4" t="s">
        <v>3335</v>
      </c>
      <c r="C119" s="4">
        <f>COUNTIF($J$2:$J$63,#REF!)</f>
        <v>0</v>
      </c>
      <c r="D119"/>
      <c r="E119" s="4" t="s">
        <v>3458</v>
      </c>
      <c r="F119" s="4">
        <v>11</v>
      </c>
      <c r="G119" s="68">
        <f>SUMIF($H:$H, E119, $L:$L)</f>
        <v>1582700</v>
      </c>
      <c r="H119" s="148"/>
      <c r="I119" s="148"/>
      <c r="J119" s="148"/>
      <c r="K119" s="148"/>
      <c r="L119" s="148"/>
      <c r="M119" s="303"/>
      <c r="N119" s="304"/>
      <c r="O119" s="303"/>
      <c r="P119" s="303"/>
      <c r="Q119" s="148"/>
      <c r="R119" s="297"/>
      <c r="S119" s="297"/>
      <c r="T119" s="297"/>
      <c r="U119" s="297"/>
      <c r="W119" s="73"/>
    </row>
    <row r="120" spans="1:23" x14ac:dyDescent="0.3">
      <c r="A120" s="300"/>
      <c r="B120" s="4" t="s">
        <v>3329</v>
      </c>
      <c r="C120" s="4">
        <f>COUNTIF($J$2:$J$63,#REF!)</f>
        <v>0</v>
      </c>
      <c r="D120"/>
      <c r="E120" s="4" t="s">
        <v>2800</v>
      </c>
      <c r="F120" s="4">
        <v>16</v>
      </c>
      <c r="G120" s="68">
        <f>SUMIF($H:$H, E120, $L:$L)</f>
        <v>6125250</v>
      </c>
      <c r="H120" s="148"/>
      <c r="I120" s="148"/>
      <c r="J120" s="148"/>
      <c r="K120" s="148"/>
      <c r="L120" s="148"/>
      <c r="M120" s="303"/>
      <c r="N120" s="304"/>
      <c r="O120" s="303"/>
      <c r="P120" s="303"/>
      <c r="Q120" s="148"/>
      <c r="R120" s="297"/>
      <c r="S120" s="297"/>
      <c r="T120" s="297"/>
      <c r="U120" s="297"/>
      <c r="W120" s="73"/>
    </row>
    <row r="121" spans="1:23" x14ac:dyDescent="0.3">
      <c r="A121" s="300"/>
      <c r="B121" s="4" t="s">
        <v>3336</v>
      </c>
      <c r="C121" s="4">
        <f>COUNTIF($J$2:$J$63,#REF!)</f>
        <v>0</v>
      </c>
      <c r="D121"/>
      <c r="E121" s="12" t="s">
        <v>3323</v>
      </c>
      <c r="F121" s="12">
        <v>4</v>
      </c>
      <c r="G121" s="379">
        <f>SUMIF($H:$H, E121, $L:$L)</f>
        <v>760550</v>
      </c>
      <c r="H121" s="148"/>
      <c r="I121" s="148"/>
      <c r="J121" s="148"/>
      <c r="K121" s="148"/>
      <c r="L121" s="148"/>
      <c r="M121" s="303"/>
      <c r="N121" s="304"/>
      <c r="O121" s="303"/>
      <c r="P121" s="303"/>
      <c r="Q121" s="148"/>
      <c r="R121" s="297"/>
      <c r="S121" s="297"/>
      <c r="T121" s="297"/>
      <c r="U121" s="297"/>
      <c r="W121" s="73"/>
    </row>
    <row r="122" spans="1:23" x14ac:dyDescent="0.3">
      <c r="A122" s="300"/>
      <c r="B122" s="4" t="s">
        <v>3330</v>
      </c>
      <c r="C122" s="4">
        <f>COUNTIF($J$2:$J$63,#REF!)</f>
        <v>0</v>
      </c>
      <c r="D122"/>
      <c r="E122" s="261" t="s">
        <v>3640</v>
      </c>
      <c r="F122" s="4">
        <f>SUM(F117:F121)</f>
        <v>68</v>
      </c>
      <c r="G122" s="68">
        <f>SUM(G117:G121)</f>
        <v>26162500</v>
      </c>
      <c r="H122" s="148"/>
      <c r="I122" s="148"/>
      <c r="J122" s="148"/>
      <c r="K122" s="148"/>
      <c r="L122" s="148"/>
      <c r="M122" s="303"/>
      <c r="N122" s="304"/>
      <c r="O122" s="303"/>
      <c r="P122" s="303"/>
      <c r="Q122" s="148"/>
      <c r="R122" s="297"/>
      <c r="S122" s="297"/>
      <c r="T122" s="297"/>
      <c r="U122" s="297"/>
      <c r="W122" s="73"/>
    </row>
    <row r="123" spans="1:23" x14ac:dyDescent="0.3">
      <c r="A123" s="300"/>
      <c r="B123" s="4" t="s">
        <v>3337</v>
      </c>
      <c r="C123" s="4">
        <f>COUNTIF($J$2:$J$63,#REF!)</f>
        <v>0</v>
      </c>
      <c r="D123"/>
      <c r="E123"/>
      <c r="F123"/>
      <c r="G123"/>
      <c r="H123" s="148"/>
      <c r="I123" s="148"/>
      <c r="J123" s="148"/>
      <c r="K123" s="148"/>
      <c r="L123" s="148"/>
      <c r="M123" s="303"/>
      <c r="N123" s="304"/>
      <c r="O123" s="303"/>
      <c r="P123" s="303"/>
      <c r="Q123" s="148"/>
      <c r="R123" s="297"/>
      <c r="S123" s="297"/>
      <c r="T123" s="297"/>
      <c r="U123" s="297"/>
      <c r="W123" s="73"/>
    </row>
    <row r="124" spans="1:23" x14ac:dyDescent="0.3">
      <c r="A124" s="300"/>
      <c r="B124" s="4" t="s">
        <v>3338</v>
      </c>
      <c r="C124" s="4">
        <f>COUNTIF($J$2:$J$63,#REF!)</f>
        <v>0</v>
      </c>
      <c r="D124"/>
      <c r="E124"/>
      <c r="F124"/>
      <c r="G124"/>
      <c r="H124" s="148"/>
      <c r="I124" s="148"/>
      <c r="J124" s="148"/>
      <c r="K124" s="148"/>
      <c r="L124" s="148"/>
      <c r="M124" s="303"/>
      <c r="N124" s="304"/>
      <c r="O124" s="303"/>
      <c r="P124" s="303"/>
      <c r="Q124" s="148"/>
      <c r="R124" s="297"/>
      <c r="S124" s="297"/>
      <c r="T124" s="297"/>
      <c r="U124" s="297"/>
      <c r="W124" s="73"/>
    </row>
    <row r="125" spans="1:23" ht="16.5" customHeight="1" x14ac:dyDescent="0.3">
      <c r="A125" s="300"/>
      <c r="B125" s="4" t="s">
        <v>3339</v>
      </c>
      <c r="C125" s="4">
        <f>COUNTIF($J$2:$J$63,#REF!)</f>
        <v>0</v>
      </c>
      <c r="D125"/>
      <c r="E125" s="566" t="s">
        <v>3325</v>
      </c>
      <c r="F125" s="569">
        <f>SUM(L2:L100)</f>
        <v>26162500</v>
      </c>
      <c r="G125" s="569"/>
      <c r="H125" s="148"/>
      <c r="I125" s="148"/>
      <c r="J125" s="148"/>
      <c r="K125" s="148"/>
      <c r="L125" s="148"/>
      <c r="M125" s="303"/>
      <c r="N125" s="304"/>
      <c r="O125" s="303"/>
      <c r="P125" s="303"/>
      <c r="Q125" s="148"/>
      <c r="R125" s="297"/>
      <c r="S125" s="297"/>
      <c r="T125" s="297"/>
      <c r="U125" s="297"/>
      <c r="W125" s="73"/>
    </row>
    <row r="126" spans="1:23" ht="16.5" customHeight="1" x14ac:dyDescent="0.3">
      <c r="A126" s="300"/>
      <c r="B126" s="4" t="s">
        <v>3331</v>
      </c>
      <c r="C126" s="4">
        <f>COUNTIF($J$2:$J$63,#REF!)</f>
        <v>0</v>
      </c>
      <c r="D126"/>
      <c r="E126" s="567"/>
      <c r="F126" s="569"/>
      <c r="G126" s="569"/>
      <c r="H126" s="148"/>
      <c r="I126" s="148"/>
      <c r="J126" s="148"/>
      <c r="K126" s="148"/>
      <c r="L126" s="148"/>
      <c r="M126" s="303"/>
      <c r="N126" s="304"/>
      <c r="O126" s="303"/>
      <c r="P126" s="303"/>
      <c r="Q126" s="148"/>
      <c r="R126" s="297"/>
      <c r="S126" s="297"/>
      <c r="T126" s="297"/>
      <c r="U126" s="297"/>
      <c r="W126" s="73"/>
    </row>
    <row r="127" spans="1:23" ht="16.5" customHeight="1" x14ac:dyDescent="0.3">
      <c r="A127" s="300"/>
      <c r="B127" s="4" t="s">
        <v>3340</v>
      </c>
      <c r="C127" s="4">
        <f>COUNTIF($J$2:$J$63,#REF!)</f>
        <v>0</v>
      </c>
      <c r="D127"/>
      <c r="E127" s="568" t="s">
        <v>3638</v>
      </c>
      <c r="F127" s="570" t="s">
        <v>3639</v>
      </c>
      <c r="G127" s="570"/>
      <c r="H127" s="148"/>
      <c r="I127" s="148"/>
      <c r="J127" s="148"/>
      <c r="K127" s="148"/>
      <c r="L127" s="148"/>
      <c r="M127" s="303"/>
      <c r="N127" s="304"/>
      <c r="O127" s="303"/>
      <c r="P127" s="303"/>
      <c r="Q127" s="148"/>
      <c r="R127" s="297"/>
      <c r="S127" s="297"/>
      <c r="T127" s="297"/>
      <c r="U127" s="297"/>
      <c r="W127" s="73"/>
    </row>
    <row r="128" spans="1:23" ht="16.5" customHeight="1" x14ac:dyDescent="0.3">
      <c r="A128" s="300"/>
      <c r="D128"/>
      <c r="E128" s="568"/>
      <c r="F128" s="570"/>
      <c r="G128" s="570"/>
      <c r="H128" s="148"/>
      <c r="I128" s="148"/>
      <c r="J128" s="148"/>
      <c r="K128" s="148"/>
      <c r="L128" s="148"/>
      <c r="M128" s="303"/>
      <c r="N128" s="304"/>
      <c r="O128" s="303"/>
      <c r="P128" s="303"/>
      <c r="Q128" s="148"/>
      <c r="R128" s="297"/>
      <c r="S128" s="297"/>
      <c r="T128" s="297"/>
      <c r="U128" s="297"/>
      <c r="W128" s="73"/>
    </row>
    <row r="129" spans="1:24" x14ac:dyDescent="0.3">
      <c r="A129" s="300"/>
      <c r="B129" s="70"/>
      <c r="D129"/>
      <c r="E129"/>
      <c r="F129"/>
      <c r="G129"/>
      <c r="H129" s="148"/>
      <c r="I129" s="148"/>
      <c r="J129" s="148"/>
      <c r="K129" s="148"/>
      <c r="L129" s="148"/>
      <c r="M129" s="303"/>
      <c r="N129" s="304"/>
      <c r="O129" s="303"/>
      <c r="P129" s="303"/>
      <c r="Q129" s="148"/>
      <c r="R129" s="297"/>
      <c r="S129" s="297"/>
      <c r="T129" s="297"/>
      <c r="U129" s="297"/>
      <c r="W129" s="73"/>
    </row>
    <row r="130" spans="1:24" x14ac:dyDescent="0.3">
      <c r="A130" s="300"/>
      <c r="B130" s="298"/>
      <c r="C130" s="148"/>
      <c r="D130" s="295"/>
      <c r="E130" s="148"/>
      <c r="F130" s="295"/>
      <c r="G130" s="295"/>
      <c r="H130" s="148"/>
      <c r="I130" s="148"/>
      <c r="J130" s="148"/>
      <c r="K130" s="148"/>
      <c r="L130" s="148"/>
      <c r="M130" s="303"/>
      <c r="N130" s="304"/>
      <c r="O130" s="303"/>
      <c r="P130" s="303"/>
      <c r="Q130" s="148"/>
      <c r="R130" s="297"/>
      <c r="S130" s="297"/>
      <c r="T130" s="297"/>
      <c r="U130" s="297"/>
      <c r="W130" s="73"/>
    </row>
    <row r="131" spans="1:24" x14ac:dyDescent="0.3">
      <c r="A131" s="300"/>
      <c r="B131" s="298"/>
      <c r="C131" s="148"/>
      <c r="D131" s="295"/>
      <c r="E131" s="148"/>
      <c r="F131" s="295"/>
      <c r="G131" s="295"/>
      <c r="H131" s="148"/>
      <c r="I131" s="148"/>
      <c r="J131" s="148"/>
      <c r="K131" s="148"/>
      <c r="L131" s="148"/>
      <c r="M131" s="303"/>
      <c r="N131" s="304"/>
      <c r="O131" s="303"/>
      <c r="P131" s="303"/>
      <c r="Q131" s="148"/>
      <c r="R131" s="297"/>
      <c r="S131" s="297"/>
      <c r="T131" s="297"/>
      <c r="U131" s="297"/>
      <c r="W131" s="73"/>
    </row>
    <row r="132" spans="1:24" x14ac:dyDescent="0.3">
      <c r="A132" s="300"/>
      <c r="B132" s="298"/>
      <c r="C132" s="148"/>
      <c r="D132" s="295"/>
      <c r="E132" s="148"/>
      <c r="F132" s="295"/>
      <c r="G132" s="295"/>
      <c r="H132" s="148"/>
      <c r="I132" s="148"/>
      <c r="J132" s="148"/>
      <c r="K132" s="148"/>
      <c r="L132" s="148"/>
      <c r="M132" s="303"/>
      <c r="N132" s="304"/>
      <c r="O132" s="303"/>
      <c r="P132" s="303"/>
      <c r="Q132" s="148"/>
      <c r="R132" s="297"/>
      <c r="S132" s="297"/>
      <c r="T132" s="297"/>
      <c r="U132" s="297"/>
      <c r="W132" s="73"/>
    </row>
    <row r="133" spans="1:24" x14ac:dyDescent="0.3">
      <c r="A133" s="301"/>
      <c r="M133" s="237"/>
      <c r="N133" s="237"/>
      <c r="O133" s="237"/>
      <c r="P133" s="237"/>
    </row>
    <row r="134" spans="1:24" ht="17.25" thickBot="1" x14ac:dyDescent="0.35">
      <c r="A134" s="210"/>
    </row>
    <row r="135" spans="1:24" ht="109.5" customHeight="1" thickBot="1" x14ac:dyDescent="0.35">
      <c r="A135" s="552" t="s">
        <v>3418</v>
      </c>
      <c r="B135" s="553"/>
      <c r="C135" s="553"/>
      <c r="D135" s="553"/>
      <c r="E135" s="553"/>
      <c r="F135" s="553"/>
      <c r="G135" s="553"/>
      <c r="H135" s="553"/>
      <c r="I135" s="553"/>
      <c r="J135" s="553"/>
      <c r="K135" s="553"/>
      <c r="L135" s="553"/>
      <c r="M135" s="553"/>
      <c r="N135" s="553"/>
      <c r="O135" s="553"/>
      <c r="P135" s="553"/>
      <c r="Q135" s="553"/>
      <c r="R135" s="553"/>
      <c r="S135" s="553"/>
      <c r="T135" s="74"/>
      <c r="U135" s="74"/>
    </row>
    <row r="136" spans="1:24" ht="17.25" thickBot="1" x14ac:dyDescent="0.35">
      <c r="A136" s="78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</row>
    <row r="137" spans="1:24" ht="36.75" customHeight="1" thickBot="1" x14ac:dyDescent="0.35">
      <c r="A137" s="210"/>
      <c r="B137" s="554" t="s">
        <v>3591</v>
      </c>
      <c r="C137" s="406"/>
      <c r="D137" s="406"/>
      <c r="E137" s="406"/>
      <c r="F137" s="406"/>
      <c r="G137" s="406"/>
      <c r="H137" s="406"/>
      <c r="I137" s="406"/>
      <c r="J137" s="406"/>
      <c r="K137" s="406"/>
      <c r="L137" s="406"/>
      <c r="M137" s="407"/>
      <c r="N137" s="212"/>
      <c r="O137" s="212" t="s">
        <v>3625</v>
      </c>
      <c r="P137" s="212"/>
      <c r="Q137" s="212"/>
      <c r="R137" s="212"/>
      <c r="S137" s="212"/>
      <c r="T137" s="212"/>
    </row>
    <row r="138" spans="1:24" s="73" customFormat="1" ht="39" customHeight="1" thickBot="1" x14ac:dyDescent="0.35">
      <c r="A138" s="104"/>
      <c r="B138" s="93" t="s">
        <v>2908</v>
      </c>
      <c r="C138" s="75" t="s">
        <v>3423</v>
      </c>
      <c r="D138" s="110" t="s">
        <v>3434</v>
      </c>
      <c r="E138" s="76" t="s">
        <v>3424</v>
      </c>
      <c r="F138" s="180" t="s">
        <v>3425</v>
      </c>
      <c r="G138" s="179" t="s">
        <v>3569</v>
      </c>
      <c r="H138" s="181" t="s">
        <v>3427</v>
      </c>
      <c r="I138" s="182" t="s">
        <v>3426</v>
      </c>
      <c r="J138" s="111" t="s">
        <v>3428</v>
      </c>
      <c r="K138" s="546" t="s">
        <v>3435</v>
      </c>
      <c r="L138" s="547"/>
      <c r="M138" s="548"/>
      <c r="N138" s="442"/>
      <c r="O138" s="549" t="s">
        <v>3429</v>
      </c>
      <c r="P138" s="550"/>
      <c r="Q138" s="550"/>
      <c r="R138" s="551"/>
      <c r="S138" s="281" t="s">
        <v>3430</v>
      </c>
      <c r="T138" s="292" t="s">
        <v>3431</v>
      </c>
      <c r="U138" s="571" t="s">
        <v>3432</v>
      </c>
      <c r="V138" s="572"/>
      <c r="W138" s="510" t="s">
        <v>3433</v>
      </c>
      <c r="X138" s="511"/>
    </row>
    <row r="139" spans="1:24" ht="17.25" thickBot="1" x14ac:dyDescent="0.35">
      <c r="A139" s="151">
        <v>1</v>
      </c>
      <c r="B139" s="152" t="s">
        <v>3348</v>
      </c>
      <c r="C139" s="153" t="s">
        <v>3465</v>
      </c>
      <c r="D139" s="153" t="s">
        <v>3466</v>
      </c>
      <c r="E139" s="154" t="s">
        <v>3467</v>
      </c>
      <c r="F139" s="183">
        <v>345000</v>
      </c>
      <c r="G139" s="184">
        <v>10000</v>
      </c>
      <c r="H139" s="184">
        <v>12000</v>
      </c>
      <c r="I139" s="184">
        <v>466300</v>
      </c>
      <c r="J139" s="185">
        <f>I139*0.05</f>
        <v>23315</v>
      </c>
      <c r="K139" s="513" t="s">
        <v>3503</v>
      </c>
      <c r="L139" s="514"/>
      <c r="M139" s="515"/>
      <c r="N139" s="443"/>
      <c r="O139" s="439"/>
      <c r="P139" s="440"/>
      <c r="Q139" s="440"/>
      <c r="R139" s="441"/>
      <c r="S139" s="87"/>
      <c r="T139" s="87"/>
      <c r="U139" s="460" t="s">
        <v>3570</v>
      </c>
      <c r="V139" s="461"/>
      <c r="W139" t="s">
        <v>3581</v>
      </c>
    </row>
    <row r="140" spans="1:24" ht="17.25" thickBot="1" x14ac:dyDescent="0.35">
      <c r="A140" s="163">
        <v>2</v>
      </c>
      <c r="B140" s="164" t="s">
        <v>3468</v>
      </c>
      <c r="C140" s="165" t="s">
        <v>3469</v>
      </c>
      <c r="D140" s="165" t="s">
        <v>3470</v>
      </c>
      <c r="E140" s="166" t="s">
        <v>3467</v>
      </c>
      <c r="F140" s="195">
        <v>0</v>
      </c>
      <c r="G140" s="196"/>
      <c r="H140" s="196"/>
      <c r="I140" s="197">
        <f t="shared" ref="I140:I147" si="1">F140+G140+H140</f>
        <v>0</v>
      </c>
      <c r="J140" s="198">
        <f t="shared" ref="J140:J145" si="2">I140*0.05</f>
        <v>0</v>
      </c>
      <c r="K140" s="500"/>
      <c r="L140" s="501"/>
      <c r="M140" s="502"/>
      <c r="N140" s="443"/>
      <c r="O140" s="439"/>
      <c r="P140" s="440"/>
      <c r="Q140" s="440"/>
      <c r="R140" s="441"/>
      <c r="S140" s="87"/>
      <c r="T140" s="87"/>
      <c r="U140" s="575" t="s">
        <v>3571</v>
      </c>
      <c r="V140" s="576"/>
      <c r="W140" s="236" t="s">
        <v>3746</v>
      </c>
      <c r="X140" s="236"/>
    </row>
    <row r="141" spans="1:24" ht="17.25" thickBot="1" x14ac:dyDescent="0.35">
      <c r="A141" s="155">
        <v>3</v>
      </c>
      <c r="B141" s="156" t="s">
        <v>975</v>
      </c>
      <c r="C141" s="157" t="s">
        <v>3471</v>
      </c>
      <c r="D141" s="157" t="s">
        <v>3472</v>
      </c>
      <c r="E141" s="158" t="s">
        <v>3467</v>
      </c>
      <c r="F141" s="186">
        <v>345000</v>
      </c>
      <c r="G141" s="187">
        <v>0</v>
      </c>
      <c r="H141" s="187">
        <v>0</v>
      </c>
      <c r="I141" s="187">
        <v>92800</v>
      </c>
      <c r="J141" s="188">
        <f t="shared" si="2"/>
        <v>4640</v>
      </c>
      <c r="K141" s="497" t="s">
        <v>3504</v>
      </c>
      <c r="L141" s="498"/>
      <c r="M141" s="499"/>
      <c r="N141" s="443"/>
      <c r="O141" s="439"/>
      <c r="P141" s="440"/>
      <c r="Q141" s="440"/>
      <c r="R141" s="441"/>
      <c r="S141" s="87"/>
      <c r="T141" s="87"/>
      <c r="U141" s="460" t="s">
        <v>3572</v>
      </c>
      <c r="V141" s="461"/>
      <c r="W141" s="237" t="s">
        <v>3582</v>
      </c>
      <c r="X141" s="237"/>
    </row>
    <row r="142" spans="1:24" x14ac:dyDescent="0.3">
      <c r="A142" s="159">
        <v>4</v>
      </c>
      <c r="B142" s="463" t="s">
        <v>2129</v>
      </c>
      <c r="C142" s="465" t="s">
        <v>3473</v>
      </c>
      <c r="D142" s="160" t="s">
        <v>3474</v>
      </c>
      <c r="E142" s="467" t="s">
        <v>3475</v>
      </c>
      <c r="F142" s="189">
        <v>299000</v>
      </c>
      <c r="G142" s="190">
        <v>90000</v>
      </c>
      <c r="H142" s="190">
        <v>0</v>
      </c>
      <c r="I142" s="190">
        <f t="shared" si="1"/>
        <v>389000</v>
      </c>
      <c r="J142" s="191">
        <f>I142*0.05</f>
        <v>19450</v>
      </c>
      <c r="K142" s="516"/>
      <c r="L142" s="517"/>
      <c r="M142" s="518"/>
      <c r="N142" s="443"/>
      <c r="O142" s="439"/>
      <c r="P142" s="440"/>
      <c r="Q142" s="440"/>
      <c r="R142" s="441"/>
      <c r="S142" s="87"/>
      <c r="T142" s="87"/>
      <c r="U142" s="577" t="s">
        <v>3573</v>
      </c>
      <c r="V142" s="578"/>
      <c r="W142" s="237" t="s">
        <v>3582</v>
      </c>
      <c r="X142" s="237"/>
    </row>
    <row r="143" spans="1:24" ht="17.25" thickBot="1" x14ac:dyDescent="0.35">
      <c r="A143" s="161">
        <v>5</v>
      </c>
      <c r="B143" s="464"/>
      <c r="C143" s="466"/>
      <c r="D143" s="162" t="s">
        <v>3476</v>
      </c>
      <c r="E143" s="468"/>
      <c r="F143" s="192">
        <v>299000</v>
      </c>
      <c r="G143" s="193">
        <v>0</v>
      </c>
      <c r="H143" s="193">
        <v>0</v>
      </c>
      <c r="I143" s="193">
        <f t="shared" si="1"/>
        <v>299000</v>
      </c>
      <c r="J143" s="194">
        <f t="shared" si="2"/>
        <v>14950</v>
      </c>
      <c r="K143" s="519"/>
      <c r="L143" s="520"/>
      <c r="M143" s="521"/>
      <c r="N143" s="443"/>
      <c r="O143" s="439"/>
      <c r="P143" s="440"/>
      <c r="Q143" s="440"/>
      <c r="R143" s="441"/>
      <c r="S143" s="87"/>
      <c r="T143" s="87"/>
      <c r="U143" s="579"/>
      <c r="V143" s="580"/>
      <c r="W143" s="237" t="s">
        <v>3582</v>
      </c>
      <c r="X143" s="237"/>
    </row>
    <row r="144" spans="1:24" ht="17.25" customHeight="1" x14ac:dyDescent="0.3">
      <c r="A144" s="159">
        <v>6</v>
      </c>
      <c r="B144" s="463" t="s">
        <v>3477</v>
      </c>
      <c r="C144" s="465" t="s">
        <v>3478</v>
      </c>
      <c r="D144" s="160" t="s">
        <v>3479</v>
      </c>
      <c r="E144" s="467" t="s">
        <v>3475</v>
      </c>
      <c r="F144" s="189">
        <v>299000</v>
      </c>
      <c r="G144" s="190"/>
      <c r="H144" s="190">
        <v>71800</v>
      </c>
      <c r="I144" s="190">
        <f t="shared" si="1"/>
        <v>370800</v>
      </c>
      <c r="J144" s="191">
        <f>I144*0.05</f>
        <v>18540</v>
      </c>
      <c r="K144" s="516"/>
      <c r="L144" s="517"/>
      <c r="M144" s="518"/>
      <c r="N144" s="443"/>
      <c r="O144" s="439"/>
      <c r="P144" s="440"/>
      <c r="Q144" s="440"/>
      <c r="R144" s="441"/>
      <c r="S144" s="87"/>
      <c r="T144" s="87"/>
      <c r="U144" s="577" t="s">
        <v>3572</v>
      </c>
      <c r="V144" s="578"/>
      <c r="W144" s="512" t="s">
        <v>3624</v>
      </c>
      <c r="X144" s="512"/>
    </row>
    <row r="145" spans="1:24" ht="17.25" thickBot="1" x14ac:dyDescent="0.35">
      <c r="A145" s="161">
        <v>7</v>
      </c>
      <c r="B145" s="464"/>
      <c r="C145" s="466"/>
      <c r="D145" s="162" t="s">
        <v>3480</v>
      </c>
      <c r="E145" s="468"/>
      <c r="F145" s="192">
        <v>299000</v>
      </c>
      <c r="G145" s="193"/>
      <c r="H145" s="193">
        <v>12000</v>
      </c>
      <c r="I145" s="193">
        <f t="shared" si="1"/>
        <v>311000</v>
      </c>
      <c r="J145" s="194">
        <f t="shared" si="2"/>
        <v>15550</v>
      </c>
      <c r="K145" s="519"/>
      <c r="L145" s="520"/>
      <c r="M145" s="521"/>
      <c r="N145" s="443"/>
      <c r="O145" s="439"/>
      <c r="P145" s="440"/>
      <c r="Q145" s="440"/>
      <c r="R145" s="441"/>
      <c r="S145" s="87"/>
      <c r="T145" s="87"/>
      <c r="U145" s="579"/>
      <c r="V145" s="580"/>
      <c r="W145" s="512"/>
      <c r="X145" s="512"/>
    </row>
    <row r="146" spans="1:24" ht="17.25" thickBot="1" x14ac:dyDescent="0.35">
      <c r="A146" s="151">
        <v>8</v>
      </c>
      <c r="B146" s="152" t="s">
        <v>3481</v>
      </c>
      <c r="C146" s="153" t="s">
        <v>3482</v>
      </c>
      <c r="D146" s="153" t="s">
        <v>3483</v>
      </c>
      <c r="E146" s="154" t="s">
        <v>3467</v>
      </c>
      <c r="F146" s="183">
        <v>345000</v>
      </c>
      <c r="G146" s="184">
        <v>0</v>
      </c>
      <c r="H146" s="184">
        <v>0</v>
      </c>
      <c r="I146" s="184">
        <f t="shared" si="1"/>
        <v>345000</v>
      </c>
      <c r="J146" s="185">
        <f>I146*0.05</f>
        <v>17250</v>
      </c>
      <c r="K146" s="497"/>
      <c r="L146" s="498"/>
      <c r="M146" s="499"/>
      <c r="N146" s="443"/>
      <c r="O146" s="439"/>
      <c r="P146" s="440"/>
      <c r="Q146" s="440"/>
      <c r="R146" s="441"/>
      <c r="S146" s="87"/>
      <c r="T146" s="87"/>
      <c r="U146" s="460" t="s">
        <v>3574</v>
      </c>
      <c r="V146" s="461"/>
      <c r="W146" s="237" t="s">
        <v>3583</v>
      </c>
      <c r="X146" s="237"/>
    </row>
    <row r="147" spans="1:24" ht="17.25" thickBot="1" x14ac:dyDescent="0.35">
      <c r="A147" s="163">
        <v>9</v>
      </c>
      <c r="B147" s="164" t="s">
        <v>2003</v>
      </c>
      <c r="C147" s="165" t="s">
        <v>3484</v>
      </c>
      <c r="D147" s="165" t="s">
        <v>3485</v>
      </c>
      <c r="E147" s="166" t="s">
        <v>3467</v>
      </c>
      <c r="F147" s="195">
        <v>0</v>
      </c>
      <c r="G147" s="196">
        <v>0</v>
      </c>
      <c r="H147" s="196"/>
      <c r="I147" s="197">
        <f t="shared" si="1"/>
        <v>0</v>
      </c>
      <c r="J147" s="198">
        <f>I147*0.05</f>
        <v>0</v>
      </c>
      <c r="K147" s="500"/>
      <c r="L147" s="501"/>
      <c r="M147" s="502"/>
      <c r="N147" s="443"/>
      <c r="O147" s="439"/>
      <c r="P147" s="440"/>
      <c r="Q147" s="440"/>
      <c r="R147" s="441"/>
      <c r="S147" s="87"/>
      <c r="T147" s="87"/>
      <c r="U147" s="575" t="s">
        <v>3575</v>
      </c>
      <c r="V147" s="576"/>
      <c r="W147" t="s">
        <v>3584</v>
      </c>
    </row>
    <row r="148" spans="1:24" ht="17.25" thickBot="1" x14ac:dyDescent="0.35">
      <c r="A148" s="167">
        <v>10</v>
      </c>
      <c r="B148" s="168" t="s">
        <v>3486</v>
      </c>
      <c r="C148" s="169" t="s">
        <v>3487</v>
      </c>
      <c r="D148" s="169" t="s">
        <v>3488</v>
      </c>
      <c r="E148" s="170" t="s">
        <v>3467</v>
      </c>
      <c r="F148" s="199">
        <v>345000</v>
      </c>
      <c r="G148" s="200"/>
      <c r="H148" s="200">
        <v>8000</v>
      </c>
      <c r="I148" s="200">
        <f>F148+G148+H148</f>
        <v>353000</v>
      </c>
      <c r="J148" s="201">
        <f>I148*0.05</f>
        <v>17650</v>
      </c>
      <c r="K148" s="497" t="s">
        <v>3505</v>
      </c>
      <c r="L148" s="498"/>
      <c r="M148" s="499"/>
      <c r="N148" s="443"/>
      <c r="O148" s="439"/>
      <c r="P148" s="440"/>
      <c r="Q148" s="440"/>
      <c r="R148" s="441"/>
      <c r="S148" s="87"/>
      <c r="T148" s="87"/>
      <c r="U148" s="460" t="s">
        <v>3574</v>
      </c>
      <c r="V148" s="461"/>
      <c r="W148" t="s">
        <v>3590</v>
      </c>
    </row>
    <row r="149" spans="1:24" ht="17.25" thickBot="1" x14ac:dyDescent="0.35">
      <c r="A149" s="171">
        <v>11</v>
      </c>
      <c r="B149" s="172" t="s">
        <v>3489</v>
      </c>
      <c r="C149" s="173" t="s">
        <v>3490</v>
      </c>
      <c r="D149" s="173" t="s">
        <v>3491</v>
      </c>
      <c r="E149" s="174" t="s">
        <v>3467</v>
      </c>
      <c r="F149" s="202">
        <v>345000</v>
      </c>
      <c r="G149" s="203">
        <v>21000</v>
      </c>
      <c r="H149" s="203">
        <v>0</v>
      </c>
      <c r="I149" s="203">
        <v>370000</v>
      </c>
      <c r="J149" s="204">
        <v>18500</v>
      </c>
      <c r="K149" s="503" t="s">
        <v>2871</v>
      </c>
      <c r="L149" s="504"/>
      <c r="M149" s="505"/>
      <c r="N149" s="443"/>
      <c r="O149" s="439"/>
      <c r="P149" s="440"/>
      <c r="Q149" s="440"/>
      <c r="R149" s="441"/>
      <c r="S149" s="87"/>
      <c r="T149" s="87"/>
      <c r="U149" s="573" t="s">
        <v>3576</v>
      </c>
      <c r="V149" s="574"/>
      <c r="W149" t="s">
        <v>3585</v>
      </c>
    </row>
    <row r="150" spans="1:24" ht="17.25" thickBot="1" x14ac:dyDescent="0.35">
      <c r="A150" s="175">
        <v>12</v>
      </c>
      <c r="B150" s="157" t="s">
        <v>3492</v>
      </c>
      <c r="C150" s="157" t="s">
        <v>3493</v>
      </c>
      <c r="D150" s="157" t="s">
        <v>3494</v>
      </c>
      <c r="E150" s="157" t="s">
        <v>3467</v>
      </c>
      <c r="F150" s="187">
        <v>345000</v>
      </c>
      <c r="G150" s="187">
        <v>196000</v>
      </c>
      <c r="H150" s="187">
        <v>88000</v>
      </c>
      <c r="I150" s="187">
        <v>541000</v>
      </c>
      <c r="J150" s="188">
        <f>I150*0.05</f>
        <v>27050</v>
      </c>
      <c r="K150" s="497"/>
      <c r="L150" s="498"/>
      <c r="M150" s="506"/>
      <c r="N150" s="443"/>
      <c r="O150" s="439"/>
      <c r="P150" s="440"/>
      <c r="Q150" s="440"/>
      <c r="R150" s="441"/>
      <c r="S150" s="87"/>
      <c r="T150" s="87"/>
      <c r="U150" s="460" t="s">
        <v>3577</v>
      </c>
      <c r="V150" s="461"/>
      <c r="W150" t="s">
        <v>3586</v>
      </c>
    </row>
    <row r="151" spans="1:24" ht="17.25" thickBot="1" x14ac:dyDescent="0.35">
      <c r="A151" s="176">
        <v>13</v>
      </c>
      <c r="B151" s="177" t="s">
        <v>3366</v>
      </c>
      <c r="C151" s="177" t="s">
        <v>3495</v>
      </c>
      <c r="D151" s="177" t="s">
        <v>3496</v>
      </c>
      <c r="E151" s="177" t="s">
        <v>3467</v>
      </c>
      <c r="F151" s="205">
        <v>345000</v>
      </c>
      <c r="G151" s="206">
        <v>295350</v>
      </c>
      <c r="H151" s="206">
        <v>91350</v>
      </c>
      <c r="I151" s="206">
        <v>640350</v>
      </c>
      <c r="J151" s="207">
        <v>32010</v>
      </c>
      <c r="K151" s="497" t="s">
        <v>3506</v>
      </c>
      <c r="L151" s="498"/>
      <c r="M151" s="499"/>
      <c r="N151" s="443"/>
      <c r="O151" s="439"/>
      <c r="P151" s="440"/>
      <c r="Q151" s="440"/>
      <c r="R151" s="441"/>
      <c r="S151" s="87"/>
      <c r="T151" s="87"/>
      <c r="U151" s="460" t="s">
        <v>3578</v>
      </c>
      <c r="V151" s="461"/>
      <c r="W151" t="s">
        <v>3587</v>
      </c>
    </row>
    <row r="152" spans="1:24" ht="17.25" thickBot="1" x14ac:dyDescent="0.35">
      <c r="A152" s="175">
        <v>14</v>
      </c>
      <c r="B152" s="157" t="s">
        <v>3497</v>
      </c>
      <c r="C152" s="157" t="s">
        <v>3498</v>
      </c>
      <c r="D152" s="157" t="s">
        <v>3499</v>
      </c>
      <c r="E152" s="157" t="s">
        <v>3467</v>
      </c>
      <c r="F152" s="187">
        <v>345000</v>
      </c>
      <c r="G152" s="187">
        <v>0</v>
      </c>
      <c r="H152" s="187">
        <v>0</v>
      </c>
      <c r="I152" s="187">
        <v>345000</v>
      </c>
      <c r="J152" s="188">
        <v>17250</v>
      </c>
      <c r="K152" s="497" t="s">
        <v>3507</v>
      </c>
      <c r="L152" s="498"/>
      <c r="M152" s="506"/>
      <c r="N152" s="443"/>
      <c r="O152" s="439"/>
      <c r="P152" s="440"/>
      <c r="Q152" s="440"/>
      <c r="R152" s="441"/>
      <c r="S152" s="87"/>
      <c r="T152" s="87"/>
      <c r="U152" s="460" t="s">
        <v>3579</v>
      </c>
      <c r="V152" s="461"/>
      <c r="W152" t="s">
        <v>3588</v>
      </c>
    </row>
    <row r="153" spans="1:24" ht="18" thickBot="1" x14ac:dyDescent="0.35">
      <c r="A153" s="178">
        <v>15</v>
      </c>
      <c r="B153" s="152" t="s">
        <v>3500</v>
      </c>
      <c r="C153" s="153" t="s">
        <v>3501</v>
      </c>
      <c r="D153" s="153" t="s">
        <v>3502</v>
      </c>
      <c r="E153" s="154" t="s">
        <v>3467</v>
      </c>
      <c r="F153" s="183">
        <v>345000</v>
      </c>
      <c r="G153" s="187">
        <v>80000</v>
      </c>
      <c r="H153" s="187">
        <v>48750</v>
      </c>
      <c r="I153" s="208">
        <v>473750</v>
      </c>
      <c r="J153" s="188">
        <v>23687</v>
      </c>
      <c r="K153" s="497" t="s">
        <v>2871</v>
      </c>
      <c r="L153" s="498"/>
      <c r="M153" s="506"/>
      <c r="N153" s="443"/>
      <c r="O153" s="439"/>
      <c r="P153" s="440"/>
      <c r="Q153" s="440"/>
      <c r="R153" s="441"/>
      <c r="S153" s="87"/>
      <c r="T153" s="87"/>
      <c r="U153" s="460" t="s">
        <v>3580</v>
      </c>
      <c r="V153" s="461"/>
      <c r="W153" t="s">
        <v>3589</v>
      </c>
    </row>
    <row r="154" spans="1:24" ht="17.25" thickBot="1" x14ac:dyDescent="0.35">
      <c r="A154" s="244">
        <v>16</v>
      </c>
      <c r="B154" s="245" t="s">
        <v>3596</v>
      </c>
      <c r="C154" s="238" t="s">
        <v>3597</v>
      </c>
      <c r="D154" s="246" t="s">
        <v>3598</v>
      </c>
      <c r="E154" s="154" t="s">
        <v>3467</v>
      </c>
      <c r="F154" s="247">
        <v>345000</v>
      </c>
      <c r="G154" s="248"/>
      <c r="H154" s="249">
        <v>8000</v>
      </c>
      <c r="I154" s="243">
        <f t="shared" ref="I154" si="3">F154+G154+H154</f>
        <v>353000</v>
      </c>
      <c r="J154" s="194">
        <f t="shared" ref="J154" si="4">I154*0.05</f>
        <v>17650</v>
      </c>
      <c r="K154" s="507" t="s">
        <v>3599</v>
      </c>
      <c r="L154" s="508"/>
      <c r="M154" s="509"/>
      <c r="N154" s="443"/>
      <c r="O154" s="439"/>
      <c r="P154" s="440"/>
      <c r="Q154" s="440"/>
      <c r="R154" s="441"/>
      <c r="S154" s="87"/>
      <c r="T154" s="87"/>
      <c r="U154" s="458"/>
      <c r="V154" s="459"/>
      <c r="W154" s="250" t="s">
        <v>3671</v>
      </c>
    </row>
    <row r="155" spans="1:24" x14ac:dyDescent="0.3">
      <c r="A155" s="79">
        <v>17</v>
      </c>
      <c r="B155" s="121"/>
      <c r="C155" s="122"/>
      <c r="D155" s="119"/>
      <c r="E155" s="123"/>
      <c r="F155" s="124"/>
      <c r="G155" s="125"/>
      <c r="H155" s="126"/>
      <c r="I155" s="127"/>
      <c r="J155" s="128"/>
      <c r="K155" s="469"/>
      <c r="L155" s="477"/>
      <c r="M155" s="473"/>
      <c r="N155" s="443"/>
      <c r="O155" s="533"/>
      <c r="P155" s="525"/>
      <c r="Q155" s="525"/>
      <c r="R155" s="537"/>
      <c r="S155" s="279"/>
      <c r="T155" s="122"/>
      <c r="U155" s="291"/>
      <c r="W155" s="234"/>
      <c r="X155" s="209"/>
    </row>
    <row r="156" spans="1:24" x14ac:dyDescent="0.3">
      <c r="A156" s="79"/>
      <c r="B156" s="235" t="s">
        <v>3595</v>
      </c>
      <c r="C156" s="557">
        <v>5350000</v>
      </c>
      <c r="D156" s="557"/>
      <c r="E156" s="557"/>
      <c r="F156" s="557"/>
      <c r="G156" s="557"/>
      <c r="H156" s="557"/>
      <c r="I156" s="557"/>
      <c r="J156" s="557"/>
      <c r="K156" s="557"/>
      <c r="L156" s="557"/>
      <c r="M156" s="558"/>
      <c r="N156" s="443"/>
      <c r="O156" s="147"/>
      <c r="P156" s="148"/>
      <c r="Q156" s="148"/>
      <c r="R156" s="148"/>
      <c r="S156" s="148"/>
      <c r="T156" s="148"/>
      <c r="U156" s="148"/>
      <c r="W156" s="234"/>
      <c r="X156" s="209"/>
    </row>
    <row r="157" spans="1:24" hidden="1" x14ac:dyDescent="0.3">
      <c r="A157" s="79"/>
      <c r="B157" s="527" t="s">
        <v>3554</v>
      </c>
      <c r="C157" s="528"/>
      <c r="D157" s="528"/>
      <c r="E157" s="528"/>
      <c r="F157" s="528"/>
      <c r="G157" s="528"/>
      <c r="H157" s="528"/>
      <c r="I157" s="528"/>
      <c r="J157" s="528"/>
      <c r="K157" s="528"/>
      <c r="L157" s="528"/>
      <c r="M157" s="529"/>
      <c r="N157" s="443"/>
      <c r="O157" s="542"/>
      <c r="P157" s="543"/>
      <c r="Q157" s="543"/>
      <c r="R157" s="543"/>
      <c r="S157" s="543"/>
      <c r="T157" s="543"/>
      <c r="U157" s="543"/>
      <c r="W157" s="488"/>
      <c r="X157" s="415"/>
    </row>
    <row r="158" spans="1:24" ht="17.25" hidden="1" thickBot="1" x14ac:dyDescent="0.35">
      <c r="A158" s="79"/>
      <c r="B158" s="534"/>
      <c r="C158" s="535"/>
      <c r="D158" s="535"/>
      <c r="E158" s="535"/>
      <c r="F158" s="535"/>
      <c r="G158" s="535"/>
      <c r="H158" s="535"/>
      <c r="I158" s="535"/>
      <c r="J158" s="535"/>
      <c r="K158" s="535"/>
      <c r="L158" s="535"/>
      <c r="M158" s="536"/>
      <c r="N158" s="443"/>
      <c r="O158" s="534"/>
      <c r="P158" s="535"/>
      <c r="Q158" s="535"/>
      <c r="R158" s="535"/>
      <c r="S158" s="535"/>
      <c r="T158" s="535"/>
      <c r="U158" s="535"/>
      <c r="W158" s="489"/>
      <c r="X158" s="490"/>
    </row>
    <row r="159" spans="1:24" hidden="1" x14ac:dyDescent="0.3">
      <c r="A159" s="79">
        <v>1</v>
      </c>
      <c r="B159" s="131" t="s">
        <v>3529</v>
      </c>
      <c r="C159" s="150" t="s">
        <v>3533</v>
      </c>
      <c r="D159" s="214" t="s">
        <v>3537</v>
      </c>
      <c r="E159" s="132" t="s">
        <v>3542</v>
      </c>
      <c r="F159" s="215">
        <v>399000</v>
      </c>
      <c r="G159" s="224">
        <v>10000</v>
      </c>
      <c r="H159" s="224"/>
      <c r="I159" s="225">
        <v>409000</v>
      </c>
      <c r="J159" s="128">
        <f>I159*0.05</f>
        <v>20450</v>
      </c>
      <c r="K159" s="522"/>
      <c r="L159" s="523"/>
      <c r="M159" s="524"/>
      <c r="N159" s="443"/>
      <c r="O159" s="482" t="s">
        <v>3561</v>
      </c>
      <c r="P159" s="483"/>
      <c r="Q159" s="483"/>
      <c r="R159" s="484"/>
      <c r="S159" s="149"/>
      <c r="T159" s="81" t="s">
        <v>3564</v>
      </c>
      <c r="U159" s="130" t="s">
        <v>3566</v>
      </c>
      <c r="W159" s="438"/>
      <c r="X159" s="424"/>
    </row>
    <row r="160" spans="1:24" ht="17.25" hidden="1" thickBot="1" x14ac:dyDescent="0.35">
      <c r="A160" s="79">
        <v>2</v>
      </c>
      <c r="B160" s="226" t="s">
        <v>3530</v>
      </c>
      <c r="C160" s="227" t="s">
        <v>3534</v>
      </c>
      <c r="D160" s="228" t="s">
        <v>3538</v>
      </c>
      <c r="E160" s="229" t="s">
        <v>3542</v>
      </c>
      <c r="F160" s="230">
        <v>399000</v>
      </c>
      <c r="G160" s="231"/>
      <c r="H160" s="231"/>
      <c r="I160" s="232">
        <v>399000</v>
      </c>
      <c r="J160" s="233">
        <f t="shared" ref="J160:J168" si="5">I160*0.05</f>
        <v>19950</v>
      </c>
      <c r="K160" s="522"/>
      <c r="L160" s="523"/>
      <c r="M160" s="524"/>
      <c r="N160" s="443"/>
      <c r="O160" s="439" t="s">
        <v>3562</v>
      </c>
      <c r="P160" s="440"/>
      <c r="Q160" s="440"/>
      <c r="R160" s="441"/>
      <c r="S160" s="130"/>
      <c r="T160" s="81" t="s">
        <v>3564</v>
      </c>
      <c r="U160" s="87" t="s">
        <v>3567</v>
      </c>
      <c r="W160" s="120" t="s">
        <v>3608</v>
      </c>
      <c r="X160" s="114"/>
    </row>
    <row r="161" spans="1:24" ht="16.5" hidden="1" customHeight="1" x14ac:dyDescent="0.3">
      <c r="A161" s="79">
        <v>3</v>
      </c>
      <c r="B161" s="491" t="s">
        <v>3531</v>
      </c>
      <c r="C161" s="494" t="s">
        <v>3535</v>
      </c>
      <c r="D161" s="100" t="s">
        <v>3539</v>
      </c>
      <c r="E161" s="539" t="s">
        <v>3543</v>
      </c>
      <c r="F161" s="216">
        <v>349000</v>
      </c>
      <c r="G161" s="217">
        <v>10000</v>
      </c>
      <c r="H161" s="217">
        <v>99000</v>
      </c>
      <c r="I161" s="218">
        <f>F161+G161+H161</f>
        <v>458000</v>
      </c>
      <c r="J161" s="219">
        <f t="shared" si="5"/>
        <v>22900</v>
      </c>
      <c r="K161" s="448" t="s">
        <v>3559</v>
      </c>
      <c r="L161" s="525"/>
      <c r="M161" s="526"/>
      <c r="N161" s="443"/>
      <c r="O161" s="448" t="s">
        <v>3563</v>
      </c>
      <c r="P161" s="449"/>
      <c r="Q161" s="449"/>
      <c r="R161" s="450"/>
      <c r="S161" s="130"/>
      <c r="T161" s="477" t="s">
        <v>3565</v>
      </c>
      <c r="U161" s="475" t="s">
        <v>3568</v>
      </c>
      <c r="W161" s="120"/>
      <c r="X161" s="114"/>
    </row>
    <row r="162" spans="1:24" hidden="1" x14ac:dyDescent="0.3">
      <c r="A162" s="79">
        <v>4</v>
      </c>
      <c r="B162" s="492"/>
      <c r="C162" s="495"/>
      <c r="D162" s="129" t="s">
        <v>3540</v>
      </c>
      <c r="E162" s="540"/>
      <c r="F162" s="146">
        <v>349000</v>
      </c>
      <c r="G162" s="108">
        <v>10000</v>
      </c>
      <c r="H162" s="108">
        <v>99000</v>
      </c>
      <c r="I162" s="213">
        <f t="shared" ref="I162:I163" si="6">F162+G162+H162</f>
        <v>458000</v>
      </c>
      <c r="J162" s="109">
        <f t="shared" si="5"/>
        <v>22900</v>
      </c>
      <c r="K162" s="527"/>
      <c r="L162" s="528"/>
      <c r="M162" s="529"/>
      <c r="N162" s="443"/>
      <c r="O162" s="451"/>
      <c r="P162" s="452"/>
      <c r="Q162" s="452"/>
      <c r="R162" s="453"/>
      <c r="S162" s="130"/>
      <c r="T162" s="544"/>
      <c r="U162" s="545"/>
      <c r="W162" s="120"/>
      <c r="X162" s="114"/>
    </row>
    <row r="163" spans="1:24" ht="17.25" hidden="1" thickBot="1" x14ac:dyDescent="0.35">
      <c r="A163" s="79">
        <v>5</v>
      </c>
      <c r="B163" s="493"/>
      <c r="C163" s="496"/>
      <c r="D163" s="214" t="s">
        <v>3541</v>
      </c>
      <c r="E163" s="541"/>
      <c r="F163" s="220">
        <v>349000</v>
      </c>
      <c r="G163" s="221"/>
      <c r="H163" s="221">
        <v>99000</v>
      </c>
      <c r="I163" s="222">
        <f t="shared" si="6"/>
        <v>448000</v>
      </c>
      <c r="J163" s="223">
        <f t="shared" si="5"/>
        <v>22400</v>
      </c>
      <c r="K163" s="530"/>
      <c r="L163" s="531"/>
      <c r="M163" s="532"/>
      <c r="N163" s="443"/>
      <c r="O163" s="454"/>
      <c r="P163" s="455"/>
      <c r="Q163" s="455"/>
      <c r="R163" s="456"/>
      <c r="S163" s="130"/>
      <c r="T163" s="478"/>
      <c r="U163" s="476"/>
      <c r="W163" s="120"/>
      <c r="X163" s="114"/>
    </row>
    <row r="164" spans="1:24" hidden="1" x14ac:dyDescent="0.3">
      <c r="A164" s="79">
        <v>6</v>
      </c>
      <c r="B164" s="491" t="s">
        <v>3532</v>
      </c>
      <c r="C164" s="555" t="s">
        <v>3536</v>
      </c>
      <c r="D164" s="83" t="s">
        <v>3592</v>
      </c>
      <c r="E164" s="539" t="s">
        <v>3544</v>
      </c>
      <c r="F164" s="216">
        <v>369000</v>
      </c>
      <c r="G164" s="217"/>
      <c r="H164" s="217"/>
      <c r="I164" s="218">
        <f>F164+G164+H164</f>
        <v>369000</v>
      </c>
      <c r="J164" s="219">
        <f t="shared" si="5"/>
        <v>18450</v>
      </c>
      <c r="K164" s="533" t="s">
        <v>3560</v>
      </c>
      <c r="L164" s="525"/>
      <c r="M164" s="526"/>
      <c r="N164" s="443"/>
      <c r="O164" s="445" t="s">
        <v>3593</v>
      </c>
      <c r="P164" s="446"/>
      <c r="Q164" s="446"/>
      <c r="R164" s="447"/>
      <c r="S164" s="130"/>
      <c r="T164" s="81"/>
      <c r="U164" s="130"/>
      <c r="W164" s="120" t="s">
        <v>3608</v>
      </c>
      <c r="X164" s="114"/>
    </row>
    <row r="165" spans="1:24" ht="17.25" hidden="1" thickBot="1" x14ac:dyDescent="0.35">
      <c r="A165" s="79">
        <v>7</v>
      </c>
      <c r="B165" s="493"/>
      <c r="C165" s="556"/>
      <c r="D165" s="83" t="s">
        <v>3594</v>
      </c>
      <c r="E165" s="541"/>
      <c r="F165" s="220">
        <v>369000</v>
      </c>
      <c r="G165" s="221"/>
      <c r="H165" s="221"/>
      <c r="I165" s="222">
        <f t="shared" ref="I165:I168" si="7">F165+G165+H165</f>
        <v>369000</v>
      </c>
      <c r="J165" s="223">
        <f t="shared" si="5"/>
        <v>18450</v>
      </c>
      <c r="K165" s="530"/>
      <c r="L165" s="531"/>
      <c r="M165" s="532"/>
      <c r="N165" s="443"/>
      <c r="O165" s="445" t="s">
        <v>3593</v>
      </c>
      <c r="P165" s="446"/>
      <c r="Q165" s="446"/>
      <c r="R165" s="447"/>
      <c r="S165" s="130"/>
      <c r="T165" s="81"/>
      <c r="U165" s="130"/>
      <c r="W165" s="120" t="s">
        <v>3608</v>
      </c>
      <c r="X165" s="114"/>
    </row>
    <row r="166" spans="1:24" hidden="1" x14ac:dyDescent="0.3">
      <c r="A166" s="79">
        <v>8</v>
      </c>
      <c r="B166" s="469" t="s">
        <v>412</v>
      </c>
      <c r="C166" s="471" t="s">
        <v>3602</v>
      </c>
      <c r="D166" s="83" t="s">
        <v>3603</v>
      </c>
      <c r="E166" s="473" t="s">
        <v>3544</v>
      </c>
      <c r="F166" s="146">
        <v>369000</v>
      </c>
      <c r="G166" s="108"/>
      <c r="H166" s="108"/>
      <c r="I166" s="213">
        <f t="shared" si="7"/>
        <v>369000</v>
      </c>
      <c r="J166" s="109">
        <f t="shared" si="5"/>
        <v>18450</v>
      </c>
      <c r="K166" s="533"/>
      <c r="L166" s="525"/>
      <c r="M166" s="526"/>
      <c r="N166" s="443"/>
      <c r="O166" s="533" t="s">
        <v>3605</v>
      </c>
      <c r="P166" s="525"/>
      <c r="Q166" s="525"/>
      <c r="R166" s="537"/>
      <c r="S166" s="279"/>
      <c r="T166" s="477" t="s">
        <v>3606</v>
      </c>
      <c r="U166" s="475" t="s">
        <v>3607</v>
      </c>
      <c r="W166" s="120"/>
      <c r="X166" s="114"/>
    </row>
    <row r="167" spans="1:24" hidden="1" x14ac:dyDescent="0.3">
      <c r="A167" s="79">
        <v>9</v>
      </c>
      <c r="B167" s="470"/>
      <c r="C167" s="472"/>
      <c r="D167" s="83" t="s">
        <v>3604</v>
      </c>
      <c r="E167" s="474"/>
      <c r="F167" s="146">
        <v>369000</v>
      </c>
      <c r="G167" s="108">
        <v>40000</v>
      </c>
      <c r="H167" s="108"/>
      <c r="I167" s="213">
        <f t="shared" si="7"/>
        <v>409000</v>
      </c>
      <c r="J167" s="109">
        <f t="shared" si="5"/>
        <v>20450</v>
      </c>
      <c r="K167" s="530"/>
      <c r="L167" s="531"/>
      <c r="M167" s="532"/>
      <c r="N167" s="443"/>
      <c r="O167" s="530"/>
      <c r="P167" s="531"/>
      <c r="Q167" s="531"/>
      <c r="R167" s="538"/>
      <c r="S167" s="130"/>
      <c r="T167" s="478"/>
      <c r="U167" s="476"/>
      <c r="W167" s="120"/>
      <c r="X167" s="114"/>
    </row>
    <row r="168" spans="1:24" hidden="1" x14ac:dyDescent="0.3">
      <c r="A168" s="79">
        <v>10</v>
      </c>
      <c r="B168" s="95" t="s">
        <v>3616</v>
      </c>
      <c r="C168" s="242" t="s">
        <v>3617</v>
      </c>
      <c r="D168" s="83" t="s">
        <v>3618</v>
      </c>
      <c r="E168" s="106" t="s">
        <v>3619</v>
      </c>
      <c r="F168" s="146">
        <v>399000</v>
      </c>
      <c r="G168" s="83"/>
      <c r="H168" s="84"/>
      <c r="I168" s="213">
        <f t="shared" si="7"/>
        <v>399000</v>
      </c>
      <c r="J168" s="109">
        <f t="shared" si="5"/>
        <v>19950</v>
      </c>
      <c r="K168" s="469"/>
      <c r="L168" s="477"/>
      <c r="M168" s="473"/>
      <c r="N168" s="443"/>
      <c r="O168" s="439" t="s">
        <v>3620</v>
      </c>
      <c r="P168" s="440"/>
      <c r="Q168" s="440"/>
      <c r="R168" s="441"/>
      <c r="S168" s="87"/>
      <c r="T168" s="84" t="s">
        <v>3621</v>
      </c>
      <c r="U168" s="87"/>
      <c r="W168" s="457"/>
      <c r="X168" s="394"/>
    </row>
    <row r="169" spans="1:24" hidden="1" x14ac:dyDescent="0.3">
      <c r="A169" s="79">
        <v>11</v>
      </c>
      <c r="B169" s="95"/>
      <c r="C169" s="84"/>
      <c r="D169" s="83"/>
      <c r="E169" s="106"/>
      <c r="F169" s="133"/>
      <c r="G169" s="83"/>
      <c r="H169" s="84"/>
      <c r="I169" s="106"/>
      <c r="J169" s="134"/>
      <c r="K169" s="469"/>
      <c r="L169" s="477"/>
      <c r="M169" s="473"/>
      <c r="N169" s="443"/>
      <c r="O169" s="117"/>
      <c r="P169" s="115"/>
      <c r="Q169" s="115"/>
      <c r="R169" s="118"/>
      <c r="S169" s="87"/>
      <c r="T169" s="84"/>
      <c r="U169" s="87"/>
      <c r="W169" s="116"/>
      <c r="X169" s="113"/>
    </row>
    <row r="170" spans="1:24" hidden="1" x14ac:dyDescent="0.3">
      <c r="A170" s="79">
        <v>12</v>
      </c>
      <c r="B170" s="95"/>
      <c r="C170" s="84"/>
      <c r="D170" s="83"/>
      <c r="E170" s="106"/>
      <c r="F170" s="133"/>
      <c r="G170" s="83"/>
      <c r="H170" s="84"/>
      <c r="I170" s="106"/>
      <c r="J170" s="134"/>
      <c r="K170" s="469"/>
      <c r="L170" s="477"/>
      <c r="M170" s="473"/>
      <c r="N170" s="443"/>
      <c r="O170" s="117"/>
      <c r="P170" s="115"/>
      <c r="Q170" s="115"/>
      <c r="R170" s="118"/>
      <c r="S170" s="87"/>
      <c r="T170" s="84"/>
      <c r="U170" s="87"/>
      <c r="W170" s="116"/>
      <c r="X170" s="113"/>
    </row>
    <row r="171" spans="1:24" hidden="1" x14ac:dyDescent="0.3">
      <c r="A171" s="79">
        <v>13</v>
      </c>
      <c r="B171" s="95"/>
      <c r="C171" s="84"/>
      <c r="D171" s="83"/>
      <c r="E171" s="106"/>
      <c r="F171" s="133"/>
      <c r="G171" s="83"/>
      <c r="H171" s="84"/>
      <c r="I171" s="106"/>
      <c r="J171" s="134"/>
      <c r="K171" s="469"/>
      <c r="L171" s="477"/>
      <c r="M171" s="473"/>
      <c r="N171" s="443"/>
      <c r="O171" s="117"/>
      <c r="P171" s="115"/>
      <c r="Q171" s="115"/>
      <c r="R171" s="118"/>
      <c r="S171" s="87"/>
      <c r="T171" s="84"/>
      <c r="U171" s="87"/>
      <c r="W171" s="116"/>
      <c r="X171" s="113"/>
    </row>
    <row r="172" spans="1:24" hidden="1" x14ac:dyDescent="0.3">
      <c r="A172" s="79">
        <v>14</v>
      </c>
      <c r="B172" s="95"/>
      <c r="C172" s="84"/>
      <c r="D172" s="83"/>
      <c r="E172" s="106"/>
      <c r="F172" s="133"/>
      <c r="G172" s="83"/>
      <c r="H172" s="84"/>
      <c r="I172" s="106"/>
      <c r="J172" s="134"/>
      <c r="K172" s="469"/>
      <c r="L172" s="477"/>
      <c r="M172" s="473"/>
      <c r="N172" s="443"/>
      <c r="O172" s="117"/>
      <c r="P172" s="115"/>
      <c r="Q172" s="115"/>
      <c r="R172" s="118"/>
      <c r="S172" s="87"/>
      <c r="T172" s="84"/>
      <c r="U172" s="87"/>
      <c r="W172" s="116"/>
      <c r="X172" s="113"/>
    </row>
    <row r="173" spans="1:24" hidden="1" x14ac:dyDescent="0.3">
      <c r="A173" s="79">
        <v>15</v>
      </c>
      <c r="B173" s="95"/>
      <c r="C173" s="84"/>
      <c r="D173" s="83"/>
      <c r="E173" s="106"/>
      <c r="F173" s="133"/>
      <c r="G173" s="83"/>
      <c r="H173" s="84"/>
      <c r="I173" s="106"/>
      <c r="J173" s="134"/>
      <c r="K173" s="522"/>
      <c r="L173" s="523"/>
      <c r="M173" s="524"/>
      <c r="N173" s="443"/>
      <c r="O173" s="439"/>
      <c r="P173" s="440"/>
      <c r="Q173" s="440"/>
      <c r="R173" s="441"/>
      <c r="S173" s="87"/>
      <c r="T173" s="84"/>
      <c r="U173" s="87"/>
      <c r="W173" s="457"/>
      <c r="X173" s="394"/>
    </row>
    <row r="174" spans="1:24" hidden="1" x14ac:dyDescent="0.3">
      <c r="A174" s="79">
        <v>16</v>
      </c>
      <c r="B174" s="95"/>
      <c r="C174" s="84"/>
      <c r="D174" s="83"/>
      <c r="E174" s="106"/>
      <c r="F174" s="133"/>
      <c r="G174" s="83"/>
      <c r="H174" s="84"/>
      <c r="I174" s="106"/>
      <c r="J174" s="134"/>
      <c r="K174" s="522"/>
      <c r="L174" s="523"/>
      <c r="M174" s="524"/>
      <c r="N174" s="443"/>
      <c r="O174" s="439"/>
      <c r="P174" s="440"/>
      <c r="Q174" s="440"/>
      <c r="R174" s="441"/>
      <c r="S174" s="87"/>
      <c r="T174" s="84"/>
      <c r="U174" s="87"/>
      <c r="W174" s="457"/>
      <c r="X174" s="394"/>
    </row>
    <row r="175" spans="1:24" hidden="1" x14ac:dyDescent="0.3">
      <c r="A175" s="79">
        <v>17</v>
      </c>
      <c r="B175" s="95"/>
      <c r="C175" s="84"/>
      <c r="D175" s="83"/>
      <c r="E175" s="106"/>
      <c r="F175" s="133"/>
      <c r="G175" s="83"/>
      <c r="H175" s="84"/>
      <c r="I175" s="106"/>
      <c r="J175" s="134"/>
      <c r="K175" s="522"/>
      <c r="L175" s="523"/>
      <c r="M175" s="524"/>
      <c r="N175" s="443"/>
      <c r="O175" s="439"/>
      <c r="P175" s="440"/>
      <c r="Q175" s="440"/>
      <c r="R175" s="441"/>
      <c r="S175" s="87"/>
      <c r="T175" s="84"/>
      <c r="U175" s="87"/>
      <c r="W175" s="457"/>
      <c r="X175" s="394"/>
    </row>
    <row r="176" spans="1:24" ht="17.25" hidden="1" thickBot="1" x14ac:dyDescent="0.35">
      <c r="A176" s="79">
        <v>18</v>
      </c>
      <c r="B176" s="96"/>
      <c r="C176" s="88"/>
      <c r="D176" s="89"/>
      <c r="E176" s="107"/>
      <c r="F176" s="133"/>
      <c r="G176" s="89"/>
      <c r="H176" s="88"/>
      <c r="I176" s="107"/>
      <c r="J176" s="135"/>
      <c r="K176" s="479"/>
      <c r="L176" s="480"/>
      <c r="M176" s="481"/>
      <c r="N176" s="444"/>
      <c r="O176" s="485"/>
      <c r="P176" s="486"/>
      <c r="Q176" s="486"/>
      <c r="R176" s="487"/>
      <c r="S176" s="286"/>
      <c r="T176" s="88"/>
      <c r="U176" s="286"/>
      <c r="W176" s="462"/>
      <c r="X176" s="397"/>
    </row>
    <row r="177" hidden="1" x14ac:dyDescent="0.3"/>
  </sheetData>
  <mergeCells count="119">
    <mergeCell ref="U144:V145"/>
    <mergeCell ref="U142:V143"/>
    <mergeCell ref="U141:V141"/>
    <mergeCell ref="U140:V140"/>
    <mergeCell ref="O1:Q1"/>
    <mergeCell ref="B103:C103"/>
    <mergeCell ref="E103:F103"/>
    <mergeCell ref="B116:C116"/>
    <mergeCell ref="E116:F116"/>
    <mergeCell ref="E125:E126"/>
    <mergeCell ref="E127:E128"/>
    <mergeCell ref="F125:G126"/>
    <mergeCell ref="F127:G128"/>
    <mergeCell ref="A135:S135"/>
    <mergeCell ref="B137:M137"/>
    <mergeCell ref="E164:E165"/>
    <mergeCell ref="C164:C165"/>
    <mergeCell ref="B164:B165"/>
    <mergeCell ref="C156:M156"/>
    <mergeCell ref="B144:B145"/>
    <mergeCell ref="C144:C145"/>
    <mergeCell ref="E144:E145"/>
    <mergeCell ref="O144:R144"/>
    <mergeCell ref="O145:R145"/>
    <mergeCell ref="O146:R146"/>
    <mergeCell ref="O147:R147"/>
    <mergeCell ref="O148:R148"/>
    <mergeCell ref="O149:R149"/>
    <mergeCell ref="O153:R153"/>
    <mergeCell ref="O154:R154"/>
    <mergeCell ref="O151:R151"/>
    <mergeCell ref="K168:M168"/>
    <mergeCell ref="K155:M155"/>
    <mergeCell ref="K159:M159"/>
    <mergeCell ref="K173:M173"/>
    <mergeCell ref="K174:M174"/>
    <mergeCell ref="K175:M175"/>
    <mergeCell ref="K169:M169"/>
    <mergeCell ref="K170:M170"/>
    <mergeCell ref="K171:M171"/>
    <mergeCell ref="K172:M172"/>
    <mergeCell ref="K161:M163"/>
    <mergeCell ref="K164:M165"/>
    <mergeCell ref="B157:M158"/>
    <mergeCell ref="K166:M167"/>
    <mergeCell ref="E161:E163"/>
    <mergeCell ref="K160:M160"/>
    <mergeCell ref="K152:M152"/>
    <mergeCell ref="K154:M154"/>
    <mergeCell ref="O139:R139"/>
    <mergeCell ref="O140:R140"/>
    <mergeCell ref="W138:X138"/>
    <mergeCell ref="W144:X145"/>
    <mergeCell ref="K139:M139"/>
    <mergeCell ref="K140:M140"/>
    <mergeCell ref="K141:M141"/>
    <mergeCell ref="K142:M142"/>
    <mergeCell ref="K143:M143"/>
    <mergeCell ref="K144:M144"/>
    <mergeCell ref="K145:M145"/>
    <mergeCell ref="O152:R152"/>
    <mergeCell ref="K153:M153"/>
    <mergeCell ref="K138:M138"/>
    <mergeCell ref="O138:R138"/>
    <mergeCell ref="U139:V139"/>
    <mergeCell ref="U138:V138"/>
    <mergeCell ref="U150:V150"/>
    <mergeCell ref="U149:V149"/>
    <mergeCell ref="U148:V148"/>
    <mergeCell ref="U147:V147"/>
    <mergeCell ref="U146:V146"/>
    <mergeCell ref="B142:B143"/>
    <mergeCell ref="C142:C143"/>
    <mergeCell ref="E142:E143"/>
    <mergeCell ref="B166:B167"/>
    <mergeCell ref="C166:C167"/>
    <mergeCell ref="E166:E167"/>
    <mergeCell ref="U166:U167"/>
    <mergeCell ref="T166:T167"/>
    <mergeCell ref="K176:M176"/>
    <mergeCell ref="O159:R159"/>
    <mergeCell ref="O168:R168"/>
    <mergeCell ref="O173:R173"/>
    <mergeCell ref="O174:R174"/>
    <mergeCell ref="O175:R175"/>
    <mergeCell ref="O176:R176"/>
    <mergeCell ref="O150:R150"/>
    <mergeCell ref="B161:B163"/>
    <mergeCell ref="C161:C163"/>
    <mergeCell ref="K146:M146"/>
    <mergeCell ref="K147:M147"/>
    <mergeCell ref="K148:M148"/>
    <mergeCell ref="K149:M149"/>
    <mergeCell ref="K150:M150"/>
    <mergeCell ref="K151:M151"/>
    <mergeCell ref="W159:X159"/>
    <mergeCell ref="O141:R141"/>
    <mergeCell ref="O142:R142"/>
    <mergeCell ref="O143:R143"/>
    <mergeCell ref="N138:N176"/>
    <mergeCell ref="O165:R165"/>
    <mergeCell ref="O164:R164"/>
    <mergeCell ref="O161:R163"/>
    <mergeCell ref="W168:X168"/>
    <mergeCell ref="W173:X173"/>
    <mergeCell ref="W174:X174"/>
    <mergeCell ref="W175:X175"/>
    <mergeCell ref="U154:V154"/>
    <mergeCell ref="U153:V153"/>
    <mergeCell ref="U152:V152"/>
    <mergeCell ref="U151:V151"/>
    <mergeCell ref="W176:X176"/>
    <mergeCell ref="W157:X158"/>
    <mergeCell ref="O160:R160"/>
    <mergeCell ref="O155:R155"/>
    <mergeCell ref="O166:R167"/>
    <mergeCell ref="O157:U158"/>
    <mergeCell ref="T161:T163"/>
    <mergeCell ref="U161:U163"/>
  </mergeCells>
  <phoneticPr fontId="1" type="noConversion"/>
  <dataValidations count="11">
    <dataValidation type="list" allowBlank="1" showInputMessage="1" showErrorMessage="1" sqref="M3:M100" xr:uid="{2577B56B-3B75-4F7D-9AD2-1A16753B226C}">
      <formula1>"팀장,정혜,혜빈"</formula1>
    </dataValidation>
    <dataValidation type="list" allowBlank="1" showInputMessage="1" showErrorMessage="1" sqref="O3:P100" xr:uid="{DBF81048-6074-4557-BD05-C105C57B4F71}">
      <formula1>"재진O, 재진X"</formula1>
    </dataValidation>
    <dataValidation type="list" allowBlank="1" showInputMessage="1" showErrorMessage="1" sqref="F3:F100" xr:uid="{8EA45AD6-7EE5-40CF-9234-79A0A112E9E1}">
      <formula1>"강아지,고양이"</formula1>
    </dataValidation>
    <dataValidation type="list" allowBlank="1" showInputMessage="1" showErrorMessage="1" sqref="G3:G100" xr:uid="{5AF1C395-3A2C-4F2F-9AE6-D2D9AC30924E}">
      <formula1>"1마리,다견,다묘,혼합"</formula1>
    </dataValidation>
    <dataValidation type="list" allowBlank="1" showInputMessage="1" showErrorMessage="1" sqref="H3:H100" xr:uid="{332A2466-ECF3-4D5C-8134-DDB067E91877}">
      <formula1>"인터넷,지인,병원추천,기타,미작성"</formula1>
    </dataValidation>
    <dataValidation type="list" allowBlank="1" showInputMessage="1" showErrorMessage="1" sqref="U3:U100 S3:S100" xr:uid="{1EAED96B-99BD-47F9-98AF-CC67C0317842}">
      <formula1>"발송완료,미발송,기타"</formula1>
    </dataValidation>
    <dataValidation type="list" allowBlank="1" showInputMessage="1" showErrorMessage="1" sqref="I3:I100" xr:uid="{229DDA6C-93EB-46C7-AA36-94D8BC1F9588}">
      <formula1>"예방의학과,기본검진,건강검진,외과,치과,내과,피부과,안과,재활,기타,기본관리"</formula1>
    </dataValidation>
    <dataValidation type="list" allowBlank="1" showInputMessage="1" showErrorMessage="1" sqref="J3:J100" xr:uid="{7D8F3635-A945-4B72-8EF4-5B571B42CDFE}">
      <formula1>"구월동,간석동,만수동,논현동,장수동,서창동,고잔동,남촌동,도림동,정보없음,그외"</formula1>
    </dataValidation>
    <dataValidation type="list" allowBlank="1" showInputMessage="1" showErrorMessage="1" sqref="K3:K100" xr:uid="{2732B59D-F3B7-4EC7-B865-65D4A04E78BE}">
      <formula1>"네이버예약O,네이버예약X"</formula1>
    </dataValidation>
    <dataValidation type="list" allowBlank="1" showInputMessage="1" showErrorMessage="1" sqref="T3:T100" xr:uid="{8A8761C5-91F0-4A8C-AB6F-ACE6BA641A79}">
      <formula1>"재진1일전"</formula1>
    </dataValidation>
    <dataValidation type="list" allowBlank="1" showInputMessage="1" showErrorMessage="1" sqref="F159:F168" xr:uid="{962B1DDF-8BB9-4419-B5EC-C8612B247D78}">
      <formula1>"399000,369000,349000"</formula1>
    </dataValidation>
  </dataValidations>
  <pageMargins left="0.7" right="0.7" top="0.75" bottom="0.75" header="0.3" footer="0.3"/>
  <pageSetup paperSize="9" orientation="landscape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EE54D-55A9-45A5-9B59-9E19958EABF6}">
  <dimension ref="A1:AE4235"/>
  <sheetViews>
    <sheetView showGridLines="0" tabSelected="1" topLeftCell="A118" zoomScale="70" zoomScaleNormal="70" workbookViewId="0">
      <selection activeCell="D164" sqref="D164"/>
    </sheetView>
  </sheetViews>
  <sheetFormatPr defaultRowHeight="16.5" x14ac:dyDescent="0.3"/>
  <cols>
    <col min="1" max="1" width="5" style="80" customWidth="1"/>
    <col min="2" max="2" width="12.375" customWidth="1"/>
    <col min="3" max="3" width="17.375" customWidth="1"/>
    <col min="4" max="4" width="21.125" style="71" customWidth="1"/>
    <col min="5" max="5" width="23.375" style="21" customWidth="1"/>
    <col min="6" max="7" width="14.875" style="71" customWidth="1"/>
    <col min="8" max="8" width="11.5" style="21" customWidth="1"/>
    <col min="9" max="9" width="16.125" customWidth="1"/>
    <col min="10" max="10" width="9.875" customWidth="1"/>
    <col min="11" max="11" width="15" customWidth="1"/>
    <col min="12" max="12" width="10.875" bestFit="1" customWidth="1"/>
    <col min="13" max="13" width="7.75" customWidth="1"/>
    <col min="14" max="14" width="0.875" customWidth="1"/>
    <col min="15" max="15" width="8.625" customWidth="1"/>
    <col min="16" max="16" width="9" customWidth="1"/>
    <col min="17" max="17" width="9.875" customWidth="1"/>
    <col min="18" max="18" width="17.125" customWidth="1"/>
    <col min="19" max="19" width="9.375" customWidth="1"/>
    <col min="20" max="20" width="11.375" customWidth="1"/>
    <col min="21" max="21" width="10" customWidth="1"/>
    <col min="22" max="22" width="12.125" customWidth="1"/>
    <col min="23" max="23" width="10.875" style="315" customWidth="1"/>
    <col min="24" max="24" width="10" style="4" customWidth="1"/>
    <col min="25" max="25" width="16.25" customWidth="1"/>
    <col min="26" max="26" width="11.375" customWidth="1"/>
    <col min="27" max="27" width="10.75" customWidth="1"/>
    <col min="28" max="28" width="61.75" customWidth="1"/>
    <col min="29" max="29" width="12.375" bestFit="1" customWidth="1"/>
    <col min="30" max="30" width="18.125" customWidth="1"/>
  </cols>
  <sheetData>
    <row r="1" spans="1:31" s="311" customFormat="1" ht="40.5" customHeight="1" thickBot="1" x14ac:dyDescent="0.35">
      <c r="A1" s="77"/>
      <c r="B1" s="327" t="s">
        <v>1</v>
      </c>
      <c r="C1" s="347" t="s">
        <v>2909</v>
      </c>
      <c r="D1" s="289" t="s">
        <v>2908</v>
      </c>
      <c r="E1" s="289" t="s">
        <v>911</v>
      </c>
      <c r="F1" s="289" t="s">
        <v>3414</v>
      </c>
      <c r="G1" s="289" t="s">
        <v>3415</v>
      </c>
      <c r="H1" s="289" t="s">
        <v>1819</v>
      </c>
      <c r="I1" s="289" t="s">
        <v>3301</v>
      </c>
      <c r="J1" s="289" t="s">
        <v>3328</v>
      </c>
      <c r="K1" s="289" t="s">
        <v>3416</v>
      </c>
      <c r="L1" s="289" t="s">
        <v>3302</v>
      </c>
      <c r="M1" s="289" t="s">
        <v>3403</v>
      </c>
      <c r="N1" s="326"/>
      <c r="O1" s="639" t="s">
        <v>3404</v>
      </c>
      <c r="P1" s="640"/>
      <c r="Q1" s="641"/>
      <c r="R1" s="367" t="s">
        <v>3745</v>
      </c>
      <c r="S1" s="325" t="s">
        <v>3528</v>
      </c>
      <c r="T1" s="328" t="s">
        <v>3420</v>
      </c>
      <c r="U1" s="329" t="s">
        <v>3421</v>
      </c>
      <c r="V1" s="330" t="s">
        <v>3420</v>
      </c>
      <c r="W1" s="341" t="s">
        <v>3738</v>
      </c>
      <c r="X1" s="342" t="s">
        <v>3739</v>
      </c>
      <c r="Y1" s="342" t="s">
        <v>3741</v>
      </c>
      <c r="Z1" s="343" t="s">
        <v>3740</v>
      </c>
      <c r="AA1" s="344" t="s">
        <v>3739</v>
      </c>
      <c r="AB1" s="344" t="s">
        <v>3741</v>
      </c>
    </row>
    <row r="2" spans="1:31" s="311" customFormat="1" ht="15" customHeight="1" thickBot="1" x14ac:dyDescent="0.35">
      <c r="A2" s="78"/>
      <c r="B2" s="348"/>
      <c r="C2" s="345"/>
      <c r="D2" s="346"/>
      <c r="E2" s="346"/>
      <c r="F2" s="349"/>
      <c r="G2" s="351"/>
      <c r="H2" s="350"/>
      <c r="I2" s="346"/>
      <c r="J2" s="349"/>
      <c r="K2" s="351"/>
      <c r="L2" s="352"/>
      <c r="M2" s="351"/>
      <c r="N2" s="296"/>
      <c r="O2" s="369" t="s">
        <v>3742</v>
      </c>
      <c r="P2" s="369" t="s">
        <v>3736</v>
      </c>
      <c r="Q2" s="369" t="s">
        <v>3743</v>
      </c>
      <c r="R2" s="372" t="s">
        <v>3744</v>
      </c>
      <c r="S2" s="325"/>
      <c r="T2" s="328"/>
      <c r="U2" s="329"/>
      <c r="V2" s="330"/>
      <c r="W2" s="357"/>
      <c r="X2" s="357"/>
      <c r="Y2" s="357"/>
      <c r="Z2" s="353"/>
      <c r="AA2" s="353"/>
      <c r="AB2" s="353"/>
    </row>
    <row r="3" spans="1:31" ht="17.25" thickBot="1" x14ac:dyDescent="0.35">
      <c r="A3" s="380">
        <v>1</v>
      </c>
      <c r="B3" s="333">
        <v>12706</v>
      </c>
      <c r="C3" s="99">
        <v>46054</v>
      </c>
      <c r="D3" s="100" t="s">
        <v>3652</v>
      </c>
      <c r="E3" s="101" t="s">
        <v>3653</v>
      </c>
      <c r="F3" s="100" t="s">
        <v>3654</v>
      </c>
      <c r="G3" s="334" t="s">
        <v>3655</v>
      </c>
      <c r="H3" s="288" t="s">
        <v>3660</v>
      </c>
      <c r="I3" s="101" t="s">
        <v>3656</v>
      </c>
      <c r="J3" s="101" t="s">
        <v>3657</v>
      </c>
      <c r="K3" s="101" t="s">
        <v>3601</v>
      </c>
      <c r="L3" s="102">
        <v>239000</v>
      </c>
      <c r="M3" s="103" t="s">
        <v>3659</v>
      </c>
      <c r="N3" s="239"/>
      <c r="O3" s="82" t="s">
        <v>3552</v>
      </c>
      <c r="P3" s="366" t="str">
        <f>IF(L3&gt;=300000,"이상","미만")</f>
        <v>미만</v>
      </c>
      <c r="Q3" s="331"/>
      <c r="R3" s="371"/>
      <c r="S3" s="320" t="s">
        <v>3419</v>
      </c>
      <c r="T3" s="320" t="s">
        <v>3437</v>
      </c>
      <c r="U3" s="320"/>
      <c r="V3" s="331"/>
      <c r="W3" s="6"/>
      <c r="X3" s="6"/>
      <c r="Y3" s="6"/>
      <c r="Z3" s="6"/>
      <c r="AA3" s="332"/>
      <c r="AB3" s="6"/>
    </row>
    <row r="4" spans="1:31" ht="17.25" thickBot="1" x14ac:dyDescent="0.35">
      <c r="A4" s="381">
        <v>2</v>
      </c>
      <c r="B4" s="335">
        <v>12708</v>
      </c>
      <c r="C4" s="94">
        <v>46055</v>
      </c>
      <c r="D4" s="83" t="s">
        <v>3667</v>
      </c>
      <c r="E4" s="84" t="s">
        <v>3668</v>
      </c>
      <c r="F4" s="83" t="s">
        <v>3669</v>
      </c>
      <c r="G4" s="119" t="s">
        <v>3655</v>
      </c>
      <c r="H4" s="251" t="s">
        <v>3670</v>
      </c>
      <c r="I4" s="81" t="s">
        <v>3656</v>
      </c>
      <c r="J4" s="81" t="s">
        <v>3657</v>
      </c>
      <c r="K4" s="81" t="s">
        <v>3601</v>
      </c>
      <c r="L4" s="85">
        <v>8000</v>
      </c>
      <c r="M4" s="91" t="s">
        <v>3413</v>
      </c>
      <c r="N4" s="240"/>
      <c r="O4" s="85" t="s">
        <v>3552</v>
      </c>
      <c r="P4" s="309" t="str">
        <f t="shared" ref="P4:P25" si="0">IF(L4&gt;=300000,"이상","미만")</f>
        <v>미만</v>
      </c>
      <c r="Q4" s="331"/>
      <c r="R4" s="81" t="s">
        <v>3695</v>
      </c>
      <c r="S4" s="320" t="s">
        <v>3694</v>
      </c>
      <c r="T4" s="321" t="s">
        <v>3410</v>
      </c>
      <c r="U4" s="321"/>
      <c r="V4" s="322"/>
      <c r="W4" s="4"/>
      <c r="X4" s="305"/>
      <c r="Y4" s="305"/>
      <c r="Z4" s="305"/>
      <c r="AA4" s="354"/>
      <c r="AB4" s="305"/>
      <c r="AC4" s="237"/>
      <c r="AD4" s="237"/>
      <c r="AE4" s="237"/>
    </row>
    <row r="5" spans="1:31" ht="17.25" thickBot="1" x14ac:dyDescent="0.35">
      <c r="A5" s="381">
        <v>3</v>
      </c>
      <c r="B5" s="335">
        <v>12710</v>
      </c>
      <c r="C5" s="94">
        <v>46056</v>
      </c>
      <c r="D5" s="86" t="s">
        <v>3674</v>
      </c>
      <c r="E5" s="87" t="s">
        <v>3673</v>
      </c>
      <c r="F5" s="83" t="s">
        <v>3675</v>
      </c>
      <c r="G5" s="119" t="s">
        <v>3676</v>
      </c>
      <c r="H5" s="251" t="s">
        <v>3677</v>
      </c>
      <c r="I5" s="81" t="s">
        <v>3678</v>
      </c>
      <c r="J5" s="81" t="s">
        <v>3679</v>
      </c>
      <c r="K5" s="81" t="s">
        <v>3601</v>
      </c>
      <c r="L5" s="85">
        <v>50000</v>
      </c>
      <c r="M5" s="91" t="s">
        <v>3413</v>
      </c>
      <c r="N5" s="240"/>
      <c r="O5" s="85" t="s">
        <v>3552</v>
      </c>
      <c r="P5" s="309" t="str">
        <f t="shared" si="0"/>
        <v>미만</v>
      </c>
      <c r="Q5" s="331"/>
      <c r="R5" s="81"/>
      <c r="S5" s="320" t="s">
        <v>3419</v>
      </c>
      <c r="T5" s="321" t="s">
        <v>3437</v>
      </c>
      <c r="U5" s="321"/>
      <c r="V5" s="322"/>
      <c r="X5" s="305"/>
      <c r="Y5" s="305"/>
      <c r="Z5" s="305"/>
      <c r="AA5" s="354"/>
      <c r="AB5" s="305"/>
      <c r="AC5" s="308"/>
      <c r="AD5" s="237"/>
      <c r="AE5" s="237"/>
    </row>
    <row r="6" spans="1:31" ht="17.25" thickBot="1" x14ac:dyDescent="0.35">
      <c r="A6" s="381">
        <v>4</v>
      </c>
      <c r="B6" s="335">
        <v>12711</v>
      </c>
      <c r="C6" s="94">
        <v>46056</v>
      </c>
      <c r="D6" s="86" t="s">
        <v>3680</v>
      </c>
      <c r="E6" s="87" t="s">
        <v>3681</v>
      </c>
      <c r="F6" s="83" t="s">
        <v>3675</v>
      </c>
      <c r="G6" s="119" t="s">
        <v>3676</v>
      </c>
      <c r="H6" s="288" t="s">
        <v>3456</v>
      </c>
      <c r="I6" s="81" t="s">
        <v>3677</v>
      </c>
      <c r="J6" s="81" t="s">
        <v>3679</v>
      </c>
      <c r="K6" s="81" t="s">
        <v>3601</v>
      </c>
      <c r="L6" s="85">
        <v>8000</v>
      </c>
      <c r="M6" s="91" t="s">
        <v>3413</v>
      </c>
      <c r="N6" s="240"/>
      <c r="O6" s="85" t="s">
        <v>3552</v>
      </c>
      <c r="P6" s="309" t="str">
        <f t="shared" si="0"/>
        <v>미만</v>
      </c>
      <c r="Q6" s="331"/>
      <c r="R6" s="81"/>
      <c r="S6" s="320" t="s">
        <v>3693</v>
      </c>
      <c r="T6" s="321" t="s">
        <v>3411</v>
      </c>
      <c r="U6" s="321"/>
      <c r="V6" s="322"/>
      <c r="X6" s="305"/>
      <c r="Y6" s="305"/>
      <c r="Z6" s="305"/>
      <c r="AA6" s="354"/>
      <c r="AB6" s="305"/>
      <c r="AC6" s="308"/>
      <c r="AD6" s="237"/>
      <c r="AE6" s="237"/>
    </row>
    <row r="7" spans="1:31" ht="17.25" thickBot="1" x14ac:dyDescent="0.35">
      <c r="A7" s="381">
        <v>5</v>
      </c>
      <c r="B7" s="335">
        <v>12712</v>
      </c>
      <c r="C7" s="94" t="s">
        <v>3682</v>
      </c>
      <c r="D7" s="83" t="s">
        <v>3686</v>
      </c>
      <c r="E7" s="84" t="s">
        <v>3687</v>
      </c>
      <c r="F7" s="83" t="s">
        <v>3405</v>
      </c>
      <c r="G7" s="119" t="s">
        <v>3406</v>
      </c>
      <c r="H7" s="251" t="s">
        <v>3407</v>
      </c>
      <c r="I7" s="81" t="s">
        <v>3689</v>
      </c>
      <c r="J7" s="81" t="s">
        <v>3557</v>
      </c>
      <c r="K7" s="81" t="s">
        <v>3601</v>
      </c>
      <c r="L7" s="85">
        <v>53000</v>
      </c>
      <c r="M7" s="91" t="s">
        <v>3556</v>
      </c>
      <c r="N7" s="240"/>
      <c r="O7" s="85" t="s">
        <v>3552</v>
      </c>
      <c r="P7" s="309" t="str">
        <f t="shared" si="0"/>
        <v>미만</v>
      </c>
      <c r="Q7" s="331"/>
      <c r="R7" s="81" t="s">
        <v>3688</v>
      </c>
      <c r="S7" s="320" t="s">
        <v>3419</v>
      </c>
      <c r="T7" s="321" t="s">
        <v>3437</v>
      </c>
      <c r="U7" s="321"/>
      <c r="V7" s="322"/>
      <c r="X7" s="305"/>
      <c r="Y7" s="305"/>
      <c r="Z7" s="305"/>
      <c r="AA7" s="354"/>
      <c r="AB7" s="305"/>
      <c r="AC7" s="308"/>
      <c r="AD7" s="237"/>
      <c r="AE7" s="237"/>
    </row>
    <row r="8" spans="1:31" ht="17.25" thickBot="1" x14ac:dyDescent="0.35">
      <c r="A8" s="381">
        <v>6</v>
      </c>
      <c r="B8" s="335">
        <v>12714</v>
      </c>
      <c r="C8" s="94" t="s">
        <v>3682</v>
      </c>
      <c r="D8" s="86" t="s">
        <v>3683</v>
      </c>
      <c r="E8" s="87" t="s">
        <v>3684</v>
      </c>
      <c r="F8" s="83" t="s">
        <v>3405</v>
      </c>
      <c r="G8" s="119" t="s">
        <v>3406</v>
      </c>
      <c r="H8" s="238" t="s">
        <v>3408</v>
      </c>
      <c r="I8" s="81" t="s">
        <v>3685</v>
      </c>
      <c r="J8" s="81" t="s">
        <v>3557</v>
      </c>
      <c r="K8" s="81" t="s">
        <v>3601</v>
      </c>
      <c r="L8" s="85">
        <v>18000</v>
      </c>
      <c r="M8" s="91" t="s">
        <v>3556</v>
      </c>
      <c r="N8" s="240"/>
      <c r="O8" s="85" t="s">
        <v>3552</v>
      </c>
      <c r="P8" s="309" t="str">
        <f t="shared" si="0"/>
        <v>미만</v>
      </c>
      <c r="Q8" s="331"/>
      <c r="R8" s="81"/>
      <c r="S8" s="320" t="s">
        <v>3419</v>
      </c>
      <c r="T8" s="321" t="s">
        <v>3437</v>
      </c>
      <c r="U8" s="321"/>
      <c r="V8" s="322"/>
      <c r="X8" s="305"/>
      <c r="Y8" s="305"/>
      <c r="Z8" s="305"/>
      <c r="AA8" s="354"/>
      <c r="AB8" s="305"/>
      <c r="AC8" s="308"/>
      <c r="AD8" s="237"/>
      <c r="AE8" s="237"/>
    </row>
    <row r="9" spans="1:31" ht="17.25" thickBot="1" x14ac:dyDescent="0.35">
      <c r="A9" s="381">
        <v>7</v>
      </c>
      <c r="B9" s="335">
        <v>12715</v>
      </c>
      <c r="C9" s="94">
        <v>46057</v>
      </c>
      <c r="D9" s="86" t="s">
        <v>3690</v>
      </c>
      <c r="E9" s="87" t="s">
        <v>3691</v>
      </c>
      <c r="F9" s="83" t="s">
        <v>3405</v>
      </c>
      <c r="G9" s="119" t="s">
        <v>3406</v>
      </c>
      <c r="H9" s="238" t="s">
        <v>3408</v>
      </c>
      <c r="I9" s="81" t="s">
        <v>3410</v>
      </c>
      <c r="J9" s="81" t="s">
        <v>3557</v>
      </c>
      <c r="K9" s="81" t="s">
        <v>3601</v>
      </c>
      <c r="L9" s="85">
        <v>68000</v>
      </c>
      <c r="M9" s="91" t="s">
        <v>3556</v>
      </c>
      <c r="N9" s="240"/>
      <c r="O9" s="85" t="s">
        <v>3552</v>
      </c>
      <c r="P9" s="309" t="str">
        <f t="shared" si="0"/>
        <v>미만</v>
      </c>
      <c r="Q9" s="331"/>
      <c r="R9" s="85" t="s">
        <v>3692</v>
      </c>
      <c r="S9" s="323" t="s">
        <v>3747</v>
      </c>
      <c r="T9" s="321" t="s">
        <v>3411</v>
      </c>
      <c r="U9" s="321"/>
      <c r="V9" s="322"/>
      <c r="X9" s="305"/>
      <c r="Y9" s="305"/>
      <c r="Z9" s="305"/>
      <c r="AA9" s="354"/>
      <c r="AB9" s="305"/>
      <c r="AC9" s="308"/>
      <c r="AD9" s="237"/>
      <c r="AE9" s="237"/>
    </row>
    <row r="10" spans="1:31" ht="17.25" thickBot="1" x14ac:dyDescent="0.35">
      <c r="A10" s="381">
        <v>8</v>
      </c>
      <c r="B10" s="335">
        <v>12716</v>
      </c>
      <c r="C10" s="94">
        <v>46059</v>
      </c>
      <c r="D10" s="83" t="s">
        <v>3696</v>
      </c>
      <c r="E10" s="84" t="s">
        <v>3697</v>
      </c>
      <c r="F10" s="83" t="s">
        <v>3698</v>
      </c>
      <c r="G10" s="119" t="s">
        <v>3406</v>
      </c>
      <c r="H10" s="251" t="s">
        <v>3407</v>
      </c>
      <c r="I10" s="81" t="s">
        <v>3699</v>
      </c>
      <c r="J10" s="81" t="s">
        <v>3700</v>
      </c>
      <c r="K10" s="81" t="s">
        <v>3601</v>
      </c>
      <c r="L10" s="85">
        <v>361500</v>
      </c>
      <c r="M10" s="91" t="s">
        <v>3413</v>
      </c>
      <c r="N10" s="240"/>
      <c r="O10" s="85" t="s">
        <v>3552</v>
      </c>
      <c r="P10" s="340" t="str">
        <f t="shared" si="0"/>
        <v>이상</v>
      </c>
      <c r="Q10" s="331"/>
      <c r="R10" s="81" t="s">
        <v>3701</v>
      </c>
      <c r="S10" s="320" t="s">
        <v>3693</v>
      </c>
      <c r="T10" s="321" t="s">
        <v>3411</v>
      </c>
      <c r="U10" s="321"/>
      <c r="V10" s="322"/>
      <c r="X10" s="305"/>
      <c r="Y10" s="305"/>
      <c r="Z10" s="305"/>
      <c r="AA10" s="354"/>
      <c r="AB10" s="305"/>
      <c r="AC10" s="308"/>
      <c r="AD10" s="237"/>
      <c r="AE10" s="237"/>
    </row>
    <row r="11" spans="1:31" ht="17.25" thickBot="1" x14ac:dyDescent="0.35">
      <c r="A11" s="381">
        <v>9</v>
      </c>
      <c r="B11" s="335">
        <v>12717</v>
      </c>
      <c r="C11" s="94">
        <v>46059</v>
      </c>
      <c r="D11" s="83" t="s">
        <v>3702</v>
      </c>
      <c r="E11" s="84" t="s">
        <v>3703</v>
      </c>
      <c r="F11" s="83" t="s">
        <v>3704</v>
      </c>
      <c r="G11" s="119" t="s">
        <v>3705</v>
      </c>
      <c r="H11" s="251" t="s">
        <v>3458</v>
      </c>
      <c r="I11" s="81" t="s">
        <v>3706</v>
      </c>
      <c r="J11" s="81" t="s">
        <v>3700</v>
      </c>
      <c r="K11" s="81" t="s">
        <v>3601</v>
      </c>
      <c r="L11" s="85">
        <v>94500</v>
      </c>
      <c r="M11" s="91" t="s">
        <v>3413</v>
      </c>
      <c r="N11" s="240"/>
      <c r="O11" s="85" t="s">
        <v>3707</v>
      </c>
      <c r="P11" s="309" t="str">
        <f t="shared" si="0"/>
        <v>미만</v>
      </c>
      <c r="Q11" s="331"/>
      <c r="R11" s="136">
        <v>46062</v>
      </c>
      <c r="S11" s="320" t="s">
        <v>3419</v>
      </c>
      <c r="T11" s="321" t="s">
        <v>3437</v>
      </c>
      <c r="U11" s="321"/>
      <c r="V11" s="322"/>
      <c r="X11" s="305"/>
      <c r="Y11" s="305"/>
      <c r="Z11" s="305"/>
      <c r="AA11" s="354"/>
      <c r="AB11" s="305"/>
      <c r="AC11" s="308"/>
      <c r="AD11" s="237"/>
      <c r="AE11" s="237"/>
    </row>
    <row r="12" spans="1:31" ht="17.25" thickBot="1" x14ac:dyDescent="0.35">
      <c r="A12" s="381">
        <v>10</v>
      </c>
      <c r="B12" s="335">
        <v>12718</v>
      </c>
      <c r="C12" s="94">
        <v>46059</v>
      </c>
      <c r="D12" s="83" t="s">
        <v>3708</v>
      </c>
      <c r="E12" s="84" t="s">
        <v>3709</v>
      </c>
      <c r="F12" s="83" t="s">
        <v>3698</v>
      </c>
      <c r="G12" s="119" t="s">
        <v>3705</v>
      </c>
      <c r="H12" s="251" t="s">
        <v>3710</v>
      </c>
      <c r="I12" s="81" t="s">
        <v>3699</v>
      </c>
      <c r="J12" s="81" t="s">
        <v>3700</v>
      </c>
      <c r="K12" s="81" t="s">
        <v>3601</v>
      </c>
      <c r="L12" s="85">
        <v>82000</v>
      </c>
      <c r="M12" s="91" t="s">
        <v>3413</v>
      </c>
      <c r="N12" s="240"/>
      <c r="O12" s="85" t="s">
        <v>3552</v>
      </c>
      <c r="P12" s="309" t="str">
        <f t="shared" si="0"/>
        <v>미만</v>
      </c>
      <c r="Q12" s="331"/>
      <c r="R12" s="81"/>
      <c r="S12" s="320" t="s">
        <v>3419</v>
      </c>
      <c r="T12" s="321" t="s">
        <v>3437</v>
      </c>
      <c r="U12" s="321"/>
      <c r="V12" s="322"/>
      <c r="X12" s="305"/>
      <c r="Y12" s="305"/>
      <c r="Z12" s="305"/>
      <c r="AA12" s="354"/>
      <c r="AB12" s="305"/>
      <c r="AC12" s="308"/>
      <c r="AD12" s="237"/>
      <c r="AE12" s="237"/>
    </row>
    <row r="13" spans="1:31" ht="17.25" thickBot="1" x14ac:dyDescent="0.35">
      <c r="A13" s="381">
        <v>11</v>
      </c>
      <c r="B13" s="336">
        <v>12719</v>
      </c>
      <c r="C13" s="293">
        <v>46060</v>
      </c>
      <c r="D13" s="144" t="s">
        <v>3711</v>
      </c>
      <c r="E13" s="144" t="s">
        <v>3712</v>
      </c>
      <c r="F13" s="144" t="s">
        <v>3713</v>
      </c>
      <c r="G13" s="145" t="s">
        <v>3714</v>
      </c>
      <c r="H13" s="385" t="s">
        <v>3715</v>
      </c>
      <c r="I13" s="138" t="s">
        <v>3716</v>
      </c>
      <c r="J13" s="138" t="s">
        <v>3717</v>
      </c>
      <c r="K13" s="138" t="s">
        <v>3658</v>
      </c>
      <c r="L13" s="140">
        <v>540000</v>
      </c>
      <c r="M13" s="91" t="s">
        <v>3413</v>
      </c>
      <c r="N13" s="294"/>
      <c r="O13" s="140" t="s">
        <v>3552</v>
      </c>
      <c r="P13" s="340" t="str">
        <f t="shared" si="0"/>
        <v>이상</v>
      </c>
      <c r="Q13" s="331"/>
      <c r="R13" s="138" t="s">
        <v>3727</v>
      </c>
      <c r="S13" s="323" t="s">
        <v>3694</v>
      </c>
      <c r="T13" s="324" t="s">
        <v>3411</v>
      </c>
      <c r="U13" s="321"/>
      <c r="V13" s="322"/>
      <c r="X13" s="305"/>
      <c r="Y13" s="305"/>
      <c r="Z13" s="305"/>
      <c r="AA13" s="354"/>
      <c r="AB13" s="305"/>
      <c r="AC13" s="308"/>
      <c r="AD13" s="237"/>
      <c r="AE13" s="237"/>
    </row>
    <row r="14" spans="1:31" ht="17.25" thickBot="1" x14ac:dyDescent="0.35">
      <c r="A14" s="381">
        <v>12</v>
      </c>
      <c r="B14" s="335">
        <v>12720</v>
      </c>
      <c r="C14" s="94">
        <v>46060</v>
      </c>
      <c r="D14" s="83" t="s">
        <v>3719</v>
      </c>
      <c r="E14" s="84" t="s">
        <v>3720</v>
      </c>
      <c r="F14" s="83" t="s">
        <v>3713</v>
      </c>
      <c r="G14" s="119" t="s">
        <v>3714</v>
      </c>
      <c r="H14" s="251" t="s">
        <v>3715</v>
      </c>
      <c r="I14" s="81" t="s">
        <v>3721</v>
      </c>
      <c r="J14" s="81" t="s">
        <v>3722</v>
      </c>
      <c r="K14" s="81" t="s">
        <v>3658</v>
      </c>
      <c r="L14" s="85">
        <v>118000</v>
      </c>
      <c r="M14" s="91" t="s">
        <v>3413</v>
      </c>
      <c r="N14" s="240"/>
      <c r="O14" s="85" t="s">
        <v>3552</v>
      </c>
      <c r="P14" s="309" t="str">
        <f t="shared" si="0"/>
        <v>미만</v>
      </c>
      <c r="Q14" s="331"/>
      <c r="R14" s="81"/>
      <c r="S14" s="320" t="s">
        <v>3419</v>
      </c>
      <c r="T14" s="321" t="s">
        <v>3437</v>
      </c>
      <c r="U14" s="321"/>
      <c r="V14" s="322"/>
      <c r="X14" s="305"/>
      <c r="Y14" s="305"/>
      <c r="Z14" s="305"/>
      <c r="AA14" s="354"/>
      <c r="AB14" s="305"/>
      <c r="AC14" s="308"/>
      <c r="AD14" s="237"/>
      <c r="AE14" s="237"/>
    </row>
    <row r="15" spans="1:31" ht="17.25" thickBot="1" x14ac:dyDescent="0.35">
      <c r="A15" s="381">
        <v>13</v>
      </c>
      <c r="B15" s="335">
        <v>12721</v>
      </c>
      <c r="C15" s="94">
        <v>46060</v>
      </c>
      <c r="D15" s="83" t="s">
        <v>3723</v>
      </c>
      <c r="E15" s="84" t="s">
        <v>3724</v>
      </c>
      <c r="F15" s="83" t="s">
        <v>3725</v>
      </c>
      <c r="G15" s="119" t="s">
        <v>3714</v>
      </c>
      <c r="H15" s="251" t="s">
        <v>3715</v>
      </c>
      <c r="I15" s="81" t="s">
        <v>3726</v>
      </c>
      <c r="J15" s="81" t="s">
        <v>3717</v>
      </c>
      <c r="K15" s="81" t="s">
        <v>3658</v>
      </c>
      <c r="L15" s="85">
        <v>266000</v>
      </c>
      <c r="M15" s="91" t="s">
        <v>3413</v>
      </c>
      <c r="N15" s="240"/>
      <c r="O15" s="85" t="s">
        <v>3707</v>
      </c>
      <c r="P15" s="309" t="str">
        <f t="shared" si="0"/>
        <v>미만</v>
      </c>
      <c r="Q15" s="331"/>
      <c r="R15" s="136" t="s">
        <v>3737</v>
      </c>
      <c r="S15" s="320"/>
      <c r="T15" s="321"/>
      <c r="U15" s="321"/>
      <c r="V15" s="322"/>
      <c r="X15" s="305"/>
      <c r="Y15" s="305"/>
      <c r="Z15" s="305"/>
      <c r="AA15" s="354"/>
      <c r="AB15" s="305"/>
      <c r="AC15" s="308"/>
      <c r="AD15" s="237"/>
      <c r="AE15" s="237"/>
    </row>
    <row r="16" spans="1:31" ht="15.75" customHeight="1" thickBot="1" x14ac:dyDescent="0.35">
      <c r="A16" s="381">
        <v>14</v>
      </c>
      <c r="B16" s="335">
        <v>12722</v>
      </c>
      <c r="C16" s="94">
        <v>46060</v>
      </c>
      <c r="D16" s="83" t="s">
        <v>3728</v>
      </c>
      <c r="E16" s="84" t="s">
        <v>3729</v>
      </c>
      <c r="F16" s="83" t="s">
        <v>3725</v>
      </c>
      <c r="G16" s="119" t="s">
        <v>3714</v>
      </c>
      <c r="H16" s="251" t="s">
        <v>3730</v>
      </c>
      <c r="I16" s="81" t="s">
        <v>3343</v>
      </c>
      <c r="J16" s="81" t="s">
        <v>3717</v>
      </c>
      <c r="K16" s="81" t="s">
        <v>3658</v>
      </c>
      <c r="L16" s="85">
        <v>95000</v>
      </c>
      <c r="M16" s="91" t="s">
        <v>3413</v>
      </c>
      <c r="N16" s="240"/>
      <c r="O16" s="85" t="s">
        <v>3552</v>
      </c>
      <c r="P16" s="309" t="str">
        <f t="shared" si="0"/>
        <v>미만</v>
      </c>
      <c r="Q16" s="331"/>
      <c r="R16" s="81" t="s">
        <v>3731</v>
      </c>
      <c r="S16" s="320" t="s">
        <v>3419</v>
      </c>
      <c r="T16" s="321" t="s">
        <v>3437</v>
      </c>
      <c r="U16" s="321"/>
      <c r="V16" s="322"/>
      <c r="X16" s="305"/>
      <c r="Y16" s="305"/>
      <c r="Z16" s="305"/>
      <c r="AA16" s="354"/>
      <c r="AB16" s="305"/>
      <c r="AC16" s="237"/>
      <c r="AD16" s="237"/>
      <c r="AE16" s="237"/>
    </row>
    <row r="17" spans="1:31" ht="17.25" thickBot="1" x14ac:dyDescent="0.35">
      <c r="A17" s="381">
        <v>15</v>
      </c>
      <c r="B17" s="335">
        <v>12723</v>
      </c>
      <c r="C17" s="94">
        <v>46060</v>
      </c>
      <c r="D17" s="83" t="s">
        <v>3733</v>
      </c>
      <c r="E17" s="84" t="s">
        <v>3732</v>
      </c>
      <c r="F17" s="83" t="s">
        <v>3725</v>
      </c>
      <c r="G17" s="119" t="s">
        <v>3714</v>
      </c>
      <c r="H17" s="251" t="s">
        <v>3715</v>
      </c>
      <c r="I17" s="81" t="s">
        <v>3726</v>
      </c>
      <c r="J17" s="81" t="s">
        <v>3717</v>
      </c>
      <c r="K17" s="81" t="s">
        <v>3658</v>
      </c>
      <c r="L17" s="85">
        <v>21000</v>
      </c>
      <c r="M17" s="91" t="s">
        <v>3413</v>
      </c>
      <c r="N17" s="240"/>
      <c r="O17" s="85" t="s">
        <v>3734</v>
      </c>
      <c r="P17" s="309" t="str">
        <f t="shared" si="0"/>
        <v>미만</v>
      </c>
      <c r="Q17" s="366"/>
      <c r="R17" s="81" t="s">
        <v>3735</v>
      </c>
      <c r="S17" s="320" t="s">
        <v>3419</v>
      </c>
      <c r="T17" s="321" t="s">
        <v>3437</v>
      </c>
      <c r="U17" s="321"/>
      <c r="V17" s="322"/>
      <c r="X17" s="305"/>
      <c r="Y17" s="305"/>
      <c r="Z17" s="305"/>
      <c r="AA17" s="354"/>
      <c r="AB17" s="305"/>
      <c r="AC17" s="237"/>
      <c r="AD17" s="69"/>
      <c r="AE17" s="237"/>
    </row>
    <row r="18" spans="1:31" ht="17.25" thickBot="1" x14ac:dyDescent="0.35">
      <c r="A18" s="381">
        <v>16</v>
      </c>
      <c r="B18" s="335">
        <v>12724</v>
      </c>
      <c r="C18" s="94">
        <v>46060</v>
      </c>
      <c r="D18" s="83" t="s">
        <v>3750</v>
      </c>
      <c r="E18" s="84" t="s">
        <v>3751</v>
      </c>
      <c r="F18" s="83"/>
      <c r="G18" s="119" t="s">
        <v>3714</v>
      </c>
      <c r="H18" s="238" t="s">
        <v>3715</v>
      </c>
      <c r="I18" s="81" t="s">
        <v>3730</v>
      </c>
      <c r="J18" s="81" t="s">
        <v>3717</v>
      </c>
      <c r="K18" s="81" t="s">
        <v>3658</v>
      </c>
      <c r="L18" s="85">
        <v>33000</v>
      </c>
      <c r="M18" s="91" t="s">
        <v>3413</v>
      </c>
      <c r="N18" s="240"/>
      <c r="O18" s="85" t="s">
        <v>3552</v>
      </c>
      <c r="P18" s="309" t="str">
        <f t="shared" si="0"/>
        <v>미만</v>
      </c>
      <c r="Q18" s="82"/>
      <c r="R18" s="81" t="s">
        <v>3752</v>
      </c>
      <c r="S18" s="320" t="s">
        <v>3747</v>
      </c>
      <c r="T18" s="321" t="s">
        <v>3758</v>
      </c>
      <c r="U18" s="321"/>
      <c r="V18" s="322"/>
      <c r="X18" s="305"/>
      <c r="Y18" s="305"/>
      <c r="Z18" s="305"/>
      <c r="AA18" s="354"/>
      <c r="AB18" s="305"/>
      <c r="AC18" s="237"/>
      <c r="AD18" s="308"/>
      <c r="AE18" s="237"/>
    </row>
    <row r="19" spans="1:31" ht="17.25" thickBot="1" x14ac:dyDescent="0.35">
      <c r="A19" s="381">
        <v>17</v>
      </c>
      <c r="B19" s="335">
        <v>12725</v>
      </c>
      <c r="C19" s="94">
        <v>46060</v>
      </c>
      <c r="D19" s="83" t="s">
        <v>3753</v>
      </c>
      <c r="E19" s="84" t="s">
        <v>3754</v>
      </c>
      <c r="F19" s="83" t="s">
        <v>3713</v>
      </c>
      <c r="G19" s="119" t="s">
        <v>3714</v>
      </c>
      <c r="H19" s="238" t="s">
        <v>3456</v>
      </c>
      <c r="I19" s="81" t="s">
        <v>2800</v>
      </c>
      <c r="J19" s="81" t="s">
        <v>3717</v>
      </c>
      <c r="K19" s="81" t="s">
        <v>3658</v>
      </c>
      <c r="L19" s="85">
        <v>71000</v>
      </c>
      <c r="M19" s="91" t="s">
        <v>3413</v>
      </c>
      <c r="N19" s="240"/>
      <c r="O19" s="85" t="s">
        <v>3552</v>
      </c>
      <c r="P19" s="309" t="str">
        <f t="shared" si="0"/>
        <v>미만</v>
      </c>
      <c r="Q19" s="82"/>
      <c r="R19" s="81" t="s">
        <v>3760</v>
      </c>
      <c r="S19" s="320" t="s">
        <v>3759</v>
      </c>
      <c r="T19" s="321" t="s">
        <v>3758</v>
      </c>
      <c r="U19" s="321"/>
      <c r="V19" s="322"/>
      <c r="X19" s="305"/>
      <c r="Y19" s="305"/>
      <c r="Z19" s="305"/>
      <c r="AA19" s="354"/>
      <c r="AB19" s="305"/>
      <c r="AC19" s="237"/>
      <c r="AD19" s="308"/>
      <c r="AE19" s="237"/>
    </row>
    <row r="20" spans="1:31" x14ac:dyDescent="0.3">
      <c r="A20" s="381">
        <v>18</v>
      </c>
      <c r="B20" s="335">
        <v>12726</v>
      </c>
      <c r="C20" s="94">
        <v>46060</v>
      </c>
      <c r="D20" s="83" t="s">
        <v>3755</v>
      </c>
      <c r="E20" s="84" t="s">
        <v>3756</v>
      </c>
      <c r="F20" s="83" t="s">
        <v>3713</v>
      </c>
      <c r="G20" s="119" t="s">
        <v>3714</v>
      </c>
      <c r="H20" s="238" t="s">
        <v>3715</v>
      </c>
      <c r="I20" s="81" t="s">
        <v>3716</v>
      </c>
      <c r="J20" s="81" t="s">
        <v>3717</v>
      </c>
      <c r="K20" s="81" t="s">
        <v>3658</v>
      </c>
      <c r="L20" s="85">
        <v>819000</v>
      </c>
      <c r="M20" s="91" t="s">
        <v>3757</v>
      </c>
      <c r="N20" s="240"/>
      <c r="O20" s="85" t="s">
        <v>3552</v>
      </c>
      <c r="P20" s="340" t="str">
        <f t="shared" si="0"/>
        <v>이상</v>
      </c>
      <c r="Q20" s="82"/>
      <c r="R20" s="136" t="s">
        <v>3727</v>
      </c>
      <c r="S20" s="320" t="s">
        <v>3747</v>
      </c>
      <c r="T20" s="321" t="s">
        <v>3758</v>
      </c>
      <c r="U20" s="321"/>
      <c r="V20" s="322"/>
      <c r="X20" s="305"/>
      <c r="Y20" s="305"/>
      <c r="Z20" s="305"/>
      <c r="AA20" s="354"/>
      <c r="AB20" s="305"/>
      <c r="AC20" s="237"/>
      <c r="AD20" s="308"/>
      <c r="AE20" s="237"/>
    </row>
    <row r="21" spans="1:31" x14ac:dyDescent="0.3">
      <c r="A21" s="381">
        <v>19</v>
      </c>
      <c r="B21" s="335">
        <v>12727</v>
      </c>
      <c r="C21" s="94">
        <v>46060</v>
      </c>
      <c r="D21" s="83" t="s">
        <v>3761</v>
      </c>
      <c r="E21" s="84" t="s">
        <v>3762</v>
      </c>
      <c r="F21" s="83" t="s">
        <v>3713</v>
      </c>
      <c r="G21" s="119" t="s">
        <v>3714</v>
      </c>
      <c r="H21" s="238" t="s">
        <v>3715</v>
      </c>
      <c r="I21" s="81" t="s">
        <v>3308</v>
      </c>
      <c r="J21" s="81" t="s">
        <v>3329</v>
      </c>
      <c r="K21" s="81" t="s">
        <v>3658</v>
      </c>
      <c r="L21" s="85">
        <v>217000</v>
      </c>
      <c r="M21" s="91" t="s">
        <v>3757</v>
      </c>
      <c r="N21" s="240"/>
      <c r="O21" s="85" t="s">
        <v>3552</v>
      </c>
      <c r="P21" s="82" t="str">
        <f t="shared" si="0"/>
        <v>미만</v>
      </c>
      <c r="Q21" s="82"/>
      <c r="R21" s="81" t="s">
        <v>3760</v>
      </c>
      <c r="S21" s="320" t="s">
        <v>3759</v>
      </c>
      <c r="T21" s="321" t="s">
        <v>3758</v>
      </c>
      <c r="U21" s="321"/>
      <c r="V21" s="322"/>
      <c r="X21" s="305"/>
      <c r="Y21" s="305"/>
      <c r="Z21" s="305"/>
      <c r="AA21" s="354"/>
      <c r="AB21" s="305"/>
      <c r="AC21" s="237"/>
      <c r="AD21" s="308"/>
      <c r="AE21" s="237"/>
    </row>
    <row r="22" spans="1:31" x14ac:dyDescent="0.3">
      <c r="A22" s="381">
        <v>20</v>
      </c>
      <c r="B22" s="335">
        <v>12729</v>
      </c>
      <c r="C22" s="94">
        <v>46063</v>
      </c>
      <c r="D22" s="83" t="s">
        <v>3749</v>
      </c>
      <c r="E22" s="84" t="s">
        <v>3748</v>
      </c>
      <c r="F22" s="83" t="s">
        <v>3713</v>
      </c>
      <c r="G22" s="119" t="s">
        <v>3714</v>
      </c>
      <c r="H22" s="251" t="s">
        <v>3715</v>
      </c>
      <c r="I22" s="81" t="s">
        <v>3343</v>
      </c>
      <c r="J22" s="81" t="s">
        <v>3717</v>
      </c>
      <c r="K22" s="81" t="s">
        <v>3658</v>
      </c>
      <c r="L22" s="85">
        <v>53000</v>
      </c>
      <c r="M22" s="91" t="s">
        <v>3757</v>
      </c>
      <c r="N22" s="240"/>
      <c r="O22" s="85" t="s">
        <v>3552</v>
      </c>
      <c r="P22" s="82" t="str">
        <f t="shared" si="0"/>
        <v>미만</v>
      </c>
      <c r="Q22" s="82"/>
      <c r="R22" s="81"/>
      <c r="S22" s="320" t="s">
        <v>3763</v>
      </c>
      <c r="T22" s="321" t="s">
        <v>3764</v>
      </c>
      <c r="U22" s="321"/>
      <c r="V22" s="322"/>
      <c r="X22" s="305"/>
      <c r="Y22" s="305"/>
      <c r="Z22" s="305"/>
      <c r="AA22" s="354"/>
      <c r="AB22" s="305"/>
      <c r="AC22" s="237"/>
      <c r="AD22" s="308"/>
      <c r="AE22" s="237"/>
    </row>
    <row r="23" spans="1:31" x14ac:dyDescent="0.3">
      <c r="A23" s="381">
        <v>21</v>
      </c>
      <c r="B23" s="335">
        <v>12731</v>
      </c>
      <c r="C23" s="94">
        <v>46063</v>
      </c>
      <c r="D23" s="83" t="s">
        <v>3765</v>
      </c>
      <c r="E23" s="84" t="s">
        <v>3766</v>
      </c>
      <c r="F23" s="83" t="s">
        <v>3713</v>
      </c>
      <c r="G23" s="119" t="s">
        <v>3714</v>
      </c>
      <c r="H23" s="238" t="s">
        <v>3715</v>
      </c>
      <c r="I23" s="81" t="s">
        <v>3726</v>
      </c>
      <c r="J23" s="81" t="s">
        <v>3717</v>
      </c>
      <c r="K23" s="81" t="s">
        <v>3658</v>
      </c>
      <c r="L23" s="85" t="s">
        <v>3718</v>
      </c>
      <c r="M23" s="91" t="s">
        <v>3757</v>
      </c>
      <c r="N23" s="240"/>
      <c r="O23" s="85"/>
      <c r="P23" s="82"/>
      <c r="Q23" s="82"/>
      <c r="R23" s="81"/>
      <c r="S23" s="320"/>
      <c r="T23" s="321"/>
      <c r="U23" s="321"/>
      <c r="V23" s="322"/>
      <c r="X23" s="305"/>
      <c r="Y23" s="305"/>
      <c r="Z23" s="305"/>
      <c r="AA23" s="354"/>
      <c r="AB23" s="305"/>
      <c r="AC23" s="237"/>
      <c r="AD23" s="237"/>
      <c r="AE23" s="237"/>
    </row>
    <row r="24" spans="1:31" x14ac:dyDescent="0.3">
      <c r="A24" s="381">
        <v>22</v>
      </c>
      <c r="B24" s="335">
        <v>12732</v>
      </c>
      <c r="C24" s="94">
        <v>46064</v>
      </c>
      <c r="D24" s="83" t="s">
        <v>3767</v>
      </c>
      <c r="E24" s="84" t="s">
        <v>3768</v>
      </c>
      <c r="F24" s="83" t="s">
        <v>3725</v>
      </c>
      <c r="G24" s="119" t="s">
        <v>3714</v>
      </c>
      <c r="H24" s="251" t="s">
        <v>3769</v>
      </c>
      <c r="I24" s="81" t="s">
        <v>3716</v>
      </c>
      <c r="J24" s="81" t="s">
        <v>3722</v>
      </c>
      <c r="K24" s="81" t="s">
        <v>3658</v>
      </c>
      <c r="L24" s="85">
        <v>188000</v>
      </c>
      <c r="M24" s="91" t="s">
        <v>3757</v>
      </c>
      <c r="N24" s="240"/>
      <c r="O24" s="85" t="s">
        <v>3707</v>
      </c>
      <c r="P24" s="82" t="str">
        <f t="shared" si="0"/>
        <v>미만</v>
      </c>
      <c r="Q24" s="82"/>
      <c r="R24" s="81"/>
      <c r="S24" s="320" t="s">
        <v>3763</v>
      </c>
      <c r="T24" s="321" t="s">
        <v>3764</v>
      </c>
      <c r="U24" s="321"/>
      <c r="V24" s="322"/>
      <c r="X24" s="305"/>
      <c r="Y24" s="305"/>
      <c r="Z24" s="305"/>
      <c r="AA24" s="354"/>
      <c r="AB24" s="305"/>
      <c r="AC24" s="237"/>
      <c r="AD24" s="237"/>
      <c r="AE24" s="237"/>
    </row>
    <row r="25" spans="1:31" x14ac:dyDescent="0.3">
      <c r="A25" s="381">
        <v>23</v>
      </c>
      <c r="B25" s="335">
        <v>12733</v>
      </c>
      <c r="C25" s="94">
        <v>46065</v>
      </c>
      <c r="D25" s="83" t="s">
        <v>3773</v>
      </c>
      <c r="E25" s="84" t="s">
        <v>3770</v>
      </c>
      <c r="F25" s="83" t="s">
        <v>534</v>
      </c>
      <c r="G25" s="119" t="s">
        <v>3461</v>
      </c>
      <c r="H25" s="251" t="s">
        <v>3456</v>
      </c>
      <c r="I25" s="81" t="s">
        <v>3771</v>
      </c>
      <c r="J25" s="81" t="s">
        <v>3772</v>
      </c>
      <c r="K25" s="81" t="s">
        <v>3658</v>
      </c>
      <c r="L25" s="85">
        <v>178100</v>
      </c>
      <c r="M25" s="91" t="s">
        <v>3774</v>
      </c>
      <c r="N25" s="240"/>
      <c r="O25" s="85" t="s">
        <v>3552</v>
      </c>
      <c r="P25" s="82" t="str">
        <f t="shared" si="0"/>
        <v>미만</v>
      </c>
      <c r="Q25" s="82"/>
      <c r="R25" s="81"/>
      <c r="S25" s="320" t="s">
        <v>3763</v>
      </c>
      <c r="T25" s="321" t="s">
        <v>3764</v>
      </c>
      <c r="U25" s="321"/>
      <c r="V25" s="322"/>
      <c r="X25" s="305"/>
      <c r="Y25" s="305"/>
      <c r="Z25" s="305"/>
      <c r="AA25" s="354"/>
      <c r="AB25" s="305"/>
      <c r="AC25" s="237"/>
      <c r="AD25" s="237"/>
      <c r="AE25" s="237"/>
    </row>
    <row r="26" spans="1:31" x14ac:dyDescent="0.3">
      <c r="A26" s="381">
        <v>24</v>
      </c>
      <c r="B26" s="335">
        <v>12735</v>
      </c>
      <c r="C26" s="94">
        <v>46065</v>
      </c>
      <c r="D26" s="83" t="s">
        <v>3775</v>
      </c>
      <c r="E26" s="84" t="s">
        <v>3776</v>
      </c>
      <c r="F26" s="83" t="s">
        <v>3777</v>
      </c>
      <c r="G26" s="119" t="s">
        <v>3778</v>
      </c>
      <c r="H26" s="251" t="s">
        <v>3779</v>
      </c>
      <c r="I26" s="81" t="s">
        <v>3780</v>
      </c>
      <c r="J26" s="81" t="s">
        <v>3772</v>
      </c>
      <c r="K26" s="81" t="s">
        <v>3658</v>
      </c>
      <c r="L26" s="85" t="s">
        <v>3781</v>
      </c>
      <c r="M26" s="91" t="s">
        <v>3774</v>
      </c>
      <c r="N26" s="240"/>
      <c r="O26" s="85"/>
      <c r="P26" s="82"/>
      <c r="Q26" s="82"/>
      <c r="R26" s="81"/>
      <c r="S26" s="320"/>
      <c r="T26" s="321"/>
      <c r="U26" s="321"/>
      <c r="V26" s="322"/>
      <c r="X26" s="305"/>
      <c r="Y26" s="305"/>
      <c r="Z26" s="305"/>
      <c r="AA26" s="354"/>
      <c r="AB26" s="305"/>
      <c r="AC26" s="630"/>
      <c r="AD26" s="237"/>
      <c r="AE26" s="237"/>
    </row>
    <row r="27" spans="1:31" x14ac:dyDescent="0.3">
      <c r="A27" s="381">
        <v>25</v>
      </c>
      <c r="B27" s="335">
        <v>12736</v>
      </c>
      <c r="C27" s="94">
        <v>46066</v>
      </c>
      <c r="D27" s="83"/>
      <c r="E27" s="84"/>
      <c r="F27" s="83"/>
      <c r="G27" s="119"/>
      <c r="H27" s="251"/>
      <c r="I27" s="81" t="s">
        <v>3689</v>
      </c>
      <c r="J27" s="81"/>
      <c r="K27" s="81" t="s">
        <v>3417</v>
      </c>
      <c r="L27" s="85"/>
      <c r="M27" s="91"/>
      <c r="N27" s="240"/>
      <c r="O27" s="85"/>
      <c r="P27" s="82"/>
      <c r="Q27" s="82"/>
      <c r="R27" s="81"/>
      <c r="S27" s="320"/>
      <c r="T27" s="321"/>
      <c r="U27" s="321"/>
      <c r="V27" s="322"/>
      <c r="X27" s="305"/>
      <c r="Y27" s="305"/>
      <c r="Z27" s="305"/>
      <c r="AA27" s="354"/>
      <c r="AB27" s="305"/>
      <c r="AC27" s="630"/>
      <c r="AD27" s="237"/>
      <c r="AE27" s="237"/>
    </row>
    <row r="28" spans="1:31" x14ac:dyDescent="0.3">
      <c r="A28" s="381">
        <v>26</v>
      </c>
      <c r="B28" s="335"/>
      <c r="C28" s="94"/>
      <c r="D28" s="83"/>
      <c r="E28" s="84"/>
      <c r="F28" s="83"/>
      <c r="G28" s="119"/>
      <c r="H28" s="251"/>
      <c r="I28" s="81"/>
      <c r="J28" s="81"/>
      <c r="K28" s="81"/>
      <c r="L28" s="85"/>
      <c r="M28" s="91"/>
      <c r="N28" s="240"/>
      <c r="O28" s="85"/>
      <c r="P28" s="82"/>
      <c r="Q28" s="82"/>
      <c r="R28" s="81"/>
      <c r="S28" s="320"/>
      <c r="T28" s="321"/>
      <c r="U28" s="321"/>
      <c r="V28" s="322"/>
      <c r="X28" s="305"/>
      <c r="Y28" s="305"/>
      <c r="Z28" s="305"/>
      <c r="AA28" s="354"/>
      <c r="AB28" s="305"/>
      <c r="AC28" s="237"/>
      <c r="AD28" s="237"/>
      <c r="AE28" s="237"/>
    </row>
    <row r="29" spans="1:31" x14ac:dyDescent="0.3">
      <c r="A29" s="381">
        <v>27</v>
      </c>
      <c r="B29" s="335"/>
      <c r="C29" s="94"/>
      <c r="D29" s="83"/>
      <c r="E29" s="84"/>
      <c r="F29" s="83"/>
      <c r="G29" s="119"/>
      <c r="H29" s="251"/>
      <c r="I29" s="81"/>
      <c r="J29" s="81"/>
      <c r="K29" s="81"/>
      <c r="L29" s="85"/>
      <c r="M29" s="91"/>
      <c r="N29" s="240"/>
      <c r="O29" s="85"/>
      <c r="P29" s="82"/>
      <c r="Q29" s="82"/>
      <c r="R29" s="81"/>
      <c r="S29" s="320"/>
      <c r="T29" s="321"/>
      <c r="U29" s="321"/>
      <c r="V29" s="322"/>
      <c r="Y29" s="4"/>
      <c r="Z29" s="4"/>
      <c r="AA29" s="315"/>
      <c r="AB29" s="4"/>
    </row>
    <row r="30" spans="1:31" x14ac:dyDescent="0.3">
      <c r="A30" s="381">
        <v>28</v>
      </c>
      <c r="B30" s="335"/>
      <c r="C30" s="94"/>
      <c r="D30" s="83"/>
      <c r="E30" s="84"/>
      <c r="F30" s="83"/>
      <c r="G30" s="119"/>
      <c r="H30" s="251"/>
      <c r="I30" s="81"/>
      <c r="J30" s="81"/>
      <c r="K30" s="81"/>
      <c r="L30" s="85"/>
      <c r="M30" s="91"/>
      <c r="N30" s="240"/>
      <c r="O30" s="85"/>
      <c r="P30" s="82"/>
      <c r="Q30" s="82"/>
      <c r="R30" s="81"/>
      <c r="S30" s="320"/>
      <c r="T30" s="321"/>
      <c r="U30" s="321"/>
      <c r="V30" s="322"/>
      <c r="X30" s="317"/>
      <c r="Y30" s="317"/>
      <c r="Z30" s="4"/>
      <c r="AA30" s="315"/>
      <c r="AB30" s="4"/>
    </row>
    <row r="31" spans="1:31" x14ac:dyDescent="0.3">
      <c r="A31" s="381">
        <v>29</v>
      </c>
      <c r="B31" s="335"/>
      <c r="C31" s="94"/>
      <c r="D31" s="83"/>
      <c r="E31" s="84"/>
      <c r="F31" s="83"/>
      <c r="G31" s="119"/>
      <c r="H31" s="251"/>
      <c r="I31" s="81"/>
      <c r="J31" s="81"/>
      <c r="K31" s="81"/>
      <c r="L31" s="85"/>
      <c r="M31" s="91"/>
      <c r="N31" s="240"/>
      <c r="O31" s="85"/>
      <c r="P31" s="82"/>
      <c r="Q31" s="82"/>
      <c r="R31" s="81"/>
      <c r="S31" s="320"/>
      <c r="T31" s="321"/>
      <c r="U31" s="321"/>
      <c r="V31" s="322"/>
      <c r="Y31" s="4"/>
      <c r="Z31" s="4"/>
      <c r="AA31" s="315"/>
      <c r="AB31" s="4"/>
    </row>
    <row r="32" spans="1:31" x14ac:dyDescent="0.3">
      <c r="A32" s="381">
        <v>30</v>
      </c>
      <c r="B32" s="335"/>
      <c r="C32" s="94"/>
      <c r="D32" s="83"/>
      <c r="E32" s="87"/>
      <c r="F32" s="83"/>
      <c r="G32" s="119"/>
      <c r="H32" s="251"/>
      <c r="I32" s="81"/>
      <c r="J32" s="81"/>
      <c r="K32" s="81"/>
      <c r="L32" s="85"/>
      <c r="M32" s="91"/>
      <c r="N32" s="240"/>
      <c r="O32" s="85"/>
      <c r="P32" s="82"/>
      <c r="Q32" s="82"/>
      <c r="R32" s="81"/>
      <c r="S32" s="320"/>
      <c r="T32" s="321"/>
      <c r="U32" s="321"/>
      <c r="V32" s="322"/>
      <c r="X32" s="305"/>
      <c r="Y32" s="305"/>
      <c r="Z32" s="305"/>
      <c r="AA32" s="354"/>
      <c r="AB32" s="305"/>
      <c r="AC32" s="237"/>
      <c r="AD32" s="237"/>
    </row>
    <row r="33" spans="1:30" x14ac:dyDescent="0.3">
      <c r="A33" s="381">
        <v>31</v>
      </c>
      <c r="B33" s="335"/>
      <c r="C33" s="94"/>
      <c r="D33" s="83"/>
      <c r="E33" s="87"/>
      <c r="F33" s="83"/>
      <c r="G33" s="119"/>
      <c r="H33" s="251"/>
      <c r="I33" s="81"/>
      <c r="J33" s="81"/>
      <c r="K33" s="81"/>
      <c r="L33" s="85"/>
      <c r="M33" s="91"/>
      <c r="N33" s="240"/>
      <c r="O33" s="85"/>
      <c r="P33" s="82"/>
      <c r="Q33" s="82"/>
      <c r="R33" s="81"/>
      <c r="S33" s="320"/>
      <c r="T33" s="321"/>
      <c r="U33" s="321"/>
      <c r="V33" s="322"/>
      <c r="X33" s="307"/>
      <c r="Y33" s="307"/>
      <c r="Z33" s="307"/>
      <c r="AA33" s="355"/>
      <c r="AB33" s="307"/>
      <c r="AC33" s="69"/>
      <c r="AD33" s="69"/>
    </row>
    <row r="34" spans="1:30" x14ac:dyDescent="0.3">
      <c r="A34" s="381">
        <v>32</v>
      </c>
      <c r="B34" s="335"/>
      <c r="C34" s="94"/>
      <c r="D34" s="83"/>
      <c r="E34" s="87"/>
      <c r="F34" s="83"/>
      <c r="G34" s="119"/>
      <c r="H34" s="251"/>
      <c r="I34" s="81"/>
      <c r="J34" s="81"/>
      <c r="K34" s="81"/>
      <c r="L34" s="85"/>
      <c r="M34" s="91"/>
      <c r="N34" s="240"/>
      <c r="O34" s="85"/>
      <c r="P34" s="82"/>
      <c r="Q34" s="82"/>
      <c r="R34" s="81"/>
      <c r="S34" s="320"/>
      <c r="T34" s="321"/>
      <c r="U34" s="321"/>
      <c r="V34" s="322"/>
      <c r="X34" s="26"/>
      <c r="Y34" s="26"/>
      <c r="Z34" s="26"/>
      <c r="AA34" s="43"/>
      <c r="AB34" s="26"/>
      <c r="AC34" s="21"/>
    </row>
    <row r="35" spans="1:30" x14ac:dyDescent="0.3">
      <c r="A35" s="381">
        <v>33</v>
      </c>
      <c r="B35" s="335"/>
      <c r="C35" s="94"/>
      <c r="D35" s="83"/>
      <c r="E35" s="87"/>
      <c r="F35" s="83"/>
      <c r="G35" s="119"/>
      <c r="H35" s="251"/>
      <c r="I35" s="81"/>
      <c r="J35" s="81"/>
      <c r="K35" s="81"/>
      <c r="L35" s="85"/>
      <c r="M35" s="91"/>
      <c r="N35" s="240"/>
      <c r="O35" s="85"/>
      <c r="P35" s="82"/>
      <c r="Q35" s="82"/>
      <c r="R35" s="81"/>
      <c r="S35" s="320"/>
      <c r="T35" s="321"/>
      <c r="U35" s="321"/>
      <c r="V35" s="322"/>
      <c r="X35" s="26"/>
      <c r="Y35" s="26"/>
      <c r="Z35" s="26"/>
      <c r="AA35" s="43"/>
      <c r="AB35" s="26"/>
      <c r="AC35" s="21"/>
    </row>
    <row r="36" spans="1:30" x14ac:dyDescent="0.3">
      <c r="A36" s="381">
        <v>34</v>
      </c>
      <c r="B36" s="335"/>
      <c r="C36" s="94"/>
      <c r="D36" s="83"/>
      <c r="E36" s="87"/>
      <c r="F36" s="83"/>
      <c r="G36" s="119"/>
      <c r="H36" s="251"/>
      <c r="I36" s="81"/>
      <c r="J36" s="81"/>
      <c r="K36" s="81"/>
      <c r="L36" s="85"/>
      <c r="M36" s="91"/>
      <c r="N36" s="240"/>
      <c r="O36" s="85"/>
      <c r="P36" s="82"/>
      <c r="Q36" s="82"/>
      <c r="R36" s="136"/>
      <c r="S36" s="320"/>
      <c r="T36" s="321"/>
      <c r="U36" s="321"/>
      <c r="V36" s="322"/>
      <c r="X36" s="26"/>
      <c r="Y36" s="26"/>
      <c r="Z36" s="26"/>
      <c r="AA36" s="43"/>
      <c r="AB36" s="26"/>
      <c r="AC36" s="21"/>
    </row>
    <row r="37" spans="1:30" x14ac:dyDescent="0.3">
      <c r="A37" s="381">
        <v>35</v>
      </c>
      <c r="B37" s="335"/>
      <c r="C37" s="94"/>
      <c r="D37" s="83"/>
      <c r="E37" s="87"/>
      <c r="F37" s="83"/>
      <c r="G37" s="119"/>
      <c r="H37" s="251"/>
      <c r="I37" s="81"/>
      <c r="J37" s="81"/>
      <c r="K37" s="81"/>
      <c r="L37" s="85"/>
      <c r="M37" s="91"/>
      <c r="N37" s="240"/>
      <c r="O37" s="85"/>
      <c r="P37" s="82"/>
      <c r="Q37" s="82"/>
      <c r="R37" s="81"/>
      <c r="S37" s="320"/>
      <c r="T37" s="321"/>
      <c r="U37" s="321"/>
      <c r="V37" s="322"/>
      <c r="X37" s="26"/>
      <c r="Y37" s="26"/>
      <c r="Z37" s="26"/>
      <c r="AA37" s="43"/>
      <c r="AB37" s="26"/>
      <c r="AC37" s="21"/>
    </row>
    <row r="38" spans="1:30" x14ac:dyDescent="0.3">
      <c r="A38" s="381">
        <v>36</v>
      </c>
      <c r="B38" s="335"/>
      <c r="C38" s="94"/>
      <c r="D38" s="83"/>
      <c r="E38" s="87"/>
      <c r="F38" s="83"/>
      <c r="G38" s="119"/>
      <c r="H38" s="251"/>
      <c r="I38" s="81"/>
      <c r="J38" s="81"/>
      <c r="K38" s="81"/>
      <c r="L38" s="85"/>
      <c r="M38" s="91"/>
      <c r="N38" s="240"/>
      <c r="O38" s="85"/>
      <c r="P38" s="82"/>
      <c r="Q38" s="82"/>
      <c r="R38" s="136"/>
      <c r="S38" s="320"/>
      <c r="T38" s="321"/>
      <c r="U38" s="321"/>
      <c r="V38" s="322"/>
      <c r="X38" s="26"/>
      <c r="Y38" s="26"/>
      <c r="Z38" s="26"/>
      <c r="AA38" s="43"/>
      <c r="AB38" s="26"/>
      <c r="AC38" s="21"/>
    </row>
    <row r="39" spans="1:30" x14ac:dyDescent="0.3">
      <c r="A39" s="381">
        <v>37</v>
      </c>
      <c r="B39" s="335"/>
      <c r="C39" s="94"/>
      <c r="D39" s="83"/>
      <c r="E39" s="87"/>
      <c r="F39" s="83"/>
      <c r="G39" s="119"/>
      <c r="H39" s="251"/>
      <c r="I39" s="81"/>
      <c r="J39" s="81"/>
      <c r="K39" s="81"/>
      <c r="L39" s="85"/>
      <c r="M39" s="91"/>
      <c r="N39" s="240"/>
      <c r="O39" s="85"/>
      <c r="P39" s="82"/>
      <c r="Q39" s="82"/>
      <c r="R39" s="81"/>
      <c r="S39" s="320"/>
      <c r="T39" s="321"/>
      <c r="U39" s="321"/>
      <c r="V39" s="322"/>
      <c r="X39" s="26"/>
      <c r="Y39" s="26"/>
      <c r="Z39" s="26"/>
      <c r="AA39" s="43"/>
      <c r="AB39" s="26"/>
      <c r="AC39" s="21"/>
    </row>
    <row r="40" spans="1:30" x14ac:dyDescent="0.3">
      <c r="A40" s="381">
        <v>38</v>
      </c>
      <c r="B40" s="335"/>
      <c r="C40" s="94"/>
      <c r="D40" s="83"/>
      <c r="E40" s="87"/>
      <c r="F40" s="83"/>
      <c r="G40" s="119"/>
      <c r="H40" s="251"/>
      <c r="I40" s="81"/>
      <c r="J40" s="81"/>
      <c r="K40" s="81"/>
      <c r="L40" s="85"/>
      <c r="M40" s="91"/>
      <c r="N40" s="240"/>
      <c r="O40" s="85"/>
      <c r="P40" s="82"/>
      <c r="Q40" s="82"/>
      <c r="R40" s="81"/>
      <c r="S40" s="320"/>
      <c r="T40" s="321"/>
      <c r="U40" s="321"/>
      <c r="V40" s="322"/>
      <c r="X40" s="26"/>
      <c r="Y40" s="26"/>
      <c r="Z40" s="26"/>
      <c r="AA40" s="43"/>
      <c r="AB40" s="26"/>
      <c r="AC40" s="21"/>
    </row>
    <row r="41" spans="1:30" x14ac:dyDescent="0.3">
      <c r="A41" s="381">
        <v>39</v>
      </c>
      <c r="B41" s="335"/>
      <c r="C41" s="94"/>
      <c r="D41" s="83"/>
      <c r="E41" s="87"/>
      <c r="F41" s="83"/>
      <c r="G41" s="119"/>
      <c r="H41" s="251"/>
      <c r="I41" s="81"/>
      <c r="J41" s="81"/>
      <c r="K41" s="81"/>
      <c r="L41" s="85"/>
      <c r="M41" s="91"/>
      <c r="N41" s="240"/>
      <c r="O41" s="85"/>
      <c r="P41" s="82"/>
      <c r="Q41" s="82"/>
      <c r="R41" s="81"/>
      <c r="S41" s="320"/>
      <c r="T41" s="321"/>
      <c r="U41" s="321"/>
      <c r="V41" s="322"/>
      <c r="X41" s="26"/>
      <c r="Y41" s="26"/>
      <c r="Z41" s="26"/>
      <c r="AA41" s="43"/>
      <c r="AB41" s="26"/>
      <c r="AC41" s="21"/>
    </row>
    <row r="42" spans="1:30" x14ac:dyDescent="0.3">
      <c r="A42" s="381">
        <v>40</v>
      </c>
      <c r="B42" s="335"/>
      <c r="C42" s="94"/>
      <c r="D42" s="83"/>
      <c r="E42" s="84"/>
      <c r="F42" s="83"/>
      <c r="G42" s="119"/>
      <c r="H42" s="251"/>
      <c r="I42" s="81"/>
      <c r="J42" s="81"/>
      <c r="K42" s="81"/>
      <c r="L42" s="85"/>
      <c r="M42" s="91"/>
      <c r="N42" s="240"/>
      <c r="O42" s="85"/>
      <c r="P42" s="82"/>
      <c r="Q42" s="82"/>
      <c r="R42" s="136"/>
      <c r="S42" s="320"/>
      <c r="T42" s="321"/>
      <c r="U42" s="321"/>
      <c r="V42" s="322"/>
      <c r="X42" s="26"/>
      <c r="Y42" s="26"/>
      <c r="Z42" s="26"/>
      <c r="AA42" s="43"/>
      <c r="AB42" s="26"/>
      <c r="AC42" s="21"/>
    </row>
    <row r="43" spans="1:30" x14ac:dyDescent="0.3">
      <c r="A43" s="381">
        <v>41</v>
      </c>
      <c r="B43" s="335"/>
      <c r="C43" s="94"/>
      <c r="D43" s="83"/>
      <c r="E43" s="84"/>
      <c r="F43" s="83"/>
      <c r="G43" s="119"/>
      <c r="H43" s="251"/>
      <c r="I43" s="81"/>
      <c r="J43" s="81"/>
      <c r="K43" s="81"/>
      <c r="L43" s="85"/>
      <c r="M43" s="91"/>
      <c r="N43" s="240"/>
      <c r="O43" s="85"/>
      <c r="P43" s="82"/>
      <c r="Q43" s="82"/>
      <c r="R43" s="136"/>
      <c r="S43" s="320"/>
      <c r="T43" s="321"/>
      <c r="U43" s="321"/>
      <c r="V43" s="322"/>
      <c r="Y43" s="4"/>
      <c r="Z43" s="4"/>
      <c r="AA43" s="315"/>
      <c r="AB43" s="4"/>
    </row>
    <row r="44" spans="1:30" x14ac:dyDescent="0.3">
      <c r="A44" s="381">
        <v>42</v>
      </c>
      <c r="B44" s="335"/>
      <c r="C44" s="94"/>
      <c r="D44" s="83"/>
      <c r="E44" s="84"/>
      <c r="F44" s="83"/>
      <c r="G44" s="119"/>
      <c r="H44" s="251"/>
      <c r="I44" s="81"/>
      <c r="J44" s="81"/>
      <c r="K44" s="81"/>
      <c r="L44" s="85"/>
      <c r="M44" s="91"/>
      <c r="N44" s="240"/>
      <c r="O44" s="85"/>
      <c r="P44" s="82"/>
      <c r="Q44" s="82"/>
      <c r="R44" s="81"/>
      <c r="S44" s="320"/>
      <c r="T44" s="321"/>
      <c r="U44" s="321"/>
      <c r="V44" s="322"/>
      <c r="Y44" s="4"/>
      <c r="Z44" s="4"/>
      <c r="AA44" s="315"/>
      <c r="AB44" s="4"/>
    </row>
    <row r="45" spans="1:30" x14ac:dyDescent="0.3">
      <c r="A45" s="381">
        <v>43</v>
      </c>
      <c r="B45" s="335"/>
      <c r="C45" s="94"/>
      <c r="D45" s="83"/>
      <c r="E45" s="84"/>
      <c r="F45" s="83"/>
      <c r="G45" s="119"/>
      <c r="H45" s="251"/>
      <c r="I45" s="81"/>
      <c r="J45" s="81"/>
      <c r="K45" s="81"/>
      <c r="L45" s="85"/>
      <c r="M45" s="91"/>
      <c r="N45" s="240"/>
      <c r="O45" s="85"/>
      <c r="P45" s="82"/>
      <c r="Q45" s="82"/>
      <c r="R45" s="81"/>
      <c r="S45" s="320"/>
      <c r="T45" s="321"/>
      <c r="U45" s="321"/>
      <c r="V45" s="322"/>
      <c r="Y45" s="4"/>
      <c r="Z45" s="4"/>
      <c r="AA45" s="315"/>
      <c r="AB45" s="4"/>
    </row>
    <row r="46" spans="1:30" x14ac:dyDescent="0.3">
      <c r="A46" s="381">
        <v>44</v>
      </c>
      <c r="B46" s="335"/>
      <c r="C46" s="94"/>
      <c r="D46" s="83"/>
      <c r="E46" s="84"/>
      <c r="F46" s="83"/>
      <c r="G46" s="119"/>
      <c r="H46" s="251"/>
      <c r="I46" s="81"/>
      <c r="J46" s="81"/>
      <c r="K46" s="81"/>
      <c r="L46" s="85"/>
      <c r="M46" s="91"/>
      <c r="N46" s="240"/>
      <c r="O46" s="85"/>
      <c r="P46" s="82"/>
      <c r="Q46" s="82"/>
      <c r="R46" s="136"/>
      <c r="S46" s="320"/>
      <c r="T46" s="321"/>
      <c r="U46" s="321"/>
      <c r="V46" s="322"/>
      <c r="Y46" s="4"/>
      <c r="Z46" s="4"/>
      <c r="AA46" s="315"/>
      <c r="AB46" s="4"/>
    </row>
    <row r="47" spans="1:30" x14ac:dyDescent="0.3">
      <c r="A47" s="381">
        <v>45</v>
      </c>
      <c r="B47" s="335"/>
      <c r="C47" s="94"/>
      <c r="D47" s="83"/>
      <c r="E47" s="84"/>
      <c r="F47" s="83"/>
      <c r="G47" s="119"/>
      <c r="H47" s="251"/>
      <c r="I47" s="81"/>
      <c r="J47" s="81"/>
      <c r="K47" s="81"/>
      <c r="L47" s="85"/>
      <c r="M47" s="91"/>
      <c r="N47" s="240"/>
      <c r="O47" s="85"/>
      <c r="P47" s="82"/>
      <c r="Q47" s="82"/>
      <c r="R47" s="81"/>
      <c r="S47" s="320"/>
      <c r="T47" s="321"/>
      <c r="U47" s="321"/>
      <c r="V47" s="322"/>
      <c r="Y47" s="4"/>
      <c r="Z47" s="4"/>
      <c r="AA47" s="315"/>
      <c r="AB47" s="4"/>
    </row>
    <row r="48" spans="1:30" x14ac:dyDescent="0.3">
      <c r="A48" s="381">
        <v>46</v>
      </c>
      <c r="B48" s="335"/>
      <c r="C48" s="94"/>
      <c r="D48" s="83"/>
      <c r="E48" s="84"/>
      <c r="F48" s="83"/>
      <c r="G48" s="119"/>
      <c r="H48" s="251"/>
      <c r="I48" s="81"/>
      <c r="J48" s="81"/>
      <c r="K48" s="81"/>
      <c r="L48" s="85"/>
      <c r="M48" s="91"/>
      <c r="N48" s="240"/>
      <c r="O48" s="85"/>
      <c r="P48" s="82"/>
      <c r="Q48" s="82"/>
      <c r="R48" s="136"/>
      <c r="S48" s="320"/>
      <c r="T48" s="321"/>
      <c r="U48" s="321"/>
      <c r="V48" s="322"/>
      <c r="Y48" s="4"/>
      <c r="Z48" s="4"/>
      <c r="AA48" s="315"/>
      <c r="AB48" s="4"/>
    </row>
    <row r="49" spans="1:28" x14ac:dyDescent="0.3">
      <c r="A49" s="381">
        <v>47</v>
      </c>
      <c r="B49" s="335"/>
      <c r="C49" s="94"/>
      <c r="D49" s="83"/>
      <c r="E49" s="84"/>
      <c r="F49" s="83"/>
      <c r="G49" s="119"/>
      <c r="H49" s="251"/>
      <c r="I49" s="81"/>
      <c r="J49" s="81"/>
      <c r="K49" s="81"/>
      <c r="L49" s="85"/>
      <c r="M49" s="91"/>
      <c r="N49" s="240"/>
      <c r="O49" s="85"/>
      <c r="P49" s="82"/>
      <c r="Q49" s="82"/>
      <c r="R49" s="136"/>
      <c r="S49" s="320"/>
      <c r="T49" s="321"/>
      <c r="U49" s="321"/>
      <c r="V49" s="322"/>
      <c r="Y49" s="4"/>
      <c r="Z49" s="4"/>
      <c r="AA49" s="315"/>
      <c r="AB49" s="4"/>
    </row>
    <row r="50" spans="1:28" x14ac:dyDescent="0.3">
      <c r="A50" s="381">
        <v>48</v>
      </c>
      <c r="B50" s="335"/>
      <c r="C50" s="94"/>
      <c r="D50" s="83"/>
      <c r="E50" s="84"/>
      <c r="F50" s="83"/>
      <c r="G50" s="119"/>
      <c r="H50" s="251"/>
      <c r="I50" s="81"/>
      <c r="J50" s="81"/>
      <c r="K50" s="81"/>
      <c r="L50" s="85"/>
      <c r="M50" s="91"/>
      <c r="N50" s="240"/>
      <c r="O50" s="85"/>
      <c r="P50" s="82"/>
      <c r="Q50" s="82"/>
      <c r="R50" s="136"/>
      <c r="S50" s="320"/>
      <c r="T50" s="321"/>
      <c r="U50" s="321"/>
      <c r="V50" s="322"/>
      <c r="Y50" s="4"/>
      <c r="Z50" s="4"/>
      <c r="AA50" s="315"/>
      <c r="AB50" s="4"/>
    </row>
    <row r="51" spans="1:28" x14ac:dyDescent="0.3">
      <c r="A51" s="381">
        <v>49</v>
      </c>
      <c r="B51" s="335"/>
      <c r="C51" s="94"/>
      <c r="D51" s="83"/>
      <c r="E51" s="84"/>
      <c r="F51" s="83"/>
      <c r="G51" s="119"/>
      <c r="H51" s="251"/>
      <c r="I51" s="81"/>
      <c r="J51" s="81"/>
      <c r="K51" s="81"/>
      <c r="L51" s="85"/>
      <c r="M51" s="91"/>
      <c r="N51" s="240"/>
      <c r="O51" s="85"/>
      <c r="P51" s="82"/>
      <c r="Q51" s="82"/>
      <c r="R51" s="136"/>
      <c r="S51" s="320"/>
      <c r="T51" s="321"/>
      <c r="U51" s="321"/>
      <c r="V51" s="322"/>
      <c r="Y51" s="4"/>
      <c r="Z51" s="4"/>
      <c r="AA51" s="315"/>
      <c r="AB51" s="4"/>
    </row>
    <row r="52" spans="1:28" x14ac:dyDescent="0.3">
      <c r="A52" s="381">
        <v>50</v>
      </c>
      <c r="B52" s="335"/>
      <c r="C52" s="94"/>
      <c r="D52" s="83"/>
      <c r="E52" s="84"/>
      <c r="F52" s="83"/>
      <c r="G52" s="119"/>
      <c r="H52" s="251"/>
      <c r="I52" s="81"/>
      <c r="J52" s="81"/>
      <c r="K52" s="81"/>
      <c r="L52" s="85"/>
      <c r="M52" s="91"/>
      <c r="N52" s="240"/>
      <c r="O52" s="85"/>
      <c r="P52" s="82"/>
      <c r="Q52" s="82"/>
      <c r="R52" s="81"/>
      <c r="S52" s="320"/>
      <c r="T52" s="321"/>
      <c r="U52" s="321"/>
      <c r="V52" s="322"/>
      <c r="Y52" s="4"/>
      <c r="Z52" s="4"/>
      <c r="AA52" s="315"/>
      <c r="AB52" s="4"/>
    </row>
    <row r="53" spans="1:28" x14ac:dyDescent="0.3">
      <c r="A53" s="381">
        <v>51</v>
      </c>
      <c r="B53" s="335"/>
      <c r="C53" s="94"/>
      <c r="D53" s="83"/>
      <c r="E53" s="84"/>
      <c r="F53" s="83"/>
      <c r="G53" s="119"/>
      <c r="H53" s="251"/>
      <c r="I53" s="81"/>
      <c r="J53" s="81"/>
      <c r="K53" s="81"/>
      <c r="L53" s="85"/>
      <c r="M53" s="91"/>
      <c r="N53" s="240"/>
      <c r="O53" s="85"/>
      <c r="P53" s="82"/>
      <c r="Q53" s="82"/>
      <c r="R53" s="81"/>
      <c r="S53" s="320"/>
      <c r="T53" s="321"/>
      <c r="U53" s="321"/>
      <c r="V53" s="322"/>
      <c r="Y53" s="4"/>
      <c r="Z53" s="4"/>
      <c r="AA53" s="315"/>
      <c r="AB53" s="4"/>
    </row>
    <row r="54" spans="1:28" x14ac:dyDescent="0.3">
      <c r="A54" s="381">
        <v>52</v>
      </c>
      <c r="B54" s="335"/>
      <c r="C54" s="94"/>
      <c r="D54" s="83"/>
      <c r="E54" s="84"/>
      <c r="F54" s="83"/>
      <c r="G54" s="119"/>
      <c r="H54" s="251"/>
      <c r="I54" s="81"/>
      <c r="J54" s="81"/>
      <c r="K54" s="81"/>
      <c r="L54" s="85"/>
      <c r="M54" s="91"/>
      <c r="N54" s="240"/>
      <c r="O54" s="85"/>
      <c r="P54" s="82"/>
      <c r="Q54" s="82"/>
      <c r="R54" s="81"/>
      <c r="S54" s="320"/>
      <c r="T54" s="321"/>
      <c r="U54" s="321"/>
      <c r="V54" s="322"/>
      <c r="X54" s="317"/>
      <c r="Y54" s="317"/>
      <c r="Z54" s="4"/>
      <c r="AA54" s="315"/>
      <c r="AB54" s="4"/>
    </row>
    <row r="55" spans="1:28" x14ac:dyDescent="0.3">
      <c r="A55" s="381">
        <v>53</v>
      </c>
      <c r="B55" s="335"/>
      <c r="C55" s="94"/>
      <c r="D55" s="83"/>
      <c r="E55" s="84"/>
      <c r="F55" s="83"/>
      <c r="G55" s="119"/>
      <c r="H55" s="251"/>
      <c r="I55" s="81"/>
      <c r="J55" s="81"/>
      <c r="K55" s="81"/>
      <c r="L55" s="85"/>
      <c r="M55" s="91"/>
      <c r="N55" s="240"/>
      <c r="O55" s="85"/>
      <c r="P55" s="82"/>
      <c r="Q55" s="82"/>
      <c r="R55" s="81"/>
      <c r="S55" s="320"/>
      <c r="T55" s="321"/>
      <c r="U55" s="321"/>
      <c r="V55" s="322"/>
      <c r="Y55" s="4"/>
      <c r="Z55" s="4"/>
      <c r="AA55" s="315"/>
      <c r="AB55" s="4"/>
    </row>
    <row r="56" spans="1:28" x14ac:dyDescent="0.3">
      <c r="A56" s="381">
        <v>54</v>
      </c>
      <c r="B56" s="335"/>
      <c r="C56" s="94"/>
      <c r="D56" s="83"/>
      <c r="E56" s="84"/>
      <c r="F56" s="83"/>
      <c r="G56" s="119"/>
      <c r="H56" s="251"/>
      <c r="I56" s="81"/>
      <c r="J56" s="81"/>
      <c r="K56" s="81"/>
      <c r="L56" s="85"/>
      <c r="M56" s="91"/>
      <c r="N56" s="240"/>
      <c r="O56" s="85"/>
      <c r="P56" s="82"/>
      <c r="Q56" s="82"/>
      <c r="R56" s="136"/>
      <c r="S56" s="320"/>
      <c r="T56" s="321"/>
      <c r="U56" s="321"/>
      <c r="V56" s="322"/>
      <c r="Y56" s="4"/>
      <c r="Z56" s="4"/>
      <c r="AA56" s="315"/>
      <c r="AB56" s="4"/>
    </row>
    <row r="57" spans="1:28" x14ac:dyDescent="0.3">
      <c r="A57" s="381">
        <v>55</v>
      </c>
      <c r="B57" s="335"/>
      <c r="C57" s="94"/>
      <c r="D57" s="83"/>
      <c r="E57" s="84"/>
      <c r="F57" s="83"/>
      <c r="G57" s="119"/>
      <c r="H57" s="251"/>
      <c r="I57" s="81"/>
      <c r="J57" s="81"/>
      <c r="K57" s="81"/>
      <c r="L57" s="85"/>
      <c r="M57" s="91"/>
      <c r="N57" s="240"/>
      <c r="O57" s="85"/>
      <c r="P57" s="82"/>
      <c r="Q57" s="82"/>
      <c r="R57" s="81"/>
      <c r="S57" s="320"/>
      <c r="T57" s="321"/>
      <c r="U57" s="321"/>
      <c r="V57" s="322"/>
      <c r="Y57" s="4"/>
      <c r="Z57" s="4"/>
      <c r="AA57" s="315"/>
      <c r="AB57" s="4"/>
    </row>
    <row r="58" spans="1:28" x14ac:dyDescent="0.3">
      <c r="A58" s="381">
        <v>56</v>
      </c>
      <c r="B58" s="335"/>
      <c r="C58" s="94"/>
      <c r="D58" s="83"/>
      <c r="E58" s="84"/>
      <c r="F58" s="83"/>
      <c r="G58" s="119"/>
      <c r="H58" s="251"/>
      <c r="I58" s="81"/>
      <c r="J58" s="81"/>
      <c r="K58" s="81"/>
      <c r="L58" s="85"/>
      <c r="M58" s="91"/>
      <c r="N58" s="240"/>
      <c r="O58" s="85"/>
      <c r="P58" s="82"/>
      <c r="Q58" s="82"/>
      <c r="R58" s="81"/>
      <c r="S58" s="320"/>
      <c r="T58" s="321"/>
      <c r="U58" s="321"/>
      <c r="V58" s="322"/>
      <c r="Y58" s="4"/>
      <c r="Z58" s="4"/>
      <c r="AA58" s="315"/>
      <c r="AB58" s="4"/>
    </row>
    <row r="59" spans="1:28" x14ac:dyDescent="0.3">
      <c r="A59" s="381">
        <v>57</v>
      </c>
      <c r="B59" s="335"/>
      <c r="C59" s="94"/>
      <c r="D59" s="83"/>
      <c r="E59" s="84"/>
      <c r="F59" s="83"/>
      <c r="G59" s="119"/>
      <c r="H59" s="251"/>
      <c r="I59" s="81"/>
      <c r="J59" s="81"/>
      <c r="K59" s="81"/>
      <c r="L59" s="85"/>
      <c r="M59" s="91"/>
      <c r="N59" s="240"/>
      <c r="O59" s="85"/>
      <c r="P59" s="82"/>
      <c r="Q59" s="82"/>
      <c r="R59" s="81"/>
      <c r="S59" s="320"/>
      <c r="T59" s="321"/>
      <c r="U59" s="321"/>
      <c r="V59" s="322"/>
      <c r="Y59" s="4"/>
      <c r="Z59" s="4"/>
      <c r="AA59" s="315"/>
      <c r="AB59" s="4"/>
    </row>
    <row r="60" spans="1:28" x14ac:dyDescent="0.3">
      <c r="A60" s="381">
        <v>58</v>
      </c>
      <c r="B60" s="335"/>
      <c r="C60" s="94"/>
      <c r="D60" s="83"/>
      <c r="E60" s="84"/>
      <c r="F60" s="83"/>
      <c r="G60" s="119"/>
      <c r="H60" s="251"/>
      <c r="I60" s="81"/>
      <c r="J60" s="81"/>
      <c r="K60" s="81"/>
      <c r="L60" s="85"/>
      <c r="M60" s="91"/>
      <c r="N60" s="240"/>
      <c r="O60" s="85"/>
      <c r="P60" s="82"/>
      <c r="Q60" s="82"/>
      <c r="R60" s="81"/>
      <c r="S60" s="320"/>
      <c r="T60" s="321"/>
      <c r="U60" s="321"/>
      <c r="V60" s="322"/>
      <c r="Y60" s="4"/>
      <c r="Z60" s="4"/>
      <c r="AA60" s="315"/>
      <c r="AB60" s="4"/>
    </row>
    <row r="61" spans="1:28" x14ac:dyDescent="0.3">
      <c r="A61" s="381">
        <v>59</v>
      </c>
      <c r="B61" s="335"/>
      <c r="C61" s="94"/>
      <c r="D61" s="83"/>
      <c r="E61" s="84"/>
      <c r="F61" s="83"/>
      <c r="G61" s="119"/>
      <c r="H61" s="251"/>
      <c r="I61" s="81"/>
      <c r="J61" s="81"/>
      <c r="K61" s="81"/>
      <c r="L61" s="85"/>
      <c r="M61" s="91"/>
      <c r="N61" s="240"/>
      <c r="O61" s="85"/>
      <c r="P61" s="82"/>
      <c r="Q61" s="82"/>
      <c r="R61" s="81"/>
      <c r="S61" s="320"/>
      <c r="T61" s="321"/>
      <c r="U61" s="321"/>
      <c r="V61" s="322"/>
      <c r="Y61" s="4"/>
      <c r="Z61" s="4"/>
      <c r="AA61" s="315"/>
      <c r="AB61" s="4"/>
    </row>
    <row r="62" spans="1:28" x14ac:dyDescent="0.3">
      <c r="A62" s="381">
        <v>60</v>
      </c>
      <c r="B62" s="335"/>
      <c r="C62" s="94"/>
      <c r="D62" s="83"/>
      <c r="E62" s="84"/>
      <c r="F62" s="83"/>
      <c r="G62" s="119"/>
      <c r="H62" s="251"/>
      <c r="I62" s="81"/>
      <c r="J62" s="81"/>
      <c r="K62" s="81"/>
      <c r="L62" s="85"/>
      <c r="M62" s="91"/>
      <c r="N62" s="240"/>
      <c r="O62" s="85"/>
      <c r="P62" s="82"/>
      <c r="Q62" s="82"/>
      <c r="R62" s="81"/>
      <c r="S62" s="320"/>
      <c r="T62" s="321"/>
      <c r="U62" s="321"/>
      <c r="V62" s="322"/>
      <c r="Y62" s="4"/>
      <c r="Z62" s="4"/>
      <c r="AA62" s="315"/>
      <c r="AB62" s="4"/>
    </row>
    <row r="63" spans="1:28" x14ac:dyDescent="0.3">
      <c r="A63" s="381">
        <v>61</v>
      </c>
      <c r="B63" s="335"/>
      <c r="C63" s="94"/>
      <c r="D63" s="83"/>
      <c r="E63" s="84"/>
      <c r="F63" s="83"/>
      <c r="G63" s="119"/>
      <c r="H63" s="251"/>
      <c r="I63" s="81"/>
      <c r="J63" s="81"/>
      <c r="K63" s="81"/>
      <c r="L63" s="85"/>
      <c r="M63" s="91"/>
      <c r="N63" s="240"/>
      <c r="O63" s="85"/>
      <c r="P63" s="82"/>
      <c r="Q63" s="82"/>
      <c r="R63" s="81"/>
      <c r="S63" s="320"/>
      <c r="T63" s="321"/>
      <c r="U63" s="321"/>
      <c r="V63" s="322"/>
      <c r="Y63" s="4"/>
      <c r="Z63" s="4"/>
      <c r="AA63" s="315"/>
      <c r="AB63" s="4"/>
    </row>
    <row r="64" spans="1:28" x14ac:dyDescent="0.3">
      <c r="A64" s="381">
        <v>62</v>
      </c>
      <c r="B64" s="336"/>
      <c r="C64" s="143"/>
      <c r="D64" s="144"/>
      <c r="E64" s="144"/>
      <c r="F64" s="144"/>
      <c r="G64" s="145"/>
      <c r="H64" s="252"/>
      <c r="I64" s="138"/>
      <c r="J64" s="138"/>
      <c r="K64" s="138"/>
      <c r="L64" s="140"/>
      <c r="M64" s="91"/>
      <c r="N64" s="240"/>
      <c r="O64" s="141"/>
      <c r="P64" s="310"/>
      <c r="Q64" s="310"/>
      <c r="R64" s="139"/>
      <c r="S64" s="320"/>
      <c r="T64" s="321"/>
      <c r="U64" s="321"/>
      <c r="V64" s="322"/>
      <c r="Y64" s="4"/>
      <c r="Z64" s="4"/>
      <c r="AA64" s="315"/>
      <c r="AB64" s="4"/>
    </row>
    <row r="65" spans="1:28" x14ac:dyDescent="0.3">
      <c r="A65" s="381">
        <v>63</v>
      </c>
      <c r="B65" s="335"/>
      <c r="C65" s="94"/>
      <c r="D65" s="83"/>
      <c r="E65" s="84"/>
      <c r="F65" s="83"/>
      <c r="G65" s="119"/>
      <c r="H65" s="251"/>
      <c r="I65" s="81"/>
      <c r="J65" s="81"/>
      <c r="K65" s="81"/>
      <c r="L65" s="85"/>
      <c r="M65" s="91"/>
      <c r="N65" s="240"/>
      <c r="O65" s="85"/>
      <c r="P65" s="82"/>
      <c r="Q65" s="82"/>
      <c r="R65" s="81"/>
      <c r="S65" s="320"/>
      <c r="T65" s="321"/>
      <c r="U65" s="321"/>
      <c r="V65" s="322"/>
      <c r="Y65" s="4"/>
      <c r="Z65" s="4"/>
      <c r="AA65" s="315"/>
      <c r="AB65" s="4"/>
    </row>
    <row r="66" spans="1:28" x14ac:dyDescent="0.3">
      <c r="A66" s="381">
        <v>64</v>
      </c>
      <c r="B66" s="335"/>
      <c r="C66" s="95"/>
      <c r="D66" s="83"/>
      <c r="E66" s="84"/>
      <c r="F66" s="83"/>
      <c r="G66" s="119"/>
      <c r="H66" s="251"/>
      <c r="I66" s="81"/>
      <c r="J66" s="81"/>
      <c r="K66" s="81"/>
      <c r="L66" s="85"/>
      <c r="M66" s="91"/>
      <c r="N66" s="240"/>
      <c r="O66" s="85"/>
      <c r="P66" s="82"/>
      <c r="Q66" s="82"/>
      <c r="R66" s="81"/>
      <c r="S66" s="320"/>
      <c r="T66" s="321"/>
      <c r="U66" s="321"/>
      <c r="V66" s="322"/>
      <c r="Y66" s="4"/>
      <c r="Z66" s="4"/>
      <c r="AA66" s="315"/>
      <c r="AB66" s="4"/>
    </row>
    <row r="67" spans="1:28" x14ac:dyDescent="0.3">
      <c r="A67" s="381">
        <v>65</v>
      </c>
      <c r="B67" s="335"/>
      <c r="C67" s="94"/>
      <c r="D67" s="83"/>
      <c r="E67" s="84"/>
      <c r="F67" s="83"/>
      <c r="G67" s="119"/>
      <c r="H67" s="251"/>
      <c r="I67" s="81"/>
      <c r="J67" s="81"/>
      <c r="K67" s="81"/>
      <c r="L67" s="85"/>
      <c r="M67" s="91"/>
      <c r="N67" s="240"/>
      <c r="O67" s="85"/>
      <c r="P67" s="82"/>
      <c r="Q67" s="82"/>
      <c r="R67" s="81"/>
      <c r="S67" s="320"/>
      <c r="T67" s="321"/>
      <c r="U67" s="321"/>
      <c r="V67" s="322"/>
      <c r="Y67" s="4"/>
      <c r="Z67" s="4"/>
      <c r="AA67" s="315"/>
      <c r="AB67" s="4"/>
    </row>
    <row r="68" spans="1:28" x14ac:dyDescent="0.3">
      <c r="A68" s="381">
        <v>66</v>
      </c>
      <c r="B68" s="335"/>
      <c r="C68" s="94"/>
      <c r="D68" s="83"/>
      <c r="E68" s="84"/>
      <c r="F68" s="83"/>
      <c r="G68" s="119"/>
      <c r="H68" s="251"/>
      <c r="I68" s="81"/>
      <c r="J68" s="81"/>
      <c r="K68" s="81"/>
      <c r="L68" s="85"/>
      <c r="M68" s="91"/>
      <c r="N68" s="240"/>
      <c r="O68" s="85"/>
      <c r="P68" s="82"/>
      <c r="Q68" s="82"/>
      <c r="R68" s="81"/>
      <c r="S68" s="320"/>
      <c r="T68" s="321"/>
      <c r="U68" s="321"/>
      <c r="V68" s="322"/>
      <c r="Y68" s="4"/>
      <c r="Z68" s="4"/>
      <c r="AA68" s="315"/>
      <c r="AB68" s="4"/>
    </row>
    <row r="69" spans="1:28" x14ac:dyDescent="0.3">
      <c r="A69" s="381">
        <v>67</v>
      </c>
      <c r="B69" s="335"/>
      <c r="C69" s="94"/>
      <c r="D69" s="83"/>
      <c r="E69" s="84"/>
      <c r="F69" s="83"/>
      <c r="G69" s="119"/>
      <c r="H69" s="251"/>
      <c r="I69" s="81"/>
      <c r="J69" s="81"/>
      <c r="K69" s="81"/>
      <c r="L69" s="85"/>
      <c r="M69" s="91"/>
      <c r="N69" s="240"/>
      <c r="O69" s="85"/>
      <c r="P69" s="82"/>
      <c r="Q69" s="82"/>
      <c r="R69" s="81"/>
      <c r="S69" s="320"/>
      <c r="T69" s="321"/>
      <c r="U69" s="321"/>
      <c r="V69" s="322"/>
      <c r="Y69" s="4"/>
      <c r="Z69" s="4"/>
      <c r="AA69" s="315"/>
      <c r="AB69" s="4"/>
    </row>
    <row r="70" spans="1:28" x14ac:dyDescent="0.3">
      <c r="A70" s="381">
        <v>68</v>
      </c>
      <c r="B70" s="335"/>
      <c r="C70" s="94"/>
      <c r="D70" s="83"/>
      <c r="E70" s="84"/>
      <c r="F70" s="83"/>
      <c r="G70" s="119"/>
      <c r="H70" s="251"/>
      <c r="I70" s="81"/>
      <c r="J70" s="81"/>
      <c r="K70" s="81"/>
      <c r="L70" s="85"/>
      <c r="M70" s="91"/>
      <c r="N70" s="240"/>
      <c r="O70" s="85"/>
      <c r="P70" s="82"/>
      <c r="Q70" s="82"/>
      <c r="R70" s="81"/>
      <c r="S70" s="320"/>
      <c r="T70" s="321"/>
      <c r="U70" s="321"/>
      <c r="V70" s="322"/>
      <c r="Y70" s="4"/>
      <c r="Z70" s="4"/>
      <c r="AA70" s="315"/>
      <c r="AB70" s="4"/>
    </row>
    <row r="71" spans="1:28" x14ac:dyDescent="0.3">
      <c r="A71" s="381">
        <v>69</v>
      </c>
      <c r="B71" s="335"/>
      <c r="C71" s="95"/>
      <c r="D71" s="83"/>
      <c r="E71" s="84"/>
      <c r="F71" s="83"/>
      <c r="G71" s="119"/>
      <c r="H71" s="251"/>
      <c r="I71" s="81"/>
      <c r="J71" s="81"/>
      <c r="K71" s="81"/>
      <c r="L71" s="85"/>
      <c r="M71" s="91"/>
      <c r="N71" s="240"/>
      <c r="O71" s="85"/>
      <c r="P71" s="82"/>
      <c r="Q71" s="82"/>
      <c r="R71" s="81"/>
      <c r="S71" s="320"/>
      <c r="T71" s="321"/>
      <c r="U71" s="321"/>
      <c r="V71" s="322"/>
      <c r="Y71" s="4"/>
      <c r="Z71" s="4"/>
      <c r="AA71" s="315"/>
      <c r="AB71" s="4"/>
    </row>
    <row r="72" spans="1:28" x14ac:dyDescent="0.3">
      <c r="A72" s="381">
        <v>70</v>
      </c>
      <c r="B72" s="335"/>
      <c r="C72" s="95"/>
      <c r="D72" s="83"/>
      <c r="E72" s="84"/>
      <c r="F72" s="83"/>
      <c r="G72" s="119"/>
      <c r="H72" s="251"/>
      <c r="I72" s="81"/>
      <c r="J72" s="81"/>
      <c r="K72" s="81"/>
      <c r="L72" s="85"/>
      <c r="M72" s="91"/>
      <c r="N72" s="240"/>
      <c r="O72" s="85"/>
      <c r="P72" s="82"/>
      <c r="Q72" s="82"/>
      <c r="R72" s="81"/>
      <c r="S72" s="320"/>
      <c r="T72" s="321"/>
      <c r="U72" s="321"/>
      <c r="V72" s="322"/>
      <c r="Y72" s="4"/>
      <c r="Z72" s="4"/>
      <c r="AA72" s="315"/>
      <c r="AB72" s="4"/>
    </row>
    <row r="73" spans="1:28" x14ac:dyDescent="0.3">
      <c r="A73" s="381">
        <v>71</v>
      </c>
      <c r="B73" s="335"/>
      <c r="C73" s="95"/>
      <c r="D73" s="83"/>
      <c r="E73" s="84"/>
      <c r="F73" s="83"/>
      <c r="G73" s="119"/>
      <c r="H73" s="251"/>
      <c r="I73" s="81"/>
      <c r="J73" s="81"/>
      <c r="K73" s="81"/>
      <c r="L73" s="85"/>
      <c r="M73" s="91"/>
      <c r="N73" s="240"/>
      <c r="O73" s="85"/>
      <c r="P73" s="82"/>
      <c r="Q73" s="82"/>
      <c r="R73" s="81"/>
      <c r="S73" s="320"/>
      <c r="T73" s="321"/>
      <c r="U73" s="321"/>
      <c r="V73" s="322"/>
      <c r="Y73" s="4"/>
      <c r="Z73" s="4"/>
      <c r="AA73" s="315"/>
      <c r="AB73" s="4"/>
    </row>
    <row r="74" spans="1:28" x14ac:dyDescent="0.3">
      <c r="A74" s="381">
        <v>72</v>
      </c>
      <c r="B74" s="335"/>
      <c r="C74" s="95"/>
      <c r="D74" s="83"/>
      <c r="E74" s="84"/>
      <c r="F74" s="83"/>
      <c r="G74" s="119"/>
      <c r="H74" s="251"/>
      <c r="I74" s="81"/>
      <c r="J74" s="81"/>
      <c r="K74" s="81"/>
      <c r="L74" s="85"/>
      <c r="M74" s="91"/>
      <c r="N74" s="240"/>
      <c r="O74" s="85"/>
      <c r="P74" s="82"/>
      <c r="Q74" s="82"/>
      <c r="R74" s="81"/>
      <c r="S74" s="320"/>
      <c r="T74" s="321"/>
      <c r="U74" s="321"/>
      <c r="V74" s="322"/>
      <c r="Y74" s="4"/>
      <c r="Z74" s="4"/>
      <c r="AA74" s="315"/>
      <c r="AB74" s="4"/>
    </row>
    <row r="75" spans="1:28" x14ac:dyDescent="0.3">
      <c r="A75" s="381">
        <v>73</v>
      </c>
      <c r="B75" s="335"/>
      <c r="C75" s="95"/>
      <c r="D75" s="83"/>
      <c r="E75" s="84"/>
      <c r="F75" s="83"/>
      <c r="G75" s="119"/>
      <c r="H75" s="251"/>
      <c r="I75" s="81"/>
      <c r="J75" s="81"/>
      <c r="K75" s="81"/>
      <c r="L75" s="85"/>
      <c r="M75" s="91"/>
      <c r="N75" s="240"/>
      <c r="O75" s="85"/>
      <c r="P75" s="82"/>
      <c r="Q75" s="82"/>
      <c r="R75" s="81"/>
      <c r="S75" s="320"/>
      <c r="T75" s="321"/>
      <c r="U75" s="321"/>
      <c r="V75" s="322"/>
      <c r="Y75" s="4"/>
      <c r="Z75" s="4"/>
      <c r="AA75" s="315"/>
      <c r="AB75" s="4"/>
    </row>
    <row r="76" spans="1:28" x14ac:dyDescent="0.3">
      <c r="A76" s="381">
        <v>74</v>
      </c>
      <c r="B76" s="335"/>
      <c r="C76" s="95"/>
      <c r="D76" s="83"/>
      <c r="E76" s="84"/>
      <c r="F76" s="83"/>
      <c r="G76" s="119"/>
      <c r="H76" s="251"/>
      <c r="I76" s="81"/>
      <c r="J76" s="81"/>
      <c r="K76" s="81"/>
      <c r="L76" s="85"/>
      <c r="M76" s="91"/>
      <c r="N76" s="240"/>
      <c r="O76" s="85"/>
      <c r="P76" s="82"/>
      <c r="Q76" s="82"/>
      <c r="R76" s="81"/>
      <c r="S76" s="320"/>
      <c r="T76" s="321"/>
      <c r="U76" s="321"/>
      <c r="V76" s="322"/>
      <c r="Y76" s="4"/>
      <c r="Z76" s="4"/>
      <c r="AA76" s="315"/>
      <c r="AB76" s="4"/>
    </row>
    <row r="77" spans="1:28" x14ac:dyDescent="0.3">
      <c r="A77" s="381">
        <v>75</v>
      </c>
      <c r="B77" s="335"/>
      <c r="C77" s="95"/>
      <c r="D77" s="83"/>
      <c r="E77" s="84"/>
      <c r="F77" s="83"/>
      <c r="G77" s="119"/>
      <c r="H77" s="251"/>
      <c r="I77" s="81"/>
      <c r="J77" s="81"/>
      <c r="K77" s="81"/>
      <c r="L77" s="85"/>
      <c r="M77" s="91"/>
      <c r="N77" s="240"/>
      <c r="O77" s="85"/>
      <c r="P77" s="82"/>
      <c r="Q77" s="82"/>
      <c r="R77" s="81"/>
      <c r="S77" s="320"/>
      <c r="T77" s="321"/>
      <c r="U77" s="321"/>
      <c r="V77" s="322"/>
      <c r="Y77" s="4"/>
      <c r="Z77" s="4"/>
      <c r="AA77" s="315"/>
      <c r="AB77" s="4"/>
    </row>
    <row r="78" spans="1:28" x14ac:dyDescent="0.3">
      <c r="A78" s="381">
        <v>76</v>
      </c>
      <c r="B78" s="335"/>
      <c r="C78" s="95"/>
      <c r="D78" s="83"/>
      <c r="E78" s="84"/>
      <c r="F78" s="83"/>
      <c r="G78" s="119"/>
      <c r="H78" s="251"/>
      <c r="I78" s="81"/>
      <c r="J78" s="81"/>
      <c r="K78" s="81"/>
      <c r="L78" s="85"/>
      <c r="M78" s="91"/>
      <c r="N78" s="240"/>
      <c r="O78" s="85"/>
      <c r="P78" s="82"/>
      <c r="Q78" s="82"/>
      <c r="R78" s="81"/>
      <c r="S78" s="320"/>
      <c r="T78" s="321"/>
      <c r="U78" s="321"/>
      <c r="V78" s="322"/>
      <c r="Y78" s="4"/>
      <c r="Z78" s="4"/>
      <c r="AA78" s="315"/>
      <c r="AB78" s="4"/>
    </row>
    <row r="79" spans="1:28" x14ac:dyDescent="0.3">
      <c r="A79" s="381">
        <v>77</v>
      </c>
      <c r="B79" s="335"/>
      <c r="C79" s="95"/>
      <c r="D79" s="83"/>
      <c r="E79" s="84"/>
      <c r="F79" s="83"/>
      <c r="G79" s="119"/>
      <c r="H79" s="251"/>
      <c r="I79" s="81"/>
      <c r="J79" s="81"/>
      <c r="K79" s="81"/>
      <c r="L79" s="85"/>
      <c r="M79" s="91"/>
      <c r="N79" s="240"/>
      <c r="O79" s="85"/>
      <c r="P79" s="82"/>
      <c r="Q79" s="82"/>
      <c r="R79" s="81"/>
      <c r="S79" s="320"/>
      <c r="T79" s="321"/>
      <c r="U79" s="321"/>
      <c r="V79" s="322"/>
      <c r="Y79" s="4"/>
      <c r="Z79" s="4"/>
      <c r="AA79" s="315"/>
      <c r="AB79" s="4"/>
    </row>
    <row r="80" spans="1:28" x14ac:dyDescent="0.3">
      <c r="A80" s="381">
        <v>78</v>
      </c>
      <c r="B80" s="335"/>
      <c r="C80" s="95"/>
      <c r="D80" s="83"/>
      <c r="E80" s="84"/>
      <c r="F80" s="83"/>
      <c r="G80" s="119"/>
      <c r="H80" s="251"/>
      <c r="I80" s="81"/>
      <c r="J80" s="81"/>
      <c r="K80" s="81"/>
      <c r="L80" s="85"/>
      <c r="M80" s="91"/>
      <c r="N80" s="240"/>
      <c r="O80" s="85"/>
      <c r="P80" s="82"/>
      <c r="Q80" s="82"/>
      <c r="R80" s="81"/>
      <c r="S80" s="320"/>
      <c r="T80" s="321"/>
      <c r="U80" s="321"/>
      <c r="V80" s="322"/>
      <c r="Y80" s="4"/>
      <c r="Z80" s="4"/>
      <c r="AA80" s="315"/>
      <c r="AB80" s="4"/>
    </row>
    <row r="81" spans="1:28" x14ac:dyDescent="0.3">
      <c r="A81" s="381">
        <v>79</v>
      </c>
      <c r="B81" s="335"/>
      <c r="C81" s="95"/>
      <c r="D81" s="83"/>
      <c r="E81" s="84"/>
      <c r="F81" s="83"/>
      <c r="G81" s="119"/>
      <c r="H81" s="251"/>
      <c r="I81" s="81"/>
      <c r="J81" s="81"/>
      <c r="K81" s="81"/>
      <c r="L81" s="85"/>
      <c r="M81" s="91"/>
      <c r="N81" s="240"/>
      <c r="O81" s="85"/>
      <c r="P81" s="82"/>
      <c r="Q81" s="82"/>
      <c r="R81" s="81"/>
      <c r="S81" s="320"/>
      <c r="T81" s="321"/>
      <c r="U81" s="321"/>
      <c r="V81" s="322"/>
      <c r="Y81" s="4"/>
      <c r="Z81" s="4"/>
      <c r="AA81" s="315"/>
      <c r="AB81" s="4"/>
    </row>
    <row r="82" spans="1:28" x14ac:dyDescent="0.3">
      <c r="A82" s="381">
        <v>80</v>
      </c>
      <c r="B82" s="335"/>
      <c r="C82" s="95"/>
      <c r="D82" s="83"/>
      <c r="E82" s="84"/>
      <c r="F82" s="83"/>
      <c r="G82" s="119"/>
      <c r="H82" s="251"/>
      <c r="I82" s="81"/>
      <c r="J82" s="81"/>
      <c r="K82" s="81"/>
      <c r="L82" s="85"/>
      <c r="M82" s="91"/>
      <c r="N82" s="240"/>
      <c r="O82" s="85"/>
      <c r="P82" s="82"/>
      <c r="Q82" s="82"/>
      <c r="R82" s="81"/>
      <c r="S82" s="320"/>
      <c r="T82" s="321"/>
      <c r="U82" s="321"/>
      <c r="V82" s="322"/>
      <c r="Y82" s="4"/>
      <c r="Z82" s="4"/>
      <c r="AA82" s="315"/>
      <c r="AB82" s="4"/>
    </row>
    <row r="83" spans="1:28" x14ac:dyDescent="0.3">
      <c r="A83" s="381">
        <v>81</v>
      </c>
      <c r="B83" s="335"/>
      <c r="C83" s="95"/>
      <c r="D83" s="83"/>
      <c r="E83" s="84"/>
      <c r="F83" s="83"/>
      <c r="G83" s="119"/>
      <c r="H83" s="251"/>
      <c r="I83" s="81"/>
      <c r="J83" s="81"/>
      <c r="K83" s="81"/>
      <c r="L83" s="85"/>
      <c r="M83" s="91"/>
      <c r="N83" s="240"/>
      <c r="O83" s="85"/>
      <c r="P83" s="82"/>
      <c r="Q83" s="82"/>
      <c r="R83" s="81"/>
      <c r="S83" s="320"/>
      <c r="T83" s="321"/>
      <c r="U83" s="321"/>
      <c r="V83" s="322"/>
      <c r="Y83" s="4"/>
      <c r="Z83" s="4"/>
      <c r="AA83" s="315"/>
      <c r="AB83" s="4"/>
    </row>
    <row r="84" spans="1:28" x14ac:dyDescent="0.3">
      <c r="A84" s="381">
        <v>82</v>
      </c>
      <c r="B84" s="335"/>
      <c r="C84" s="95"/>
      <c r="D84" s="83"/>
      <c r="E84" s="84"/>
      <c r="F84" s="83"/>
      <c r="G84" s="119"/>
      <c r="H84" s="251"/>
      <c r="I84" s="81"/>
      <c r="J84" s="81"/>
      <c r="K84" s="81"/>
      <c r="L84" s="85"/>
      <c r="M84" s="91"/>
      <c r="N84" s="240"/>
      <c r="O84" s="85"/>
      <c r="P84" s="82"/>
      <c r="Q84" s="82"/>
      <c r="R84" s="81"/>
      <c r="S84" s="320"/>
      <c r="T84" s="321"/>
      <c r="U84" s="321"/>
      <c r="V84" s="322"/>
      <c r="Y84" s="4"/>
      <c r="Z84" s="4"/>
      <c r="AA84" s="315"/>
      <c r="AB84" s="4"/>
    </row>
    <row r="85" spans="1:28" x14ac:dyDescent="0.3">
      <c r="A85" s="381">
        <v>83</v>
      </c>
      <c r="B85" s="335"/>
      <c r="C85" s="95"/>
      <c r="D85" s="83"/>
      <c r="E85" s="84"/>
      <c r="F85" s="83"/>
      <c r="G85" s="119"/>
      <c r="H85" s="251"/>
      <c r="I85" s="81"/>
      <c r="J85" s="81"/>
      <c r="K85" s="81"/>
      <c r="L85" s="84"/>
      <c r="M85" s="91"/>
      <c r="N85" s="240"/>
      <c r="O85" s="85"/>
      <c r="P85" s="82"/>
      <c r="Q85" s="82"/>
      <c r="R85" s="81"/>
      <c r="S85" s="320"/>
      <c r="T85" s="321"/>
      <c r="U85" s="321"/>
      <c r="V85" s="322"/>
      <c r="Y85" s="4"/>
      <c r="Z85" s="4"/>
      <c r="AA85" s="315"/>
      <c r="AB85" s="4"/>
    </row>
    <row r="86" spans="1:28" x14ac:dyDescent="0.3">
      <c r="A86" s="381">
        <v>84</v>
      </c>
      <c r="B86" s="335"/>
      <c r="C86" s="95"/>
      <c r="D86" s="83"/>
      <c r="E86" s="84"/>
      <c r="F86" s="83"/>
      <c r="G86" s="119"/>
      <c r="H86" s="251"/>
      <c r="I86" s="81"/>
      <c r="J86" s="81"/>
      <c r="K86" s="81"/>
      <c r="L86" s="84"/>
      <c r="M86" s="91"/>
      <c r="N86" s="240"/>
      <c r="O86" s="85"/>
      <c r="P86" s="82"/>
      <c r="Q86" s="82"/>
      <c r="R86" s="81"/>
      <c r="S86" s="320"/>
      <c r="T86" s="321"/>
      <c r="U86" s="321"/>
      <c r="V86" s="322"/>
      <c r="Y86" s="4"/>
      <c r="Z86" s="4"/>
      <c r="AA86" s="315"/>
      <c r="AB86" s="4"/>
    </row>
    <row r="87" spans="1:28" x14ac:dyDescent="0.3">
      <c r="A87" s="381">
        <v>85</v>
      </c>
      <c r="B87" s="335"/>
      <c r="C87" s="95"/>
      <c r="D87" s="83"/>
      <c r="E87" s="84"/>
      <c r="F87" s="83"/>
      <c r="G87" s="119"/>
      <c r="H87" s="251"/>
      <c r="I87" s="81"/>
      <c r="J87" s="81"/>
      <c r="K87" s="81"/>
      <c r="L87" s="84"/>
      <c r="M87" s="91"/>
      <c r="N87" s="240"/>
      <c r="O87" s="85"/>
      <c r="P87" s="82"/>
      <c r="Q87" s="82"/>
      <c r="R87" s="81"/>
      <c r="S87" s="320"/>
      <c r="T87" s="321"/>
      <c r="U87" s="321"/>
      <c r="V87" s="322"/>
      <c r="Y87" s="4"/>
      <c r="Z87" s="4"/>
      <c r="AA87" s="315"/>
      <c r="AB87" s="4"/>
    </row>
    <row r="88" spans="1:28" x14ac:dyDescent="0.3">
      <c r="A88" s="381">
        <v>86</v>
      </c>
      <c r="B88" s="335"/>
      <c r="C88" s="95"/>
      <c r="D88" s="83"/>
      <c r="E88" s="84"/>
      <c r="F88" s="83"/>
      <c r="G88" s="119"/>
      <c r="H88" s="84"/>
      <c r="I88" s="81"/>
      <c r="J88" s="81"/>
      <c r="K88" s="81"/>
      <c r="L88" s="84"/>
      <c r="M88" s="91"/>
      <c r="N88" s="240"/>
      <c r="O88" s="85"/>
      <c r="P88" s="82"/>
      <c r="Q88" s="82"/>
      <c r="R88" s="81"/>
      <c r="S88" s="320"/>
      <c r="T88" s="321"/>
      <c r="U88" s="321"/>
      <c r="V88" s="322"/>
      <c r="Y88" s="4"/>
      <c r="Z88" s="4"/>
      <c r="AA88" s="315"/>
      <c r="AB88" s="4"/>
    </row>
    <row r="89" spans="1:28" x14ac:dyDescent="0.3">
      <c r="A89" s="381">
        <v>87</v>
      </c>
      <c r="B89" s="335"/>
      <c r="C89" s="95"/>
      <c r="D89" s="83"/>
      <c r="E89" s="84"/>
      <c r="F89" s="83"/>
      <c r="G89" s="119"/>
      <c r="H89" s="84"/>
      <c r="I89" s="81"/>
      <c r="J89" s="81"/>
      <c r="K89" s="81"/>
      <c r="L89" s="84"/>
      <c r="M89" s="91"/>
      <c r="N89" s="240"/>
      <c r="O89" s="85"/>
      <c r="P89" s="82"/>
      <c r="Q89" s="82"/>
      <c r="R89" s="81"/>
      <c r="S89" s="320"/>
      <c r="T89" s="321"/>
      <c r="U89" s="321"/>
      <c r="V89" s="322"/>
      <c r="Y89" s="4"/>
      <c r="Z89" s="4"/>
      <c r="AA89" s="315"/>
      <c r="AB89" s="4"/>
    </row>
    <row r="90" spans="1:28" x14ac:dyDescent="0.3">
      <c r="A90" s="381">
        <v>88</v>
      </c>
      <c r="B90" s="335"/>
      <c r="C90" s="95"/>
      <c r="D90" s="83"/>
      <c r="E90" s="84"/>
      <c r="F90" s="83"/>
      <c r="G90" s="119"/>
      <c r="H90" s="84"/>
      <c r="I90" s="81"/>
      <c r="J90" s="81"/>
      <c r="K90" s="81"/>
      <c r="L90" s="84"/>
      <c r="M90" s="91"/>
      <c r="N90" s="240"/>
      <c r="O90" s="85"/>
      <c r="P90" s="82"/>
      <c r="Q90" s="82"/>
      <c r="R90" s="81"/>
      <c r="S90" s="320"/>
      <c r="T90" s="321"/>
      <c r="U90" s="321"/>
      <c r="V90" s="322"/>
      <c r="Y90" s="4"/>
      <c r="Z90" s="4"/>
      <c r="AA90" s="315"/>
      <c r="AB90" s="4"/>
    </row>
    <row r="91" spans="1:28" x14ac:dyDescent="0.3">
      <c r="A91" s="381">
        <v>89</v>
      </c>
      <c r="B91" s="335"/>
      <c r="C91" s="95"/>
      <c r="D91" s="83"/>
      <c r="E91" s="84"/>
      <c r="F91" s="83"/>
      <c r="G91" s="119"/>
      <c r="H91" s="84"/>
      <c r="I91" s="81"/>
      <c r="J91" s="81"/>
      <c r="K91" s="81"/>
      <c r="L91" s="84"/>
      <c r="M91" s="91"/>
      <c r="N91" s="240"/>
      <c r="O91" s="85"/>
      <c r="P91" s="82"/>
      <c r="Q91" s="82"/>
      <c r="R91" s="81"/>
      <c r="S91" s="320"/>
      <c r="T91" s="321"/>
      <c r="U91" s="321"/>
      <c r="V91" s="322"/>
      <c r="Y91" s="4"/>
      <c r="Z91" s="4"/>
      <c r="AA91" s="315"/>
      <c r="AB91" s="4"/>
    </row>
    <row r="92" spans="1:28" x14ac:dyDescent="0.3">
      <c r="A92" s="381">
        <v>90</v>
      </c>
      <c r="B92" s="335"/>
      <c r="C92" s="95"/>
      <c r="D92" s="83"/>
      <c r="E92" s="84"/>
      <c r="F92" s="83"/>
      <c r="G92" s="119"/>
      <c r="H92" s="84"/>
      <c r="I92" s="81"/>
      <c r="J92" s="81"/>
      <c r="K92" s="81"/>
      <c r="L92" s="84"/>
      <c r="M92" s="91"/>
      <c r="N92" s="240"/>
      <c r="O92" s="85"/>
      <c r="P92" s="82"/>
      <c r="Q92" s="82"/>
      <c r="R92" s="81"/>
      <c r="S92" s="320"/>
      <c r="T92" s="321"/>
      <c r="U92" s="321"/>
      <c r="V92" s="322"/>
      <c r="Y92" s="4"/>
      <c r="Z92" s="4"/>
      <c r="AA92" s="315"/>
      <c r="AB92" s="4"/>
    </row>
    <row r="93" spans="1:28" x14ac:dyDescent="0.3">
      <c r="A93" s="381">
        <v>91</v>
      </c>
      <c r="B93" s="335"/>
      <c r="C93" s="95"/>
      <c r="D93" s="83"/>
      <c r="E93" s="84"/>
      <c r="F93" s="83"/>
      <c r="G93" s="119"/>
      <c r="H93" s="84"/>
      <c r="I93" s="81"/>
      <c r="J93" s="81"/>
      <c r="K93" s="81"/>
      <c r="L93" s="84"/>
      <c r="M93" s="91"/>
      <c r="N93" s="240"/>
      <c r="O93" s="85"/>
      <c r="P93" s="82"/>
      <c r="Q93" s="82"/>
      <c r="R93" s="81"/>
      <c r="S93" s="320"/>
      <c r="T93" s="321"/>
      <c r="U93" s="321"/>
      <c r="V93" s="322"/>
      <c r="Y93" s="4"/>
      <c r="Z93" s="4"/>
      <c r="AA93" s="315"/>
      <c r="AB93" s="4"/>
    </row>
    <row r="94" spans="1:28" x14ac:dyDescent="0.3">
      <c r="A94" s="381">
        <v>92</v>
      </c>
      <c r="B94" s="335"/>
      <c r="C94" s="95"/>
      <c r="D94" s="83"/>
      <c r="E94" s="84"/>
      <c r="F94" s="83"/>
      <c r="G94" s="119"/>
      <c r="H94" s="84"/>
      <c r="I94" s="81"/>
      <c r="J94" s="81"/>
      <c r="K94" s="81"/>
      <c r="L94" s="84"/>
      <c r="M94" s="91"/>
      <c r="N94" s="240"/>
      <c r="O94" s="85"/>
      <c r="P94" s="82"/>
      <c r="Q94" s="82"/>
      <c r="R94" s="81"/>
      <c r="S94" s="320"/>
      <c r="T94" s="321"/>
      <c r="U94" s="321"/>
      <c r="V94" s="322"/>
      <c r="Y94" s="4"/>
      <c r="Z94" s="4"/>
      <c r="AA94" s="315"/>
      <c r="AB94" s="4"/>
    </row>
    <row r="95" spans="1:28" x14ac:dyDescent="0.3">
      <c r="A95" s="381">
        <v>93</v>
      </c>
      <c r="B95" s="335"/>
      <c r="C95" s="95"/>
      <c r="D95" s="83"/>
      <c r="E95" s="84"/>
      <c r="F95" s="83"/>
      <c r="G95" s="119"/>
      <c r="H95" s="84"/>
      <c r="I95" s="81"/>
      <c r="J95" s="81"/>
      <c r="K95" s="81"/>
      <c r="L95" s="84"/>
      <c r="M95" s="91"/>
      <c r="N95" s="240"/>
      <c r="O95" s="85"/>
      <c r="P95" s="82"/>
      <c r="Q95" s="82"/>
      <c r="R95" s="81"/>
      <c r="S95" s="320"/>
      <c r="T95" s="321"/>
      <c r="U95" s="321"/>
      <c r="V95" s="322"/>
      <c r="Y95" s="4"/>
      <c r="Z95" s="4"/>
      <c r="AA95" s="315"/>
      <c r="AB95" s="4"/>
    </row>
    <row r="96" spans="1:28" x14ac:dyDescent="0.3">
      <c r="A96" s="381">
        <v>94</v>
      </c>
      <c r="B96" s="335"/>
      <c r="C96" s="95"/>
      <c r="D96" s="83"/>
      <c r="E96" s="84"/>
      <c r="F96" s="83"/>
      <c r="G96" s="119"/>
      <c r="H96" s="84"/>
      <c r="I96" s="81"/>
      <c r="J96" s="81"/>
      <c r="K96" s="81"/>
      <c r="L96" s="84"/>
      <c r="M96" s="91"/>
      <c r="N96" s="240"/>
      <c r="O96" s="85"/>
      <c r="P96" s="82"/>
      <c r="Q96" s="82"/>
      <c r="R96" s="81"/>
      <c r="S96" s="320"/>
      <c r="T96" s="321"/>
      <c r="U96" s="321"/>
      <c r="V96" s="322"/>
      <c r="Y96" s="4"/>
      <c r="Z96" s="4"/>
      <c r="AA96" s="315"/>
      <c r="AB96" s="4"/>
    </row>
    <row r="97" spans="1:28" x14ac:dyDescent="0.3">
      <c r="A97" s="381">
        <v>95</v>
      </c>
      <c r="B97" s="335"/>
      <c r="C97" s="95"/>
      <c r="D97" s="83"/>
      <c r="E97" s="84"/>
      <c r="F97" s="83"/>
      <c r="G97" s="119"/>
      <c r="H97" s="84"/>
      <c r="I97" s="81"/>
      <c r="J97" s="81"/>
      <c r="K97" s="81"/>
      <c r="L97" s="84"/>
      <c r="M97" s="91"/>
      <c r="N97" s="240"/>
      <c r="O97" s="85"/>
      <c r="P97" s="82"/>
      <c r="Q97" s="82"/>
      <c r="R97" s="81"/>
      <c r="S97" s="320"/>
      <c r="T97" s="321"/>
      <c r="U97" s="321"/>
      <c r="V97" s="322"/>
      <c r="Y97" s="4"/>
      <c r="Z97" s="4"/>
      <c r="AA97" s="315"/>
      <c r="AB97" s="4"/>
    </row>
    <row r="98" spans="1:28" x14ac:dyDescent="0.3">
      <c r="A98" s="381">
        <v>96</v>
      </c>
      <c r="B98" s="335"/>
      <c r="C98" s="95"/>
      <c r="D98" s="83"/>
      <c r="E98" s="84"/>
      <c r="F98" s="83"/>
      <c r="G98" s="119"/>
      <c r="H98" s="84"/>
      <c r="I98" s="81"/>
      <c r="J98" s="81"/>
      <c r="K98" s="81"/>
      <c r="L98" s="84"/>
      <c r="M98" s="91"/>
      <c r="N98" s="240"/>
      <c r="O98" s="85"/>
      <c r="P98" s="82"/>
      <c r="Q98" s="82"/>
      <c r="R98" s="81"/>
      <c r="S98" s="82"/>
      <c r="T98" s="85"/>
      <c r="U98" s="85"/>
      <c r="V98" s="312"/>
      <c r="Y98" s="4"/>
      <c r="Z98" s="4"/>
      <c r="AA98" s="315"/>
      <c r="AB98" s="4"/>
    </row>
    <row r="99" spans="1:28" x14ac:dyDescent="0.3">
      <c r="A99" s="381">
        <v>97</v>
      </c>
      <c r="B99" s="335"/>
      <c r="C99" s="95"/>
      <c r="D99" s="83"/>
      <c r="E99" s="84"/>
      <c r="F99" s="83"/>
      <c r="G99" s="119"/>
      <c r="H99" s="84"/>
      <c r="I99" s="81"/>
      <c r="J99" s="81"/>
      <c r="K99" s="81"/>
      <c r="L99" s="84"/>
      <c r="M99" s="91"/>
      <c r="N99" s="240"/>
      <c r="O99" s="85"/>
      <c r="P99" s="82"/>
      <c r="Q99" s="82"/>
      <c r="R99" s="81"/>
      <c r="S99" s="82"/>
      <c r="T99" s="85"/>
      <c r="U99" s="85"/>
      <c r="V99" s="312"/>
      <c r="Y99" s="4"/>
      <c r="Z99" s="4"/>
      <c r="AA99" s="315"/>
      <c r="AB99" s="4"/>
    </row>
    <row r="100" spans="1:28" x14ac:dyDescent="0.3">
      <c r="A100" s="381">
        <v>98</v>
      </c>
      <c r="B100" s="335"/>
      <c r="C100" s="95"/>
      <c r="D100" s="83"/>
      <c r="E100" s="84"/>
      <c r="F100" s="83"/>
      <c r="G100" s="119"/>
      <c r="H100" s="84"/>
      <c r="I100" s="81"/>
      <c r="J100" s="81"/>
      <c r="K100" s="81"/>
      <c r="L100" s="84"/>
      <c r="M100" s="91"/>
      <c r="N100" s="240"/>
      <c r="O100" s="85"/>
      <c r="P100" s="82"/>
      <c r="Q100" s="82"/>
      <c r="R100" s="81"/>
      <c r="S100" s="82"/>
      <c r="T100" s="85"/>
      <c r="U100" s="85"/>
      <c r="V100" s="312"/>
      <c r="Y100" s="4"/>
      <c r="Z100" s="4"/>
      <c r="AA100" s="315"/>
      <c r="AB100" s="4"/>
    </row>
    <row r="101" spans="1:28" ht="17.25" thickBot="1" x14ac:dyDescent="0.35">
      <c r="A101" s="384">
        <v>99</v>
      </c>
      <c r="B101" s="337"/>
      <c r="C101" s="96"/>
      <c r="D101" s="89"/>
      <c r="E101" s="88"/>
      <c r="F101" s="89"/>
      <c r="G101" s="89"/>
      <c r="H101" s="88"/>
      <c r="I101" s="97"/>
      <c r="J101" s="97"/>
      <c r="K101" s="97"/>
      <c r="L101" s="88"/>
      <c r="M101" s="92"/>
      <c r="N101" s="241"/>
      <c r="O101" s="90"/>
      <c r="P101" s="98"/>
      <c r="Q101" s="98"/>
      <c r="R101" s="97"/>
      <c r="S101" s="98"/>
      <c r="T101" s="90"/>
      <c r="U101" s="90"/>
      <c r="V101" s="313"/>
      <c r="W101" s="338"/>
      <c r="X101" s="339"/>
      <c r="Y101" s="339"/>
      <c r="Z101" s="15"/>
      <c r="AA101" s="338"/>
      <c r="AB101" s="4"/>
    </row>
    <row r="102" spans="1:28" x14ac:dyDescent="0.3">
      <c r="A102" s="300"/>
      <c r="B102" s="298"/>
      <c r="C102" s="148"/>
      <c r="D102" s="295"/>
      <c r="E102" s="148"/>
      <c r="F102" s="295"/>
      <c r="G102" s="295"/>
      <c r="H102" s="148"/>
      <c r="I102" s="148"/>
      <c r="J102" s="148"/>
      <c r="K102" s="148"/>
      <c r="L102" s="148"/>
      <c r="M102" s="303"/>
      <c r="N102" s="304"/>
      <c r="O102" s="303"/>
      <c r="P102" s="303"/>
      <c r="Q102" s="303"/>
      <c r="R102" s="148"/>
      <c r="S102" s="297"/>
      <c r="T102" s="297"/>
      <c r="U102" s="297"/>
      <c r="V102" s="297"/>
      <c r="W102"/>
      <c r="X102" s="73"/>
      <c r="Y102" s="73"/>
    </row>
    <row r="103" spans="1:28" x14ac:dyDescent="0.3">
      <c r="A103" s="300"/>
      <c r="B103" s="298"/>
      <c r="C103" s="148"/>
      <c r="D103" s="295"/>
      <c r="E103" s="148"/>
      <c r="F103" s="295"/>
      <c r="G103" s="295"/>
      <c r="H103" s="148"/>
      <c r="I103" s="148"/>
      <c r="J103" s="148"/>
      <c r="K103" s="148"/>
      <c r="L103" s="148"/>
      <c r="M103" s="303"/>
      <c r="N103" s="304"/>
      <c r="O103" s="303"/>
      <c r="P103" s="303"/>
      <c r="Q103" s="303"/>
      <c r="R103" s="148"/>
      <c r="S103" s="297"/>
      <c r="T103" s="297"/>
      <c r="U103" s="297"/>
      <c r="V103" s="297"/>
      <c r="W103"/>
      <c r="X103" s="73"/>
      <c r="Y103" s="73"/>
    </row>
    <row r="104" spans="1:28" x14ac:dyDescent="0.3">
      <c r="A104" s="300"/>
      <c r="B104" s="562" t="s">
        <v>3322</v>
      </c>
      <c r="C104" s="562"/>
      <c r="D104"/>
      <c r="E104" s="563" t="s">
        <v>3324</v>
      </c>
      <c r="F104" s="563"/>
      <c r="G104"/>
      <c r="H104" s="148"/>
      <c r="I104" s="148"/>
      <c r="J104" s="148"/>
      <c r="K104" s="148"/>
      <c r="L104" s="148"/>
      <c r="M104" s="303"/>
      <c r="N104" s="304"/>
      <c r="O104" s="303"/>
      <c r="P104" s="303"/>
      <c r="Q104" s="303"/>
      <c r="R104" s="148"/>
      <c r="S104" s="297"/>
      <c r="T104" s="297"/>
      <c r="U104" s="297"/>
      <c r="V104" s="297"/>
      <c r="W104"/>
      <c r="X104" s="73"/>
      <c r="Y104" s="73"/>
    </row>
    <row r="105" spans="1:28" x14ac:dyDescent="0.3">
      <c r="A105" s="300"/>
      <c r="B105" s="4" t="s">
        <v>3343</v>
      </c>
      <c r="C105" s="4">
        <f>COUNTIF($I$3:$I$101,#REF!)</f>
        <v>0</v>
      </c>
      <c r="D105"/>
      <c r="E105" s="4" t="s">
        <v>3343</v>
      </c>
      <c r="F105" s="68">
        <f t="shared" ref="F105:F115" si="1">SUMIF($I:$I, E105, $L:$L)</f>
        <v>251000</v>
      </c>
      <c r="G105"/>
      <c r="H105" s="148"/>
      <c r="I105" s="148"/>
      <c r="J105" s="148"/>
      <c r="K105" s="148"/>
      <c r="L105" s="148"/>
      <c r="M105" s="303"/>
      <c r="N105" s="304"/>
      <c r="O105" s="303"/>
      <c r="P105" s="303"/>
      <c r="Q105" s="303"/>
      <c r="R105" s="148"/>
      <c r="S105" s="297"/>
      <c r="T105" s="297"/>
      <c r="U105" s="297"/>
      <c r="V105" s="297"/>
      <c r="W105"/>
      <c r="X105" s="73"/>
      <c r="Y105" s="73"/>
    </row>
    <row r="106" spans="1:28" x14ac:dyDescent="0.3">
      <c r="A106" s="300"/>
      <c r="B106" s="4" t="s">
        <v>3318</v>
      </c>
      <c r="C106" s="4">
        <v>2</v>
      </c>
      <c r="D106"/>
      <c r="E106" s="4" t="s">
        <v>3318</v>
      </c>
      <c r="F106" s="68">
        <f t="shared" si="1"/>
        <v>0</v>
      </c>
      <c r="G106"/>
      <c r="H106" s="148"/>
      <c r="I106" s="148"/>
      <c r="J106" s="148"/>
      <c r="K106" s="148"/>
      <c r="L106" s="148"/>
      <c r="M106" s="303"/>
      <c r="N106" s="304"/>
      <c r="O106" s="303"/>
      <c r="P106" s="303"/>
      <c r="Q106" s="303"/>
      <c r="R106" s="148"/>
      <c r="S106" s="297"/>
      <c r="T106" s="297"/>
      <c r="U106" s="297"/>
      <c r="V106" s="297"/>
      <c r="W106"/>
      <c r="X106" s="73"/>
      <c r="Y106" s="73"/>
    </row>
    <row r="107" spans="1:28" x14ac:dyDescent="0.3">
      <c r="A107" s="300"/>
      <c r="B107" s="4" t="s">
        <v>3321</v>
      </c>
      <c r="C107" s="4">
        <f>COUNTIF($I$3:$I$101,#REF!)</f>
        <v>0</v>
      </c>
      <c r="D107"/>
      <c r="E107" s="4" t="s">
        <v>3321</v>
      </c>
      <c r="F107" s="68">
        <f t="shared" si="1"/>
        <v>0</v>
      </c>
      <c r="G107"/>
      <c r="H107" s="148"/>
      <c r="I107" s="148"/>
      <c r="J107" s="148"/>
      <c r="K107" s="148"/>
      <c r="L107" s="148"/>
      <c r="M107" s="303"/>
      <c r="N107" s="304"/>
      <c r="O107" s="303"/>
      <c r="P107" s="303"/>
      <c r="Q107" s="303"/>
      <c r="R107" s="148"/>
      <c r="S107" s="297"/>
      <c r="T107" s="297"/>
      <c r="U107" s="297"/>
      <c r="V107" s="297"/>
      <c r="W107"/>
      <c r="X107" s="73"/>
      <c r="Y107" s="73"/>
    </row>
    <row r="108" spans="1:28" x14ac:dyDescent="0.3">
      <c r="A108" s="300"/>
      <c r="B108" s="4" t="s">
        <v>3314</v>
      </c>
      <c r="C108" s="4">
        <v>3</v>
      </c>
      <c r="D108"/>
      <c r="E108" s="4" t="s">
        <v>3314</v>
      </c>
      <c r="F108" s="68">
        <f t="shared" si="1"/>
        <v>628500</v>
      </c>
      <c r="G108"/>
      <c r="H108" s="148"/>
      <c r="I108" s="148"/>
      <c r="J108" s="148"/>
      <c r="K108" s="148"/>
      <c r="L108" s="148"/>
      <c r="M108" s="303"/>
      <c r="N108" s="304"/>
      <c r="O108" s="303"/>
      <c r="P108" s="303"/>
      <c r="Q108" s="303"/>
      <c r="R108" s="148"/>
      <c r="S108" s="297"/>
      <c r="T108" s="297"/>
      <c r="U108" s="297"/>
      <c r="V108" s="297"/>
      <c r="W108"/>
      <c r="X108" s="73"/>
      <c r="Y108" s="73"/>
    </row>
    <row r="109" spans="1:28" x14ac:dyDescent="0.3">
      <c r="A109" s="300"/>
      <c r="B109" s="4" t="s">
        <v>3344</v>
      </c>
      <c r="C109" s="4">
        <f>COUNTIF($I$3:$I$101,#REF!)</f>
        <v>0</v>
      </c>
      <c r="D109"/>
      <c r="E109" s="4" t="s">
        <v>3344</v>
      </c>
      <c r="F109" s="68">
        <f t="shared" si="1"/>
        <v>18000</v>
      </c>
      <c r="G109"/>
      <c r="H109" s="148"/>
      <c r="I109" s="148"/>
      <c r="J109" s="148"/>
      <c r="K109" s="148"/>
      <c r="L109" s="148"/>
      <c r="M109" s="303"/>
      <c r="N109" s="304"/>
      <c r="O109" s="303"/>
      <c r="P109" s="303"/>
      <c r="Q109" s="303"/>
      <c r="R109" s="148"/>
      <c r="S109" s="297"/>
      <c r="T109" s="297"/>
      <c r="U109" s="297"/>
      <c r="V109" s="297"/>
      <c r="W109"/>
      <c r="X109" s="73"/>
      <c r="Y109" s="73"/>
    </row>
    <row r="110" spans="1:28" x14ac:dyDescent="0.3">
      <c r="A110" s="300"/>
      <c r="B110" s="4" t="s">
        <v>3308</v>
      </c>
      <c r="C110" s="4">
        <f>COUNTIF($I$3:$I$101,#REF!)</f>
        <v>0</v>
      </c>
      <c r="D110"/>
      <c r="E110" s="4" t="s">
        <v>3308</v>
      </c>
      <c r="F110" s="68">
        <f t="shared" si="1"/>
        <v>2207500</v>
      </c>
      <c r="G110"/>
      <c r="H110" s="148"/>
      <c r="I110" s="148"/>
      <c r="J110" s="148"/>
      <c r="K110" s="148"/>
      <c r="L110" s="148"/>
      <c r="M110" s="303"/>
      <c r="N110" s="304"/>
      <c r="O110" s="303"/>
      <c r="P110" s="303"/>
      <c r="Q110" s="303"/>
      <c r="R110" s="148"/>
      <c r="S110" s="297"/>
      <c r="T110" s="297"/>
      <c r="U110" s="297"/>
      <c r="V110" s="297"/>
      <c r="W110"/>
      <c r="X110" s="73"/>
      <c r="Y110" s="73"/>
    </row>
    <row r="111" spans="1:28" x14ac:dyDescent="0.3">
      <c r="A111" s="300"/>
      <c r="B111" s="4" t="s">
        <v>3305</v>
      </c>
      <c r="C111" s="4">
        <v>5</v>
      </c>
      <c r="D111"/>
      <c r="E111" s="4" t="s">
        <v>3305</v>
      </c>
      <c r="F111" s="68">
        <f t="shared" si="1"/>
        <v>0</v>
      </c>
      <c r="G111"/>
      <c r="H111" s="148"/>
      <c r="I111" s="148"/>
      <c r="J111" s="148"/>
      <c r="K111" s="148"/>
      <c r="L111" s="148"/>
      <c r="M111" s="303"/>
      <c r="N111" s="304"/>
      <c r="O111" s="303"/>
      <c r="P111" s="303"/>
      <c r="Q111" s="303"/>
      <c r="R111" s="148"/>
      <c r="S111" s="297"/>
      <c r="T111" s="297"/>
      <c r="U111" s="297"/>
      <c r="V111" s="297"/>
      <c r="W111"/>
      <c r="X111" s="73"/>
      <c r="Y111" s="73"/>
    </row>
    <row r="112" spans="1:28" x14ac:dyDescent="0.3">
      <c r="A112" s="300"/>
      <c r="B112" s="4" t="s">
        <v>3320</v>
      </c>
      <c r="C112" s="4">
        <f>COUNTIF($I$3:$I$101,#REF!)</f>
        <v>0</v>
      </c>
      <c r="D112"/>
      <c r="E112" s="4" t="s">
        <v>3320</v>
      </c>
      <c r="F112" s="68">
        <f t="shared" si="1"/>
        <v>296100</v>
      </c>
      <c r="G112"/>
      <c r="H112" s="148"/>
      <c r="I112" s="148"/>
      <c r="J112" s="148"/>
      <c r="K112" s="148"/>
      <c r="L112" s="148"/>
      <c r="M112" s="303"/>
      <c r="N112" s="304"/>
      <c r="O112" s="303"/>
      <c r="P112" s="303"/>
      <c r="Q112" s="303"/>
      <c r="R112" s="148"/>
      <c r="S112" s="297"/>
      <c r="T112" s="297"/>
      <c r="U112" s="297"/>
      <c r="V112" s="297"/>
      <c r="W112"/>
      <c r="X112" s="73"/>
      <c r="Y112" s="73"/>
    </row>
    <row r="113" spans="1:25" x14ac:dyDescent="0.3">
      <c r="A113" s="300"/>
      <c r="B113" s="4" t="s">
        <v>3345</v>
      </c>
      <c r="C113" s="4">
        <f>COUNTIF($I$3:$I$101,#REF!)</f>
        <v>0</v>
      </c>
      <c r="D113"/>
      <c r="E113" s="4" t="s">
        <v>3345</v>
      </c>
      <c r="F113" s="68">
        <f t="shared" si="1"/>
        <v>0</v>
      </c>
      <c r="G113"/>
      <c r="H113" s="148"/>
      <c r="I113" s="148"/>
      <c r="J113" s="148"/>
      <c r="K113" s="148"/>
      <c r="L113" s="148"/>
      <c r="M113" s="303"/>
      <c r="N113" s="304"/>
      <c r="O113" s="303"/>
      <c r="P113" s="303"/>
      <c r="Q113" s="303"/>
      <c r="R113" s="148"/>
      <c r="S113" s="297"/>
      <c r="T113" s="297"/>
      <c r="U113" s="297"/>
      <c r="V113" s="297"/>
      <c r="W113"/>
      <c r="X113" s="73"/>
      <c r="Y113" s="73"/>
    </row>
    <row r="114" spans="1:25" x14ac:dyDescent="0.3">
      <c r="A114" s="300"/>
      <c r="B114" s="4" t="s">
        <v>2800</v>
      </c>
      <c r="C114" s="4">
        <f>COUNTIF($I$3:$I$101,#REF!)</f>
        <v>0</v>
      </c>
      <c r="D114"/>
      <c r="E114" s="4" t="s">
        <v>2800</v>
      </c>
      <c r="F114" s="68">
        <f t="shared" si="1"/>
        <v>180000</v>
      </c>
      <c r="G114"/>
      <c r="H114" s="148"/>
      <c r="I114" s="148"/>
      <c r="J114" s="148"/>
      <c r="K114" s="148"/>
      <c r="L114" s="148"/>
      <c r="M114" s="303"/>
      <c r="N114" s="304"/>
      <c r="O114" s="303"/>
      <c r="P114" s="303"/>
      <c r="Q114" s="303"/>
      <c r="R114" s="148"/>
      <c r="S114" s="297"/>
      <c r="T114" s="297"/>
      <c r="U114" s="297"/>
      <c r="V114" s="297"/>
      <c r="W114"/>
      <c r="X114" s="73"/>
      <c r="Y114" s="73"/>
    </row>
    <row r="115" spans="1:25" x14ac:dyDescent="0.3">
      <c r="A115" s="300"/>
      <c r="B115" s="4" t="s">
        <v>3319</v>
      </c>
      <c r="C115" s="4">
        <v>1</v>
      </c>
      <c r="D115"/>
      <c r="E115" s="4" t="s">
        <v>3319</v>
      </c>
      <c r="F115" s="68">
        <f t="shared" si="1"/>
        <v>0</v>
      </c>
      <c r="G115"/>
      <c r="H115" s="148"/>
      <c r="I115" s="148"/>
      <c r="J115" s="148"/>
      <c r="K115" s="148"/>
      <c r="L115" s="148"/>
      <c r="M115" s="303"/>
      <c r="N115" s="304"/>
      <c r="O115" s="303"/>
      <c r="P115" s="303"/>
      <c r="Q115" s="303"/>
      <c r="R115" s="148"/>
      <c r="S115" s="297"/>
      <c r="T115" s="297"/>
      <c r="U115" s="297"/>
      <c r="V115" s="297"/>
      <c r="W115"/>
      <c r="X115" s="73"/>
      <c r="Y115" s="73"/>
    </row>
    <row r="116" spans="1:25" x14ac:dyDescent="0.3">
      <c r="A116" s="300"/>
      <c r="D116"/>
      <c r="E116"/>
      <c r="F116"/>
      <c r="G116"/>
      <c r="H116" s="148"/>
      <c r="I116" s="148"/>
      <c r="J116" s="148"/>
      <c r="K116" s="148"/>
      <c r="L116" s="148"/>
      <c r="M116" s="303"/>
      <c r="N116" s="304"/>
      <c r="O116" s="303"/>
      <c r="P116" s="303"/>
      <c r="Q116" s="303"/>
      <c r="R116" s="148"/>
      <c r="S116" s="297"/>
      <c r="T116" s="297"/>
      <c r="U116" s="297"/>
      <c r="V116" s="297"/>
      <c r="W116"/>
      <c r="X116" s="73"/>
      <c r="Y116" s="73"/>
    </row>
    <row r="117" spans="1:25" x14ac:dyDescent="0.3">
      <c r="A117" s="300"/>
      <c r="B117" s="564" t="s">
        <v>3332</v>
      </c>
      <c r="C117" s="564"/>
      <c r="D117"/>
      <c r="E117" s="565" t="s">
        <v>1819</v>
      </c>
      <c r="F117" s="565"/>
      <c r="G117" s="72" t="s">
        <v>3402</v>
      </c>
      <c r="H117" s="148"/>
      <c r="I117" s="148"/>
      <c r="J117" s="148"/>
      <c r="K117" s="148"/>
      <c r="L117" s="148"/>
      <c r="M117" s="303"/>
      <c r="N117" s="304"/>
      <c r="O117" s="303"/>
      <c r="P117" s="303"/>
      <c r="Q117" s="303"/>
      <c r="R117" s="148"/>
      <c r="S117" s="297"/>
      <c r="T117" s="297"/>
      <c r="U117" s="297"/>
      <c r="V117" s="297"/>
      <c r="W117"/>
      <c r="X117" s="73"/>
      <c r="Y117" s="73"/>
    </row>
    <row r="118" spans="1:25" x14ac:dyDescent="0.3">
      <c r="A118" s="300"/>
      <c r="B118" s="4" t="s">
        <v>3333</v>
      </c>
      <c r="C118" s="4">
        <f>COUNTIF($J$3:$J$64,#REF!)</f>
        <v>0</v>
      </c>
      <c r="D118"/>
      <c r="E118" s="4" t="s">
        <v>3456</v>
      </c>
      <c r="F118" s="4">
        <v>3</v>
      </c>
      <c r="G118" s="68">
        <f>SUMIF($H:$H, E118, $L:$L)</f>
        <v>2731100</v>
      </c>
      <c r="H118" s="148"/>
      <c r="I118" s="148"/>
      <c r="J118" s="148"/>
      <c r="K118" s="148"/>
      <c r="L118" s="148"/>
      <c r="M118" s="303"/>
      <c r="N118" s="304"/>
      <c r="O118" s="303"/>
      <c r="P118" s="303"/>
      <c r="Q118" s="303"/>
      <c r="R118" s="148"/>
      <c r="S118" s="297"/>
      <c r="T118" s="297"/>
      <c r="U118" s="297"/>
      <c r="V118" s="297"/>
      <c r="W118"/>
      <c r="X118" s="73"/>
      <c r="Y118" s="73"/>
    </row>
    <row r="119" spans="1:25" x14ac:dyDescent="0.3">
      <c r="A119" s="300"/>
      <c r="B119" s="4" t="s">
        <v>3334</v>
      </c>
      <c r="C119" s="4">
        <f>COUNTIF($J$3:$J$64,#REF!)</f>
        <v>0</v>
      </c>
      <c r="D119"/>
      <c r="E119" s="4" t="s">
        <v>3457</v>
      </c>
      <c r="F119" s="4">
        <v>0</v>
      </c>
      <c r="G119" s="68">
        <f>SUMIF($H:$H, E119, $L:$L)</f>
        <v>0</v>
      </c>
      <c r="H119" s="148"/>
      <c r="I119" s="148"/>
      <c r="J119" s="148"/>
      <c r="K119" s="148"/>
      <c r="L119" s="148"/>
      <c r="M119" s="303"/>
      <c r="N119" s="304"/>
      <c r="O119" s="303"/>
      <c r="P119" s="303"/>
      <c r="Q119" s="303"/>
      <c r="R119" s="148"/>
      <c r="S119" s="297"/>
      <c r="T119" s="297"/>
      <c r="U119" s="297"/>
      <c r="V119" s="297"/>
      <c r="W119"/>
      <c r="X119" s="73"/>
      <c r="Y119" s="73"/>
    </row>
    <row r="120" spans="1:25" x14ac:dyDescent="0.3">
      <c r="A120" s="300"/>
      <c r="B120" s="4" t="s">
        <v>3335</v>
      </c>
      <c r="C120" s="4">
        <f>COUNTIF($J$3:$J$64,#REF!)</f>
        <v>0</v>
      </c>
      <c r="D120"/>
      <c r="E120" s="4" t="s">
        <v>3458</v>
      </c>
      <c r="F120" s="4">
        <v>9</v>
      </c>
      <c r="G120" s="68">
        <f>SUMIF($H:$H, E120, $L:$L)</f>
        <v>697000</v>
      </c>
      <c r="H120" s="148"/>
      <c r="I120" s="148"/>
      <c r="J120" s="148"/>
      <c r="K120" s="148"/>
      <c r="L120" s="148"/>
      <c r="M120" s="303"/>
      <c r="N120" s="304"/>
      <c r="O120" s="303"/>
      <c r="P120" s="303"/>
      <c r="Q120" s="303"/>
      <c r="R120" s="148"/>
      <c r="S120" s="297"/>
      <c r="T120" s="297"/>
      <c r="U120" s="297"/>
      <c r="V120" s="297"/>
      <c r="W120"/>
      <c r="X120" s="73"/>
      <c r="Y120" s="73"/>
    </row>
    <row r="121" spans="1:25" x14ac:dyDescent="0.3">
      <c r="A121" s="300"/>
      <c r="B121" s="4" t="s">
        <v>3329</v>
      </c>
      <c r="C121" s="4">
        <v>14</v>
      </c>
      <c r="D121"/>
      <c r="E121" s="4" t="s">
        <v>2800</v>
      </c>
      <c r="F121" s="4">
        <v>9</v>
      </c>
      <c r="G121" s="68">
        <f>SUMIF($H:$H, E121, $L:$L)</f>
        <v>153000</v>
      </c>
      <c r="H121" s="148"/>
      <c r="I121" s="148"/>
      <c r="J121" s="148"/>
      <c r="K121" s="148"/>
      <c r="L121" s="148"/>
      <c r="M121" s="303"/>
      <c r="N121" s="304"/>
      <c r="O121" s="303"/>
      <c r="P121" s="303"/>
      <c r="Q121" s="303"/>
      <c r="R121" s="148"/>
      <c r="S121" s="297"/>
      <c r="T121" s="297"/>
      <c r="U121" s="297"/>
      <c r="V121" s="297"/>
      <c r="W121"/>
      <c r="X121" s="73"/>
      <c r="Y121" s="73"/>
    </row>
    <row r="122" spans="1:25" x14ac:dyDescent="0.3">
      <c r="A122" s="300"/>
      <c r="B122" s="4" t="s">
        <v>3336</v>
      </c>
      <c r="C122" s="4">
        <f>COUNTIF($J$3:$J$64,#REF!)</f>
        <v>0</v>
      </c>
      <c r="D122"/>
      <c r="E122" s="4" t="s">
        <v>3323</v>
      </c>
      <c r="F122" s="4">
        <v>3</v>
      </c>
      <c r="G122" s="68">
        <f>SUMIF($H:$H, E122, $L:$L)</f>
        <v>0</v>
      </c>
      <c r="H122" s="148"/>
      <c r="I122" s="148"/>
      <c r="J122" s="148"/>
      <c r="K122" s="148"/>
      <c r="L122" s="148"/>
      <c r="M122" s="303"/>
      <c r="N122" s="304"/>
      <c r="O122" s="303"/>
      <c r="P122" s="303"/>
      <c r="Q122" s="303"/>
      <c r="R122" s="148"/>
      <c r="S122" s="297"/>
      <c r="T122" s="297"/>
      <c r="U122" s="297"/>
      <c r="V122" s="297"/>
      <c r="W122"/>
      <c r="X122" s="73"/>
      <c r="Y122" s="73"/>
    </row>
    <row r="123" spans="1:25" x14ac:dyDescent="0.3">
      <c r="A123" s="300"/>
      <c r="B123" s="4" t="s">
        <v>3330</v>
      </c>
      <c r="C123" s="4">
        <v>14</v>
      </c>
      <c r="D123"/>
      <c r="E123" s="261" t="s">
        <v>3640</v>
      </c>
      <c r="F123">
        <f>SUM(F118:F122)</f>
        <v>24</v>
      </c>
      <c r="G123" s="260"/>
      <c r="H123" s="148"/>
      <c r="I123" s="148"/>
      <c r="J123" s="148"/>
      <c r="K123" s="148"/>
      <c r="L123" s="148"/>
      <c r="M123" s="303"/>
      <c r="N123" s="304"/>
      <c r="O123" s="303"/>
      <c r="P123" s="303"/>
      <c r="Q123" s="303"/>
      <c r="R123" s="148"/>
      <c r="S123" s="297"/>
      <c r="T123" s="297"/>
      <c r="U123" s="297"/>
      <c r="V123" s="297"/>
      <c r="W123"/>
      <c r="X123" s="73"/>
      <c r="Y123" s="73"/>
    </row>
    <row r="124" spans="1:25" x14ac:dyDescent="0.3">
      <c r="A124" s="300"/>
      <c r="B124" s="4" t="s">
        <v>3337</v>
      </c>
      <c r="C124" s="4">
        <f>COUNTIF($J$3:$J$64,#REF!)</f>
        <v>0</v>
      </c>
      <c r="D124"/>
      <c r="E124"/>
      <c r="F124"/>
      <c r="G124"/>
      <c r="H124" s="148"/>
      <c r="I124" s="148"/>
      <c r="J124" s="148"/>
      <c r="K124" s="148"/>
      <c r="L124" s="148"/>
      <c r="M124" s="303"/>
      <c r="N124" s="304"/>
      <c r="O124" s="303"/>
      <c r="P124" s="303"/>
      <c r="Q124" s="303"/>
      <c r="R124" s="148"/>
      <c r="S124" s="297"/>
      <c r="T124" s="297"/>
      <c r="U124" s="297"/>
      <c r="V124" s="297"/>
      <c r="W124"/>
      <c r="X124" s="73"/>
      <c r="Y124" s="73"/>
    </row>
    <row r="125" spans="1:25" x14ac:dyDescent="0.3">
      <c r="A125" s="300"/>
      <c r="B125" s="4" t="s">
        <v>3338</v>
      </c>
      <c r="C125" s="4">
        <f>COUNTIF($J$3:$J$64,#REF!)</f>
        <v>0</v>
      </c>
      <c r="D125"/>
      <c r="E125"/>
      <c r="F125"/>
      <c r="G125"/>
      <c r="H125" s="148"/>
      <c r="I125" s="148"/>
      <c r="J125" s="148"/>
      <c r="K125" s="148"/>
      <c r="L125" s="148"/>
      <c r="M125" s="303"/>
      <c r="N125" s="304"/>
      <c r="O125" s="303"/>
      <c r="P125" s="303"/>
      <c r="Q125" s="303"/>
      <c r="R125" s="148"/>
      <c r="S125" s="297"/>
      <c r="T125" s="297"/>
      <c r="U125" s="297"/>
      <c r="V125" s="297"/>
      <c r="W125"/>
      <c r="X125" s="73"/>
      <c r="Y125" s="73"/>
    </row>
    <row r="126" spans="1:25" ht="16.5" customHeight="1" x14ac:dyDescent="0.3">
      <c r="A126" s="300"/>
      <c r="B126" s="4" t="s">
        <v>3339</v>
      </c>
      <c r="C126" s="4">
        <v>14</v>
      </c>
      <c r="D126"/>
      <c r="E126" s="566" t="s">
        <v>3325</v>
      </c>
      <c r="F126" s="569">
        <f>SUM(L3:L101)</f>
        <v>3581100</v>
      </c>
      <c r="G126" s="569"/>
      <c r="H126" s="148"/>
      <c r="I126" s="148"/>
      <c r="J126" s="148"/>
      <c r="K126" s="148"/>
      <c r="L126" s="148"/>
      <c r="M126" s="303"/>
      <c r="N126" s="304"/>
      <c r="O126" s="303"/>
      <c r="P126" s="303"/>
      <c r="Q126" s="303"/>
      <c r="R126" s="148"/>
      <c r="S126" s="297"/>
      <c r="T126" s="297"/>
      <c r="U126" s="297"/>
      <c r="V126" s="297"/>
      <c r="W126"/>
      <c r="X126" s="73"/>
      <c r="Y126" s="73"/>
    </row>
    <row r="127" spans="1:25" ht="16.5" customHeight="1" x14ac:dyDescent="0.3">
      <c r="A127" s="300"/>
      <c r="B127" s="4" t="s">
        <v>3331</v>
      </c>
      <c r="C127" s="4">
        <f>COUNTIF($J$3:$J$64,#REF!)</f>
        <v>0</v>
      </c>
      <c r="D127"/>
      <c r="E127" s="567"/>
      <c r="F127" s="569"/>
      <c r="G127" s="569"/>
      <c r="H127" s="148"/>
      <c r="I127" s="148"/>
      <c r="J127" s="148"/>
      <c r="K127" s="148"/>
      <c r="L127" s="148"/>
      <c r="M127" s="303"/>
      <c r="N127" s="304"/>
      <c r="O127" s="303"/>
      <c r="P127" s="303"/>
      <c r="Q127" s="303"/>
      <c r="R127" s="148"/>
      <c r="S127" s="297"/>
      <c r="T127" s="297"/>
      <c r="U127" s="297"/>
      <c r="V127" s="297"/>
      <c r="W127"/>
      <c r="X127" s="73"/>
      <c r="Y127" s="73"/>
    </row>
    <row r="128" spans="1:25" ht="16.5" customHeight="1" x14ac:dyDescent="0.3">
      <c r="A128" s="300"/>
      <c r="B128" s="4" t="s">
        <v>3340</v>
      </c>
      <c r="C128" s="4">
        <f>COUNTIF($J$3:$J$64,#REF!)</f>
        <v>0</v>
      </c>
      <c r="D128"/>
      <c r="E128" s="568" t="s">
        <v>3638</v>
      </c>
      <c r="F128" s="570">
        <v>1</v>
      </c>
      <c r="G128" s="570"/>
      <c r="H128" s="148"/>
      <c r="I128" s="148"/>
      <c r="J128" s="148"/>
      <c r="K128" s="148"/>
      <c r="L128" s="148"/>
      <c r="M128" s="303"/>
      <c r="N128" s="304"/>
      <c r="O128" s="303"/>
      <c r="P128" s="303"/>
      <c r="Q128" s="303"/>
      <c r="R128" s="148"/>
      <c r="S128" s="297"/>
      <c r="T128" s="297"/>
      <c r="U128" s="297"/>
      <c r="V128" s="297"/>
      <c r="W128"/>
      <c r="X128" s="73"/>
      <c r="Y128" s="73"/>
    </row>
    <row r="129" spans="1:27" ht="16.5" customHeight="1" x14ac:dyDescent="0.3">
      <c r="A129" s="300"/>
      <c r="D129"/>
      <c r="E129" s="568"/>
      <c r="F129" s="570"/>
      <c r="G129" s="570"/>
      <c r="H129" s="148"/>
      <c r="I129" s="148"/>
      <c r="J129" s="148"/>
      <c r="K129" s="148"/>
      <c r="L129" s="148"/>
      <c r="M129" s="303"/>
      <c r="N129" s="304"/>
      <c r="O129" s="303"/>
      <c r="P129" s="303"/>
      <c r="Q129" s="303"/>
      <c r="R129" s="148"/>
      <c r="S129" s="297"/>
      <c r="T129" s="297"/>
      <c r="U129" s="297"/>
      <c r="V129" s="297"/>
      <c r="W129"/>
      <c r="X129" s="73"/>
      <c r="Y129" s="73"/>
    </row>
    <row r="130" spans="1:27" x14ac:dyDescent="0.3">
      <c r="A130" s="300"/>
      <c r="B130" s="70"/>
      <c r="D130"/>
      <c r="E130"/>
      <c r="F130"/>
      <c r="G130"/>
      <c r="H130" s="148"/>
      <c r="I130" s="148"/>
      <c r="J130" s="148"/>
      <c r="K130" s="148"/>
      <c r="L130" s="148"/>
      <c r="M130" s="303"/>
      <c r="N130" s="304"/>
      <c r="O130" s="303"/>
      <c r="P130" s="303"/>
      <c r="Q130" s="303"/>
      <c r="R130" s="148"/>
      <c r="S130" s="297"/>
      <c r="T130" s="297"/>
      <c r="U130" s="297"/>
      <c r="V130" s="297"/>
      <c r="W130"/>
      <c r="X130" s="73"/>
      <c r="Y130" s="73"/>
    </row>
    <row r="131" spans="1:27" x14ac:dyDescent="0.3">
      <c r="A131" s="300"/>
      <c r="B131" s="298"/>
      <c r="C131" s="148"/>
      <c r="D131" s="295"/>
      <c r="E131" s="148"/>
      <c r="F131" s="295"/>
      <c r="G131" s="295"/>
      <c r="H131" s="148"/>
      <c r="I131" s="148"/>
      <c r="J131" s="148"/>
      <c r="K131" s="148"/>
      <c r="L131" s="148"/>
      <c r="M131" s="303"/>
      <c r="N131" s="304"/>
      <c r="O131" s="303"/>
      <c r="P131" s="303"/>
      <c r="Q131" s="303"/>
      <c r="R131" s="148"/>
      <c r="S131" s="297"/>
      <c r="T131" s="297"/>
      <c r="U131" s="297"/>
      <c r="V131" s="297"/>
      <c r="W131"/>
      <c r="X131" s="73"/>
      <c r="Y131" s="73"/>
    </row>
    <row r="132" spans="1:27" x14ac:dyDescent="0.3">
      <c r="A132" s="300"/>
      <c r="B132" s="298"/>
      <c r="C132" s="148"/>
      <c r="D132" s="295"/>
      <c r="E132" s="148"/>
      <c r="F132" s="295"/>
      <c r="G132" s="295"/>
      <c r="H132" s="148"/>
      <c r="I132" s="148"/>
      <c r="J132" s="148"/>
      <c r="K132" s="148"/>
      <c r="L132" s="148"/>
      <c r="M132" s="303"/>
      <c r="N132" s="304"/>
      <c r="O132" s="303"/>
      <c r="P132" s="303"/>
      <c r="Q132" s="303"/>
      <c r="R132" s="148"/>
      <c r="S132" s="297"/>
      <c r="T132" s="297"/>
      <c r="U132" s="297"/>
      <c r="V132" s="297"/>
      <c r="W132"/>
      <c r="X132" s="73"/>
      <c r="Y132" s="73"/>
    </row>
    <row r="133" spans="1:27" x14ac:dyDescent="0.3">
      <c r="A133" s="300"/>
      <c r="B133" s="298"/>
      <c r="C133" s="148"/>
      <c r="D133" s="295"/>
      <c r="E133" s="148"/>
      <c r="F133" s="295"/>
      <c r="G133" s="295"/>
      <c r="H133" s="148"/>
      <c r="I133" s="148"/>
      <c r="J133" s="148"/>
      <c r="K133" s="148"/>
      <c r="L133" s="148"/>
      <c r="M133" s="303"/>
      <c r="N133" s="304"/>
      <c r="O133" s="303"/>
      <c r="P133" s="303"/>
      <c r="Q133" s="303"/>
      <c r="R133" s="148"/>
      <c r="S133" s="297"/>
      <c r="T133" s="297"/>
      <c r="U133" s="297"/>
      <c r="V133" s="297"/>
      <c r="W133"/>
      <c r="X133" s="73"/>
      <c r="Y133" s="73"/>
    </row>
    <row r="134" spans="1:27" x14ac:dyDescent="0.3">
      <c r="A134" s="78"/>
      <c r="W134"/>
      <c r="X134"/>
    </row>
    <row r="135" spans="1:27" ht="109.5" customHeight="1" x14ac:dyDescent="0.3">
      <c r="A135" s="633" t="s">
        <v>3418</v>
      </c>
      <c r="B135" s="634"/>
      <c r="C135" s="634"/>
      <c r="D135" s="634"/>
      <c r="E135" s="634"/>
      <c r="F135" s="634"/>
      <c r="G135" s="634"/>
      <c r="H135" s="634"/>
      <c r="I135" s="634"/>
      <c r="J135" s="634"/>
      <c r="K135" s="634"/>
      <c r="L135" s="634"/>
      <c r="M135" s="634"/>
      <c r="N135" s="634"/>
      <c r="O135" s="634"/>
      <c r="P135" s="634"/>
      <c r="Q135" s="634"/>
      <c r="R135" s="634"/>
      <c r="S135" s="634"/>
      <c r="T135" s="634"/>
      <c r="U135" s="634"/>
      <c r="V135" s="634"/>
      <c r="W135" s="634"/>
      <c r="X135" s="634"/>
      <c r="Y135" s="634"/>
      <c r="Z135" s="634"/>
      <c r="AA135" s="635"/>
    </row>
    <row r="136" spans="1:27" ht="17.25" thickBot="1" x14ac:dyDescent="0.35">
      <c r="A136" s="636"/>
      <c r="B136" s="637"/>
      <c r="C136" s="637"/>
      <c r="D136" s="637"/>
      <c r="E136" s="637"/>
      <c r="F136" s="637"/>
      <c r="G136" s="637"/>
      <c r="H136" s="637"/>
      <c r="I136" s="637"/>
      <c r="J136" s="637"/>
      <c r="K136" s="637"/>
      <c r="L136" s="637"/>
      <c r="M136" s="637"/>
      <c r="N136" s="637"/>
      <c r="O136" s="637"/>
      <c r="P136" s="637"/>
      <c r="Q136" s="637"/>
      <c r="R136" s="637"/>
      <c r="S136" s="637"/>
      <c r="T136" s="637"/>
      <c r="U136" s="637"/>
      <c r="V136" s="637"/>
      <c r="W136" s="637"/>
      <c r="X136" s="637"/>
      <c r="Y136" s="637"/>
      <c r="Z136" s="637"/>
      <c r="AA136" s="638"/>
    </row>
    <row r="137" spans="1:27" ht="36.75" hidden="1" customHeight="1" thickBot="1" x14ac:dyDescent="0.35">
      <c r="A137" s="210"/>
      <c r="B137" s="554" t="s">
        <v>534</v>
      </c>
      <c r="C137" s="406"/>
      <c r="D137" s="406"/>
      <c r="E137" s="406"/>
      <c r="F137" s="406"/>
      <c r="G137" s="406"/>
      <c r="H137" s="406"/>
      <c r="I137" s="406"/>
      <c r="J137" s="406"/>
      <c r="K137" s="406"/>
      <c r="L137" s="406"/>
      <c r="M137" s="407"/>
      <c r="N137" s="212"/>
      <c r="O137" s="212" t="s">
        <v>3625</v>
      </c>
      <c r="P137" s="212"/>
      <c r="Q137" s="212"/>
      <c r="R137" s="212"/>
      <c r="S137" s="212"/>
      <c r="T137" s="212"/>
      <c r="U137" s="212"/>
      <c r="V137" s="212"/>
    </row>
    <row r="138" spans="1:27" s="73" customFormat="1" ht="39" hidden="1" customHeight="1" x14ac:dyDescent="0.3">
      <c r="A138" s="104"/>
      <c r="B138" s="93" t="s">
        <v>2908</v>
      </c>
      <c r="C138" s="75" t="s">
        <v>3423</v>
      </c>
      <c r="D138" s="110" t="s">
        <v>3434</v>
      </c>
      <c r="E138" s="76" t="s">
        <v>3424</v>
      </c>
      <c r="F138" s="180" t="s">
        <v>3425</v>
      </c>
      <c r="G138" s="179" t="s">
        <v>3569</v>
      </c>
      <c r="H138" s="181" t="s">
        <v>3427</v>
      </c>
      <c r="I138" s="182" t="s">
        <v>3426</v>
      </c>
      <c r="J138" s="111" t="s">
        <v>3428</v>
      </c>
      <c r="K138" s="546" t="s">
        <v>3435</v>
      </c>
      <c r="L138" s="547"/>
      <c r="M138" s="548"/>
      <c r="N138" s="442"/>
      <c r="O138" s="549" t="s">
        <v>3429</v>
      </c>
      <c r="P138" s="550"/>
      <c r="Q138" s="550"/>
      <c r="R138" s="550"/>
      <c r="S138" s="551"/>
      <c r="T138" s="281" t="s">
        <v>3430</v>
      </c>
      <c r="U138" s="112" t="s">
        <v>3431</v>
      </c>
      <c r="V138" s="284" t="s">
        <v>3432</v>
      </c>
      <c r="W138" s="316"/>
      <c r="X138" s="631" t="s">
        <v>3433</v>
      </c>
      <c r="Y138" s="632"/>
      <c r="Z138" s="511"/>
    </row>
    <row r="139" spans="1:27" ht="17.25" hidden="1" thickBot="1" x14ac:dyDescent="0.35">
      <c r="A139" s="151">
        <v>1</v>
      </c>
      <c r="B139" s="152" t="s">
        <v>3348</v>
      </c>
      <c r="C139" s="153" t="s">
        <v>3465</v>
      </c>
      <c r="D139" s="153" t="s">
        <v>3466</v>
      </c>
      <c r="E139" s="154" t="s">
        <v>3467</v>
      </c>
      <c r="F139" s="183">
        <v>345000</v>
      </c>
      <c r="G139" s="184">
        <v>10000</v>
      </c>
      <c r="H139" s="184">
        <v>12000</v>
      </c>
      <c r="I139" s="184">
        <v>466300</v>
      </c>
      <c r="J139" s="185">
        <f>I139*0.05</f>
        <v>23315</v>
      </c>
      <c r="K139" s="513" t="s">
        <v>3503</v>
      </c>
      <c r="L139" s="514"/>
      <c r="M139" s="515"/>
      <c r="N139" s="443"/>
      <c r="O139" s="439"/>
      <c r="P139" s="440"/>
      <c r="Q139" s="440"/>
      <c r="R139" s="440"/>
      <c r="S139" s="441"/>
      <c r="T139" s="87"/>
      <c r="U139" s="84"/>
      <c r="V139" s="287" t="s">
        <v>3570</v>
      </c>
      <c r="X139" s="4" t="s">
        <v>3581</v>
      </c>
    </row>
    <row r="140" spans="1:27" ht="17.25" hidden="1" thickBot="1" x14ac:dyDescent="0.35">
      <c r="A140" s="163">
        <v>2</v>
      </c>
      <c r="B140" s="164" t="s">
        <v>3468</v>
      </c>
      <c r="C140" s="165" t="s">
        <v>3469</v>
      </c>
      <c r="D140" s="165" t="s">
        <v>3470</v>
      </c>
      <c r="E140" s="166" t="s">
        <v>3467</v>
      </c>
      <c r="F140" s="195">
        <v>345000</v>
      </c>
      <c r="G140" s="196"/>
      <c r="H140" s="196"/>
      <c r="I140" s="197">
        <f t="shared" ref="I140:I147" si="2">F140+G140+H140</f>
        <v>345000</v>
      </c>
      <c r="J140" s="198">
        <f t="shared" ref="J140:J145" si="3">I140*0.05</f>
        <v>17250</v>
      </c>
      <c r="K140" s="500"/>
      <c r="L140" s="501"/>
      <c r="M140" s="502"/>
      <c r="N140" s="443"/>
      <c r="O140" s="439"/>
      <c r="P140" s="440"/>
      <c r="Q140" s="440"/>
      <c r="R140" s="440"/>
      <c r="S140" s="441"/>
      <c r="T140" s="87"/>
      <c r="U140" s="84"/>
      <c r="V140" s="280" t="s">
        <v>3571</v>
      </c>
      <c r="X140" s="318" t="s">
        <v>3622</v>
      </c>
      <c r="Y140" s="236"/>
      <c r="Z140" s="236"/>
    </row>
    <row r="141" spans="1:27" ht="17.25" hidden="1" thickBot="1" x14ac:dyDescent="0.35">
      <c r="A141" s="155">
        <v>3</v>
      </c>
      <c r="B141" s="156" t="s">
        <v>975</v>
      </c>
      <c r="C141" s="157" t="s">
        <v>3471</v>
      </c>
      <c r="D141" s="157" t="s">
        <v>3472</v>
      </c>
      <c r="E141" s="158" t="s">
        <v>3467</v>
      </c>
      <c r="F141" s="186">
        <v>345000</v>
      </c>
      <c r="G141" s="187">
        <v>0</v>
      </c>
      <c r="H141" s="187">
        <v>0</v>
      </c>
      <c r="I141" s="187">
        <v>92800</v>
      </c>
      <c r="J141" s="188">
        <f t="shared" si="3"/>
        <v>4640</v>
      </c>
      <c r="K141" s="497" t="s">
        <v>3504</v>
      </c>
      <c r="L141" s="498"/>
      <c r="M141" s="499"/>
      <c r="N141" s="443"/>
      <c r="O141" s="439"/>
      <c r="P141" s="440"/>
      <c r="Q141" s="440"/>
      <c r="R141" s="440"/>
      <c r="S141" s="441"/>
      <c r="T141" s="87"/>
      <c r="U141" s="84"/>
      <c r="V141" s="282" t="s">
        <v>3572</v>
      </c>
      <c r="X141" s="305" t="s">
        <v>3582</v>
      </c>
      <c r="Y141" s="237"/>
      <c r="Z141" s="237"/>
    </row>
    <row r="142" spans="1:27" ht="17.25" hidden="1" thickBot="1" x14ac:dyDescent="0.35">
      <c r="A142" s="159">
        <v>4</v>
      </c>
      <c r="B142" s="463" t="s">
        <v>2129</v>
      </c>
      <c r="C142" s="465" t="s">
        <v>3473</v>
      </c>
      <c r="D142" s="160" t="s">
        <v>3474</v>
      </c>
      <c r="E142" s="467" t="s">
        <v>3475</v>
      </c>
      <c r="F142" s="189">
        <v>299000</v>
      </c>
      <c r="G142" s="190">
        <v>90000</v>
      </c>
      <c r="H142" s="190">
        <v>0</v>
      </c>
      <c r="I142" s="190">
        <f t="shared" si="2"/>
        <v>389000</v>
      </c>
      <c r="J142" s="191">
        <f>I142*0.05</f>
        <v>19450</v>
      </c>
      <c r="K142" s="516"/>
      <c r="L142" s="517"/>
      <c r="M142" s="518"/>
      <c r="N142" s="443"/>
      <c r="O142" s="439"/>
      <c r="P142" s="440"/>
      <c r="Q142" s="440"/>
      <c r="R142" s="440"/>
      <c r="S142" s="441"/>
      <c r="T142" s="87"/>
      <c r="U142" s="84"/>
      <c r="V142" s="628" t="s">
        <v>3573</v>
      </c>
      <c r="X142" s="305" t="s">
        <v>3582</v>
      </c>
      <c r="Y142" s="237"/>
      <c r="Z142" s="237"/>
    </row>
    <row r="143" spans="1:27" ht="17.25" hidden="1" thickBot="1" x14ac:dyDescent="0.35">
      <c r="A143" s="161">
        <v>5</v>
      </c>
      <c r="B143" s="464"/>
      <c r="C143" s="466"/>
      <c r="D143" s="162" t="s">
        <v>3476</v>
      </c>
      <c r="E143" s="468"/>
      <c r="F143" s="192">
        <v>299000</v>
      </c>
      <c r="G143" s="193">
        <v>0</v>
      </c>
      <c r="H143" s="193">
        <v>0</v>
      </c>
      <c r="I143" s="193">
        <f t="shared" si="2"/>
        <v>299000</v>
      </c>
      <c r="J143" s="194">
        <f t="shared" si="3"/>
        <v>14950</v>
      </c>
      <c r="K143" s="519"/>
      <c r="L143" s="520"/>
      <c r="M143" s="521"/>
      <c r="N143" s="443"/>
      <c r="O143" s="439"/>
      <c r="P143" s="440"/>
      <c r="Q143" s="440"/>
      <c r="R143" s="440"/>
      <c r="S143" s="441"/>
      <c r="T143" s="87"/>
      <c r="U143" s="84"/>
      <c r="V143" s="629"/>
      <c r="X143" s="305" t="s">
        <v>3582</v>
      </c>
      <c r="Y143" s="237"/>
      <c r="Z143" s="237"/>
    </row>
    <row r="144" spans="1:27" ht="17.25" hidden="1" customHeight="1" x14ac:dyDescent="0.3">
      <c r="A144" s="159">
        <v>6</v>
      </c>
      <c r="B144" s="463" t="s">
        <v>3477</v>
      </c>
      <c r="C144" s="465" t="s">
        <v>3478</v>
      </c>
      <c r="D144" s="160" t="s">
        <v>3479</v>
      </c>
      <c r="E144" s="467" t="s">
        <v>3475</v>
      </c>
      <c r="F144" s="189">
        <v>299000</v>
      </c>
      <c r="G144" s="190"/>
      <c r="H144" s="190">
        <v>71800</v>
      </c>
      <c r="I144" s="190">
        <f t="shared" si="2"/>
        <v>370800</v>
      </c>
      <c r="J144" s="191">
        <f>I144*0.05</f>
        <v>18540</v>
      </c>
      <c r="K144" s="516"/>
      <c r="L144" s="517"/>
      <c r="M144" s="518"/>
      <c r="N144" s="443"/>
      <c r="O144" s="439"/>
      <c r="P144" s="440"/>
      <c r="Q144" s="440"/>
      <c r="R144" s="440"/>
      <c r="S144" s="441"/>
      <c r="T144" s="87"/>
      <c r="U144" s="84"/>
      <c r="V144" s="628" t="s">
        <v>3572</v>
      </c>
      <c r="X144" s="512" t="s">
        <v>3624</v>
      </c>
      <c r="Y144" s="512"/>
      <c r="Z144" s="512"/>
    </row>
    <row r="145" spans="1:27" ht="17.25" hidden="1" thickBot="1" x14ac:dyDescent="0.35">
      <c r="A145" s="161">
        <v>7</v>
      </c>
      <c r="B145" s="464"/>
      <c r="C145" s="466"/>
      <c r="D145" s="162" t="s">
        <v>3480</v>
      </c>
      <c r="E145" s="468"/>
      <c r="F145" s="192">
        <v>299000</v>
      </c>
      <c r="G145" s="193"/>
      <c r="H145" s="193">
        <v>12000</v>
      </c>
      <c r="I145" s="193">
        <f t="shared" si="2"/>
        <v>311000</v>
      </c>
      <c r="J145" s="194">
        <f t="shared" si="3"/>
        <v>15550</v>
      </c>
      <c r="K145" s="519"/>
      <c r="L145" s="520"/>
      <c r="M145" s="521"/>
      <c r="N145" s="443"/>
      <c r="O145" s="439"/>
      <c r="P145" s="440"/>
      <c r="Q145" s="440"/>
      <c r="R145" s="440"/>
      <c r="S145" s="441"/>
      <c r="T145" s="87"/>
      <c r="U145" s="84"/>
      <c r="V145" s="629"/>
      <c r="X145" s="512"/>
      <c r="Y145" s="512"/>
      <c r="Z145" s="512"/>
    </row>
    <row r="146" spans="1:27" ht="17.25" hidden="1" thickBot="1" x14ac:dyDescent="0.35">
      <c r="A146" s="151">
        <v>8</v>
      </c>
      <c r="B146" s="152" t="s">
        <v>3481</v>
      </c>
      <c r="C146" s="153" t="s">
        <v>3482</v>
      </c>
      <c r="D146" s="153" t="s">
        <v>3483</v>
      </c>
      <c r="E146" s="154" t="s">
        <v>3467</v>
      </c>
      <c r="F146" s="183">
        <v>345000</v>
      </c>
      <c r="G146" s="184">
        <v>0</v>
      </c>
      <c r="H146" s="184">
        <v>0</v>
      </c>
      <c r="I146" s="184">
        <f t="shared" si="2"/>
        <v>345000</v>
      </c>
      <c r="J146" s="185">
        <f>I146*0.05</f>
        <v>17250</v>
      </c>
      <c r="K146" s="497"/>
      <c r="L146" s="498"/>
      <c r="M146" s="499"/>
      <c r="N146" s="443"/>
      <c r="O146" s="439"/>
      <c r="P146" s="440"/>
      <c r="Q146" s="440"/>
      <c r="R146" s="440"/>
      <c r="S146" s="441"/>
      <c r="T146" s="87"/>
      <c r="U146" s="84"/>
      <c r="V146" s="282" t="s">
        <v>3566</v>
      </c>
      <c r="X146" s="305" t="s">
        <v>3583</v>
      </c>
      <c r="Y146" s="237"/>
      <c r="Z146" s="237"/>
    </row>
    <row r="147" spans="1:27" ht="17.25" hidden="1" thickBot="1" x14ac:dyDescent="0.35">
      <c r="A147" s="163">
        <v>9</v>
      </c>
      <c r="B147" s="164" t="s">
        <v>2003</v>
      </c>
      <c r="C147" s="165" t="s">
        <v>3484</v>
      </c>
      <c r="D147" s="165" t="s">
        <v>3485</v>
      </c>
      <c r="E147" s="166" t="s">
        <v>3467</v>
      </c>
      <c r="F147" s="195">
        <v>345000</v>
      </c>
      <c r="G147" s="196">
        <v>20000</v>
      </c>
      <c r="H147" s="196"/>
      <c r="I147" s="197">
        <f t="shared" si="2"/>
        <v>365000</v>
      </c>
      <c r="J147" s="198">
        <f>I147*0.05</f>
        <v>18250</v>
      </c>
      <c r="K147" s="500"/>
      <c r="L147" s="501"/>
      <c r="M147" s="502"/>
      <c r="N147" s="443"/>
      <c r="O147" s="439"/>
      <c r="P147" s="440"/>
      <c r="Q147" s="440"/>
      <c r="R147" s="440"/>
      <c r="S147" s="441"/>
      <c r="T147" s="87"/>
      <c r="U147" s="84"/>
      <c r="V147" s="280" t="s">
        <v>3575</v>
      </c>
      <c r="X147" s="4" t="s">
        <v>3584</v>
      </c>
    </row>
    <row r="148" spans="1:27" ht="17.25" hidden="1" thickBot="1" x14ac:dyDescent="0.35">
      <c r="A148" s="167">
        <v>10</v>
      </c>
      <c r="B148" s="168" t="s">
        <v>3486</v>
      </c>
      <c r="C148" s="169" t="s">
        <v>3487</v>
      </c>
      <c r="D148" s="169" t="s">
        <v>3488</v>
      </c>
      <c r="E148" s="170" t="s">
        <v>3467</v>
      </c>
      <c r="F148" s="199">
        <v>345000</v>
      </c>
      <c r="G148" s="200"/>
      <c r="H148" s="200">
        <v>8000</v>
      </c>
      <c r="I148" s="200">
        <f>F148+G148+H148</f>
        <v>353000</v>
      </c>
      <c r="J148" s="201">
        <f>I148*0.05</f>
        <v>17650</v>
      </c>
      <c r="K148" s="497" t="s">
        <v>3505</v>
      </c>
      <c r="L148" s="498"/>
      <c r="M148" s="499"/>
      <c r="N148" s="443"/>
      <c r="O148" s="439"/>
      <c r="P148" s="440"/>
      <c r="Q148" s="440"/>
      <c r="R148" s="440"/>
      <c r="S148" s="441"/>
      <c r="T148" s="87"/>
      <c r="U148" s="84"/>
      <c r="V148" s="282" t="s">
        <v>3566</v>
      </c>
      <c r="X148" s="4" t="s">
        <v>3590</v>
      </c>
    </row>
    <row r="149" spans="1:27" ht="17.25" hidden="1" thickBot="1" x14ac:dyDescent="0.35">
      <c r="A149" s="171">
        <v>11</v>
      </c>
      <c r="B149" s="172" t="s">
        <v>3489</v>
      </c>
      <c r="C149" s="173" t="s">
        <v>3490</v>
      </c>
      <c r="D149" s="173" t="s">
        <v>3491</v>
      </c>
      <c r="E149" s="174" t="s">
        <v>3467</v>
      </c>
      <c r="F149" s="202">
        <v>345000</v>
      </c>
      <c r="G149" s="203">
        <v>21000</v>
      </c>
      <c r="H149" s="203">
        <v>0</v>
      </c>
      <c r="I149" s="203">
        <v>370000</v>
      </c>
      <c r="J149" s="204">
        <v>18500</v>
      </c>
      <c r="K149" s="503" t="s">
        <v>2871</v>
      </c>
      <c r="L149" s="504"/>
      <c r="M149" s="505"/>
      <c r="N149" s="443"/>
      <c r="O149" s="439"/>
      <c r="P149" s="440"/>
      <c r="Q149" s="440"/>
      <c r="R149" s="440"/>
      <c r="S149" s="441"/>
      <c r="T149" s="87"/>
      <c r="U149" s="84"/>
      <c r="V149" s="283" t="s">
        <v>3576</v>
      </c>
      <c r="X149" s="4" t="s">
        <v>3585</v>
      </c>
    </row>
    <row r="150" spans="1:27" ht="17.25" hidden="1" thickBot="1" x14ac:dyDescent="0.35">
      <c r="A150" s="175">
        <v>12</v>
      </c>
      <c r="B150" s="157" t="s">
        <v>3492</v>
      </c>
      <c r="C150" s="157" t="s">
        <v>3493</v>
      </c>
      <c r="D150" s="157" t="s">
        <v>3494</v>
      </c>
      <c r="E150" s="157" t="s">
        <v>3467</v>
      </c>
      <c r="F150" s="187">
        <v>345000</v>
      </c>
      <c r="G150" s="187">
        <v>196000</v>
      </c>
      <c r="H150" s="187">
        <v>88000</v>
      </c>
      <c r="I150" s="187">
        <v>541000</v>
      </c>
      <c r="J150" s="188">
        <f>I150*0.05</f>
        <v>27050</v>
      </c>
      <c r="K150" s="497"/>
      <c r="L150" s="498"/>
      <c r="M150" s="506"/>
      <c r="N150" s="443"/>
      <c r="O150" s="439"/>
      <c r="P150" s="440"/>
      <c r="Q150" s="440"/>
      <c r="R150" s="440"/>
      <c r="S150" s="441"/>
      <c r="T150" s="87"/>
      <c r="U150" s="84"/>
      <c r="V150" s="282" t="s">
        <v>3577</v>
      </c>
      <c r="X150" s="4" t="s">
        <v>3586</v>
      </c>
    </row>
    <row r="151" spans="1:27" ht="17.25" hidden="1" thickBot="1" x14ac:dyDescent="0.35">
      <c r="A151" s="176">
        <v>13</v>
      </c>
      <c r="B151" s="177" t="s">
        <v>3366</v>
      </c>
      <c r="C151" s="177" t="s">
        <v>3495</v>
      </c>
      <c r="D151" s="177" t="s">
        <v>3496</v>
      </c>
      <c r="E151" s="177" t="s">
        <v>3467</v>
      </c>
      <c r="F151" s="205">
        <v>345000</v>
      </c>
      <c r="G151" s="206">
        <v>295350</v>
      </c>
      <c r="H151" s="206">
        <v>91350</v>
      </c>
      <c r="I151" s="206">
        <v>640350</v>
      </c>
      <c r="J151" s="207">
        <v>32010</v>
      </c>
      <c r="K151" s="497" t="s">
        <v>3506</v>
      </c>
      <c r="L151" s="498"/>
      <c r="M151" s="499"/>
      <c r="N151" s="443"/>
      <c r="O151" s="439"/>
      <c r="P151" s="440"/>
      <c r="Q151" s="440"/>
      <c r="R151" s="440"/>
      <c r="S151" s="441"/>
      <c r="T151" s="87"/>
      <c r="U151" s="84"/>
      <c r="V151" s="282" t="s">
        <v>3578</v>
      </c>
      <c r="X151" s="4" t="s">
        <v>3587</v>
      </c>
    </row>
    <row r="152" spans="1:27" ht="17.25" hidden="1" thickBot="1" x14ac:dyDescent="0.35">
      <c r="A152" s="175">
        <v>14</v>
      </c>
      <c r="B152" s="157" t="s">
        <v>3497</v>
      </c>
      <c r="C152" s="157" t="s">
        <v>3498</v>
      </c>
      <c r="D152" s="157" t="s">
        <v>3499</v>
      </c>
      <c r="E152" s="157" t="s">
        <v>3467</v>
      </c>
      <c r="F152" s="187">
        <v>345000</v>
      </c>
      <c r="G152" s="187">
        <v>0</v>
      </c>
      <c r="H152" s="187">
        <v>0</v>
      </c>
      <c r="I152" s="187">
        <v>345000</v>
      </c>
      <c r="J152" s="188">
        <v>17250</v>
      </c>
      <c r="K152" s="497" t="s">
        <v>3507</v>
      </c>
      <c r="L152" s="498"/>
      <c r="M152" s="506"/>
      <c r="N152" s="443"/>
      <c r="O152" s="439"/>
      <c r="P152" s="440"/>
      <c r="Q152" s="440"/>
      <c r="R152" s="440"/>
      <c r="S152" s="441"/>
      <c r="T152" s="87"/>
      <c r="U152" s="84"/>
      <c r="V152" s="282" t="s">
        <v>3579</v>
      </c>
      <c r="X152" s="4" t="s">
        <v>3588</v>
      </c>
    </row>
    <row r="153" spans="1:27" ht="18" hidden="1" thickBot="1" x14ac:dyDescent="0.35">
      <c r="A153" s="178">
        <v>15</v>
      </c>
      <c r="B153" s="152" t="s">
        <v>3500</v>
      </c>
      <c r="C153" s="153" t="s">
        <v>3501</v>
      </c>
      <c r="D153" s="153" t="s">
        <v>3502</v>
      </c>
      <c r="E153" s="154" t="s">
        <v>3467</v>
      </c>
      <c r="F153" s="183">
        <v>345000</v>
      </c>
      <c r="G153" s="187">
        <v>80000</v>
      </c>
      <c r="H153" s="187">
        <v>48750</v>
      </c>
      <c r="I153" s="208">
        <v>473750</v>
      </c>
      <c r="J153" s="188">
        <v>23687</v>
      </c>
      <c r="K153" s="497" t="s">
        <v>2871</v>
      </c>
      <c r="L153" s="498"/>
      <c r="M153" s="506"/>
      <c r="N153" s="443"/>
      <c r="O153" s="439"/>
      <c r="P153" s="440"/>
      <c r="Q153" s="440"/>
      <c r="R153" s="440"/>
      <c r="S153" s="441"/>
      <c r="T153" s="87"/>
      <c r="U153" s="84"/>
      <c r="V153" s="282" t="s">
        <v>3580</v>
      </c>
      <c r="X153" s="4" t="s">
        <v>3589</v>
      </c>
    </row>
    <row r="154" spans="1:27" ht="17.25" hidden="1" thickBot="1" x14ac:dyDescent="0.35">
      <c r="A154" s="244">
        <v>16</v>
      </c>
      <c r="B154" s="245" t="s">
        <v>2206</v>
      </c>
      <c r="C154" s="238" t="s">
        <v>3597</v>
      </c>
      <c r="D154" s="246" t="s">
        <v>3598</v>
      </c>
      <c r="E154" s="154" t="s">
        <v>3467</v>
      </c>
      <c r="F154" s="247">
        <v>345000</v>
      </c>
      <c r="G154" s="248"/>
      <c r="H154" s="249">
        <v>8000</v>
      </c>
      <c r="I154" s="243">
        <f t="shared" ref="I154" si="4">F154+G154+H154</f>
        <v>353000</v>
      </c>
      <c r="J154" s="194">
        <f t="shared" ref="J154" si="5">I154*0.05</f>
        <v>17650</v>
      </c>
      <c r="K154" s="507" t="s">
        <v>3599</v>
      </c>
      <c r="L154" s="508"/>
      <c r="M154" s="509"/>
      <c r="N154" s="443"/>
      <c r="O154" s="439"/>
      <c r="P154" s="440"/>
      <c r="Q154" s="440"/>
      <c r="R154" s="440"/>
      <c r="S154" s="441"/>
      <c r="T154" s="87"/>
      <c r="U154" s="84"/>
      <c r="V154" s="285"/>
      <c r="X154" s="319" t="s">
        <v>3623</v>
      </c>
      <c r="Y154" s="250"/>
    </row>
    <row r="155" spans="1:27" ht="17.25" hidden="1" thickBot="1" x14ac:dyDescent="0.35">
      <c r="A155" s="79">
        <v>17</v>
      </c>
      <c r="B155" s="121"/>
      <c r="C155" s="122"/>
      <c r="D155" s="119"/>
      <c r="E155" s="123"/>
      <c r="F155" s="124"/>
      <c r="G155" s="125"/>
      <c r="H155" s="126"/>
      <c r="I155" s="127"/>
      <c r="J155" s="128"/>
      <c r="K155" s="469"/>
      <c r="L155" s="477"/>
      <c r="M155" s="473"/>
      <c r="N155" s="443"/>
      <c r="O155" s="533"/>
      <c r="P155" s="525"/>
      <c r="Q155" s="525"/>
      <c r="R155" s="525"/>
      <c r="S155" s="537"/>
      <c r="T155" s="279"/>
      <c r="U155" s="122"/>
      <c r="V155" s="279"/>
      <c r="Z155" s="209"/>
    </row>
    <row r="156" spans="1:27" ht="17.25" hidden="1" thickBot="1" x14ac:dyDescent="0.35">
      <c r="A156" s="79"/>
      <c r="B156" s="235" t="s">
        <v>3595</v>
      </c>
      <c r="C156" s="557">
        <v>5623200</v>
      </c>
      <c r="D156" s="557"/>
      <c r="E156" s="557"/>
      <c r="F156" s="557"/>
      <c r="G156" s="557"/>
      <c r="H156" s="557"/>
      <c r="I156" s="557"/>
      <c r="J156" s="557"/>
      <c r="K156" s="557"/>
      <c r="L156" s="557"/>
      <c r="M156" s="558"/>
      <c r="N156" s="443"/>
      <c r="O156" s="147"/>
      <c r="P156" s="148"/>
      <c r="Q156" s="148"/>
      <c r="R156" s="148"/>
      <c r="S156" s="148"/>
      <c r="T156" s="148"/>
      <c r="U156" s="148"/>
      <c r="V156" s="148"/>
      <c r="X156" s="12"/>
      <c r="Z156" s="209"/>
    </row>
    <row r="157" spans="1:27" ht="17.25" customHeight="1" x14ac:dyDescent="0.3">
      <c r="A157" s="79"/>
      <c r="B157" s="618" t="s">
        <v>1050</v>
      </c>
      <c r="C157" s="619"/>
      <c r="D157" s="619"/>
      <c r="E157" s="619"/>
      <c r="F157" s="619"/>
      <c r="G157" s="619"/>
      <c r="H157" s="619"/>
      <c r="I157" s="619"/>
      <c r="J157" s="619"/>
      <c r="K157" s="619"/>
      <c r="L157" s="619"/>
      <c r="M157" s="620"/>
      <c r="N157" s="443"/>
      <c r="O157" s="612" t="s">
        <v>3429</v>
      </c>
      <c r="P157" s="613"/>
      <c r="Q157" s="613"/>
      <c r="R157" s="613"/>
      <c r="S157" s="614"/>
      <c r="T157" s="624" t="s">
        <v>3430</v>
      </c>
      <c r="U157" s="626" t="s">
        <v>3431</v>
      </c>
      <c r="V157" s="607" t="s">
        <v>3432</v>
      </c>
      <c r="W157" s="642" t="s">
        <v>3636</v>
      </c>
      <c r="X157" s="643"/>
      <c r="Y157" s="643"/>
      <c r="Z157" s="643"/>
      <c r="AA157" s="644"/>
    </row>
    <row r="158" spans="1:27" ht="17.25" customHeight="1" thickBot="1" x14ac:dyDescent="0.35">
      <c r="A158" s="79"/>
      <c r="B158" s="621"/>
      <c r="C158" s="622"/>
      <c r="D158" s="622"/>
      <c r="E158" s="622"/>
      <c r="F158" s="622"/>
      <c r="G158" s="622"/>
      <c r="H158" s="622"/>
      <c r="I158" s="622"/>
      <c r="J158" s="622"/>
      <c r="K158" s="622"/>
      <c r="L158" s="622"/>
      <c r="M158" s="623"/>
      <c r="N158" s="443"/>
      <c r="O158" s="615"/>
      <c r="P158" s="616"/>
      <c r="Q158" s="616"/>
      <c r="R158" s="616"/>
      <c r="S158" s="617"/>
      <c r="T158" s="625"/>
      <c r="U158" s="627"/>
      <c r="V158" s="608"/>
      <c r="W158" s="645"/>
      <c r="X158" s="646"/>
      <c r="Y158" s="646"/>
      <c r="Z158" s="646"/>
      <c r="AA158" s="647"/>
    </row>
    <row r="159" spans="1:27" ht="17.25" thickBot="1" x14ac:dyDescent="0.35">
      <c r="A159" s="79">
        <v>1</v>
      </c>
      <c r="B159" s="253" t="s">
        <v>583</v>
      </c>
      <c r="C159" s="254" t="s">
        <v>3533</v>
      </c>
      <c r="D159" s="254" t="s">
        <v>3537</v>
      </c>
      <c r="E159" s="255" t="s">
        <v>3467</v>
      </c>
      <c r="F159" s="256">
        <v>399000</v>
      </c>
      <c r="G159" s="257">
        <v>10000</v>
      </c>
      <c r="H159" s="257"/>
      <c r="I159" s="258">
        <v>409000</v>
      </c>
      <c r="J159" s="259">
        <f>I159*0.05</f>
        <v>20450</v>
      </c>
      <c r="K159" s="609"/>
      <c r="L159" s="610"/>
      <c r="M159" s="611"/>
      <c r="N159" s="443"/>
      <c r="O159" s="482" t="s">
        <v>3561</v>
      </c>
      <c r="P159" s="483"/>
      <c r="Q159" s="483"/>
      <c r="R159" s="483"/>
      <c r="S159" s="484"/>
      <c r="T159" s="149"/>
      <c r="U159" s="81" t="s">
        <v>3564</v>
      </c>
      <c r="V159" s="130" t="s">
        <v>3566</v>
      </c>
      <c r="W159" s="392" t="s">
        <v>3637</v>
      </c>
      <c r="X159" s="393"/>
      <c r="Y159" s="393"/>
      <c r="Z159" s="393"/>
      <c r="AA159" s="412"/>
    </row>
    <row r="160" spans="1:27" ht="17.25" thickBot="1" x14ac:dyDescent="0.35">
      <c r="A160" s="79">
        <v>2</v>
      </c>
      <c r="B160" s="226" t="s">
        <v>3530</v>
      </c>
      <c r="C160" s="227" t="s">
        <v>3534</v>
      </c>
      <c r="D160" s="228" t="s">
        <v>3538</v>
      </c>
      <c r="E160" s="229" t="s">
        <v>3467</v>
      </c>
      <c r="F160" s="230">
        <v>399000</v>
      </c>
      <c r="G160" s="231"/>
      <c r="H160" s="231"/>
      <c r="I160" s="232">
        <v>399000</v>
      </c>
      <c r="J160" s="233">
        <f t="shared" ref="J160:J169" si="6">I160*0.05</f>
        <v>19950</v>
      </c>
      <c r="K160" s="522" t="s">
        <v>3635</v>
      </c>
      <c r="L160" s="523"/>
      <c r="M160" s="524"/>
      <c r="N160" s="443"/>
      <c r="O160" s="445" t="s">
        <v>3593</v>
      </c>
      <c r="P160" s="446"/>
      <c r="Q160" s="446"/>
      <c r="R160" s="446"/>
      <c r="S160" s="447"/>
      <c r="T160" s="130"/>
      <c r="U160" s="81" t="s">
        <v>3564</v>
      </c>
      <c r="V160" s="87" t="s">
        <v>3567</v>
      </c>
      <c r="W160" s="392" t="s">
        <v>3593</v>
      </c>
      <c r="X160" s="393"/>
      <c r="Y160" s="393"/>
      <c r="Z160" s="393"/>
      <c r="AA160" s="412"/>
    </row>
    <row r="161" spans="1:28" ht="16.5" customHeight="1" x14ac:dyDescent="0.3">
      <c r="A161" s="79">
        <v>3</v>
      </c>
      <c r="B161" s="491" t="s">
        <v>3531</v>
      </c>
      <c r="C161" s="494" t="s">
        <v>3535</v>
      </c>
      <c r="D161" s="100" t="s">
        <v>3539</v>
      </c>
      <c r="E161" s="539" t="s">
        <v>3543</v>
      </c>
      <c r="F161" s="216">
        <v>349000</v>
      </c>
      <c r="G161" s="217">
        <v>10000</v>
      </c>
      <c r="H161" s="217">
        <v>99000</v>
      </c>
      <c r="I161" s="218">
        <f>F161+G161+H161</f>
        <v>458000</v>
      </c>
      <c r="J161" s="219">
        <f t="shared" si="6"/>
        <v>22900</v>
      </c>
      <c r="K161" s="448" t="s">
        <v>3559</v>
      </c>
      <c r="L161" s="525"/>
      <c r="M161" s="526"/>
      <c r="N161" s="443"/>
      <c r="O161" s="595" t="s">
        <v>3593</v>
      </c>
      <c r="P161" s="596"/>
      <c r="Q161" s="596"/>
      <c r="R161" s="596"/>
      <c r="S161" s="597"/>
      <c r="T161" s="130"/>
      <c r="U161" s="477" t="s">
        <v>3565</v>
      </c>
      <c r="V161" s="475" t="s">
        <v>3568</v>
      </c>
      <c r="W161" s="392" t="s">
        <v>3593</v>
      </c>
      <c r="X161" s="393"/>
      <c r="Y161" s="393"/>
      <c r="Z161" s="393"/>
      <c r="AA161" s="412"/>
    </row>
    <row r="162" spans="1:28" x14ac:dyDescent="0.3">
      <c r="A162" s="79">
        <v>4</v>
      </c>
      <c r="B162" s="492"/>
      <c r="C162" s="495"/>
      <c r="D162" s="129" t="s">
        <v>3540</v>
      </c>
      <c r="E162" s="540"/>
      <c r="F162" s="146">
        <v>349000</v>
      </c>
      <c r="G162" s="108">
        <v>10000</v>
      </c>
      <c r="H162" s="108">
        <v>99000</v>
      </c>
      <c r="I162" s="213">
        <f t="shared" ref="I162:I163" si="7">F162+G162+H162</f>
        <v>458000</v>
      </c>
      <c r="J162" s="109">
        <f t="shared" si="6"/>
        <v>22900</v>
      </c>
      <c r="K162" s="527"/>
      <c r="L162" s="528"/>
      <c r="M162" s="529"/>
      <c r="N162" s="443"/>
      <c r="O162" s="601"/>
      <c r="P162" s="602"/>
      <c r="Q162" s="602"/>
      <c r="R162" s="602"/>
      <c r="S162" s="603"/>
      <c r="T162" s="130"/>
      <c r="U162" s="544"/>
      <c r="V162" s="545"/>
      <c r="W162" s="392" t="s">
        <v>3593</v>
      </c>
      <c r="X162" s="393"/>
      <c r="Y162" s="393"/>
      <c r="Z162" s="393"/>
      <c r="AA162" s="412"/>
    </row>
    <row r="163" spans="1:28" ht="17.25" thickBot="1" x14ac:dyDescent="0.35">
      <c r="A163" s="79">
        <v>5</v>
      </c>
      <c r="B163" s="493"/>
      <c r="C163" s="496"/>
      <c r="D163" s="214" t="s">
        <v>3541</v>
      </c>
      <c r="E163" s="541"/>
      <c r="F163" s="220">
        <v>349000</v>
      </c>
      <c r="G163" s="221"/>
      <c r="H163" s="221">
        <v>99000</v>
      </c>
      <c r="I163" s="222">
        <f t="shared" si="7"/>
        <v>448000</v>
      </c>
      <c r="J163" s="223">
        <f t="shared" si="6"/>
        <v>22400</v>
      </c>
      <c r="K163" s="530"/>
      <c r="L163" s="531"/>
      <c r="M163" s="532"/>
      <c r="N163" s="443"/>
      <c r="O163" s="598"/>
      <c r="P163" s="599"/>
      <c r="Q163" s="599"/>
      <c r="R163" s="599"/>
      <c r="S163" s="600"/>
      <c r="T163" s="130"/>
      <c r="U163" s="478"/>
      <c r="V163" s="476"/>
      <c r="W163" s="392" t="s">
        <v>3593</v>
      </c>
      <c r="X163" s="393"/>
      <c r="Y163" s="393"/>
      <c r="Z163" s="393"/>
      <c r="AA163" s="412"/>
    </row>
    <row r="164" spans="1:28" x14ac:dyDescent="0.3">
      <c r="A164" s="79">
        <v>6</v>
      </c>
      <c r="B164" s="651" t="s">
        <v>3398</v>
      </c>
      <c r="C164" s="652" t="s">
        <v>3536</v>
      </c>
      <c r="D164" s="246" t="s">
        <v>3592</v>
      </c>
      <c r="E164" s="653" t="s">
        <v>3544</v>
      </c>
      <c r="F164" s="654">
        <v>369000</v>
      </c>
      <c r="G164" s="655">
        <v>0</v>
      </c>
      <c r="H164" s="655">
        <v>314000</v>
      </c>
      <c r="I164" s="656">
        <f>F164+G164+H164</f>
        <v>683000</v>
      </c>
      <c r="J164" s="657">
        <f t="shared" si="6"/>
        <v>34150</v>
      </c>
      <c r="K164" s="589" t="s">
        <v>3560</v>
      </c>
      <c r="L164" s="590"/>
      <c r="M164" s="591"/>
      <c r="N164" s="443"/>
      <c r="O164" s="595" t="s">
        <v>3593</v>
      </c>
      <c r="P164" s="596"/>
      <c r="Q164" s="596"/>
      <c r="R164" s="596"/>
      <c r="S164" s="597"/>
      <c r="T164" s="391"/>
      <c r="U164" s="386"/>
      <c r="V164" s="391"/>
      <c r="W164" s="648" t="s">
        <v>3593</v>
      </c>
      <c r="X164" s="649"/>
      <c r="Y164" s="649"/>
      <c r="Z164" s="649"/>
      <c r="AA164" s="650"/>
      <c r="AB164" s="581" t="s">
        <v>3783</v>
      </c>
    </row>
    <row r="165" spans="1:28" ht="17.25" thickBot="1" x14ac:dyDescent="0.35">
      <c r="A165" s="79">
        <v>7</v>
      </c>
      <c r="B165" s="658"/>
      <c r="C165" s="659"/>
      <c r="D165" s="246" t="s">
        <v>3594</v>
      </c>
      <c r="E165" s="660"/>
      <c r="F165" s="661">
        <v>369000</v>
      </c>
      <c r="G165" s="662">
        <v>0</v>
      </c>
      <c r="H165" s="662">
        <v>61000</v>
      </c>
      <c r="I165" s="663">
        <f t="shared" ref="I165:I169" si="8">F165+G165+H165</f>
        <v>430000</v>
      </c>
      <c r="J165" s="664">
        <f t="shared" si="6"/>
        <v>21500</v>
      </c>
      <c r="K165" s="592"/>
      <c r="L165" s="593"/>
      <c r="M165" s="594"/>
      <c r="N165" s="443"/>
      <c r="O165" s="598"/>
      <c r="P165" s="599"/>
      <c r="Q165" s="599"/>
      <c r="R165" s="599"/>
      <c r="S165" s="600"/>
      <c r="T165" s="391"/>
      <c r="U165" s="386"/>
      <c r="V165" s="391"/>
      <c r="W165" s="648" t="s">
        <v>3593</v>
      </c>
      <c r="X165" s="649"/>
      <c r="Y165" s="649"/>
      <c r="Z165" s="649"/>
      <c r="AA165" s="650"/>
      <c r="AB165" s="581"/>
    </row>
    <row r="166" spans="1:28" x14ac:dyDescent="0.3">
      <c r="A166" s="79">
        <v>8</v>
      </c>
      <c r="B166" s="585" t="s">
        <v>412</v>
      </c>
      <c r="C166" s="586" t="s">
        <v>3602</v>
      </c>
      <c r="D166" s="246" t="s">
        <v>3603</v>
      </c>
      <c r="E166" s="588" t="s">
        <v>3544</v>
      </c>
      <c r="F166" s="387">
        <v>369000</v>
      </c>
      <c r="G166" s="249">
        <v>0</v>
      </c>
      <c r="H166" s="249">
        <v>606950</v>
      </c>
      <c r="I166" s="388">
        <f t="shared" si="8"/>
        <v>975950</v>
      </c>
      <c r="J166" s="389">
        <f t="shared" si="6"/>
        <v>48797.5</v>
      </c>
      <c r="K166" s="589" t="s">
        <v>3560</v>
      </c>
      <c r="L166" s="590"/>
      <c r="M166" s="591"/>
      <c r="N166" s="443"/>
      <c r="O166" s="595" t="s">
        <v>3593</v>
      </c>
      <c r="P166" s="596"/>
      <c r="Q166" s="596"/>
      <c r="R166" s="596"/>
      <c r="S166" s="597"/>
      <c r="T166" s="390"/>
      <c r="U166" s="604" t="s">
        <v>3565</v>
      </c>
      <c r="V166" s="605" t="s">
        <v>2800</v>
      </c>
      <c r="W166" s="648" t="s">
        <v>3593</v>
      </c>
      <c r="X166" s="649"/>
      <c r="Y166" s="649"/>
      <c r="Z166" s="649"/>
      <c r="AA166" s="650"/>
      <c r="AB166" s="581" t="s">
        <v>3782</v>
      </c>
    </row>
    <row r="167" spans="1:28" x14ac:dyDescent="0.3">
      <c r="A167" s="79">
        <v>9</v>
      </c>
      <c r="B167" s="507"/>
      <c r="C167" s="587"/>
      <c r="D167" s="246" t="s">
        <v>3604</v>
      </c>
      <c r="E167" s="509"/>
      <c r="F167" s="387">
        <v>369000</v>
      </c>
      <c r="G167" s="249">
        <v>0</v>
      </c>
      <c r="H167" s="249">
        <v>148000</v>
      </c>
      <c r="I167" s="388">
        <f t="shared" si="8"/>
        <v>517000</v>
      </c>
      <c r="J167" s="389">
        <f t="shared" si="6"/>
        <v>25850</v>
      </c>
      <c r="K167" s="592"/>
      <c r="L167" s="593"/>
      <c r="M167" s="594"/>
      <c r="N167" s="443"/>
      <c r="O167" s="598"/>
      <c r="P167" s="599"/>
      <c r="Q167" s="599"/>
      <c r="R167" s="599"/>
      <c r="S167" s="600"/>
      <c r="T167" s="391"/>
      <c r="U167" s="508"/>
      <c r="V167" s="606"/>
      <c r="W167" s="648" t="s">
        <v>3593</v>
      </c>
      <c r="X167" s="649"/>
      <c r="Y167" s="649"/>
      <c r="Z167" s="649"/>
      <c r="AA167" s="650"/>
      <c r="AB167" s="581"/>
    </row>
    <row r="168" spans="1:28" x14ac:dyDescent="0.3">
      <c r="A168" s="79">
        <v>10</v>
      </c>
      <c r="B168" s="263" t="s">
        <v>3616</v>
      </c>
      <c r="C168" s="264" t="s">
        <v>3617</v>
      </c>
      <c r="D168" s="265" t="s">
        <v>3618</v>
      </c>
      <c r="E168" s="266" t="s">
        <v>3619</v>
      </c>
      <c r="F168" s="267">
        <v>399000</v>
      </c>
      <c r="G168" s="265"/>
      <c r="H168" s="265"/>
      <c r="I168" s="268">
        <f t="shared" si="8"/>
        <v>399000</v>
      </c>
      <c r="J168" s="269">
        <f t="shared" si="6"/>
        <v>19950</v>
      </c>
      <c r="K168" s="582"/>
      <c r="L168" s="583"/>
      <c r="M168" s="584"/>
      <c r="N168" s="443"/>
      <c r="O168" s="445" t="s">
        <v>3664</v>
      </c>
      <c r="P168" s="446"/>
      <c r="Q168" s="446"/>
      <c r="R168" s="446"/>
      <c r="S168" s="447"/>
      <c r="T168" s="87"/>
      <c r="U168" s="84" t="s">
        <v>3564</v>
      </c>
      <c r="V168" s="87"/>
      <c r="W168" s="392" t="s">
        <v>3593</v>
      </c>
      <c r="X168" s="393"/>
      <c r="Y168" s="393"/>
      <c r="Z168" s="393"/>
      <c r="AA168" s="412"/>
    </row>
    <row r="169" spans="1:28" x14ac:dyDescent="0.3">
      <c r="A169" s="79">
        <v>11</v>
      </c>
      <c r="B169" s="95" t="s">
        <v>253</v>
      </c>
      <c r="C169" s="242" t="s">
        <v>3661</v>
      </c>
      <c r="D169" s="83" t="s">
        <v>3662</v>
      </c>
      <c r="E169" s="106" t="s">
        <v>3619</v>
      </c>
      <c r="F169" s="146">
        <v>399000</v>
      </c>
      <c r="G169" s="108">
        <v>10000</v>
      </c>
      <c r="H169" s="108"/>
      <c r="I169" s="262">
        <f t="shared" si="8"/>
        <v>409000</v>
      </c>
      <c r="J169" s="109">
        <f t="shared" si="6"/>
        <v>20450</v>
      </c>
      <c r="K169" s="522"/>
      <c r="L169" s="523"/>
      <c r="M169" s="524"/>
      <c r="N169" s="443"/>
      <c r="O169" s="445" t="s">
        <v>3664</v>
      </c>
      <c r="P169" s="446"/>
      <c r="Q169" s="446"/>
      <c r="R169" s="446"/>
      <c r="S169" s="447"/>
      <c r="T169" s="87"/>
      <c r="U169" s="84" t="s">
        <v>3565</v>
      </c>
      <c r="V169" s="87" t="s">
        <v>3663</v>
      </c>
      <c r="W169" s="392" t="s">
        <v>3593</v>
      </c>
      <c r="X169" s="393"/>
      <c r="Y169" s="393"/>
      <c r="Z169" s="393"/>
      <c r="AA169" s="412"/>
    </row>
    <row r="170" spans="1:28" x14ac:dyDescent="0.3">
      <c r="A170" s="79">
        <v>12</v>
      </c>
      <c r="B170" s="95"/>
      <c r="C170" s="84"/>
      <c r="D170" s="83"/>
      <c r="E170" s="106"/>
      <c r="F170" s="133"/>
      <c r="G170" s="83"/>
      <c r="H170" s="84"/>
      <c r="I170" s="106"/>
      <c r="J170" s="134"/>
      <c r="K170" s="469"/>
      <c r="L170" s="477"/>
      <c r="M170" s="473"/>
      <c r="N170" s="443"/>
      <c r="O170" s="117"/>
      <c r="P170" s="115"/>
      <c r="Q170" s="115"/>
      <c r="R170" s="115"/>
      <c r="S170" s="118"/>
      <c r="T170" s="87"/>
      <c r="U170" s="84"/>
      <c r="V170" s="87"/>
      <c r="W170" s="392"/>
      <c r="X170" s="393"/>
      <c r="Y170" s="393"/>
      <c r="Z170" s="393"/>
      <c r="AA170" s="412"/>
    </row>
    <row r="171" spans="1:28" x14ac:dyDescent="0.3">
      <c r="A171" s="79">
        <v>13</v>
      </c>
      <c r="B171" s="95"/>
      <c r="C171" s="84"/>
      <c r="D171" s="83"/>
      <c r="E171" s="106"/>
      <c r="F171" s="133"/>
      <c r="G171" s="83"/>
      <c r="H171" s="84"/>
      <c r="I171" s="106"/>
      <c r="J171" s="134"/>
      <c r="K171" s="469"/>
      <c r="L171" s="477"/>
      <c r="M171" s="473"/>
      <c r="N171" s="443"/>
      <c r="O171" s="117"/>
      <c r="P171" s="115"/>
      <c r="Q171" s="115"/>
      <c r="R171" s="115"/>
      <c r="S171" s="118"/>
      <c r="T171" s="87"/>
      <c r="U171" s="84"/>
      <c r="V171" s="87"/>
      <c r="W171" s="392"/>
      <c r="X171" s="393"/>
      <c r="Y171" s="393"/>
      <c r="Z171" s="393"/>
      <c r="AA171" s="412"/>
    </row>
    <row r="172" spans="1:28" x14ac:dyDescent="0.3">
      <c r="A172" s="79">
        <v>14</v>
      </c>
      <c r="B172" s="95"/>
      <c r="C172" s="84"/>
      <c r="D172" s="83"/>
      <c r="E172" s="106"/>
      <c r="F172" s="133"/>
      <c r="G172" s="83"/>
      <c r="H172" s="84"/>
      <c r="I172" s="106"/>
      <c r="J172" s="134"/>
      <c r="K172" s="469"/>
      <c r="L172" s="477"/>
      <c r="M172" s="473"/>
      <c r="N172" s="443"/>
      <c r="O172" s="117"/>
      <c r="P172" s="115"/>
      <c r="Q172" s="115"/>
      <c r="R172" s="115"/>
      <c r="S172" s="118"/>
      <c r="T172" s="87"/>
      <c r="U172" s="84"/>
      <c r="V172" s="87"/>
      <c r="W172" s="392"/>
      <c r="X172" s="393"/>
      <c r="Y172" s="393"/>
      <c r="Z172" s="393"/>
      <c r="AA172" s="412"/>
    </row>
    <row r="173" spans="1:28" x14ac:dyDescent="0.3">
      <c r="A173" s="79">
        <v>15</v>
      </c>
      <c r="B173" s="95"/>
      <c r="C173" s="84"/>
      <c r="D173" s="83"/>
      <c r="E173" s="106"/>
      <c r="F173" s="133"/>
      <c r="G173" s="83"/>
      <c r="H173" s="84"/>
      <c r="I173" s="106"/>
      <c r="J173" s="134"/>
      <c r="K173" s="522"/>
      <c r="L173" s="523"/>
      <c r="M173" s="524"/>
      <c r="N173" s="443"/>
      <c r="O173" s="439"/>
      <c r="P173" s="440"/>
      <c r="Q173" s="440"/>
      <c r="R173" s="440"/>
      <c r="S173" s="441"/>
      <c r="T173" s="87"/>
      <c r="U173" s="84"/>
      <c r="V173" s="87"/>
      <c r="W173" s="392"/>
      <c r="X173" s="393"/>
      <c r="Y173" s="393"/>
      <c r="Z173" s="393"/>
      <c r="AA173" s="412"/>
    </row>
    <row r="174" spans="1:28" x14ac:dyDescent="0.3">
      <c r="A174" s="79">
        <v>16</v>
      </c>
      <c r="B174" s="95"/>
      <c r="C174" s="84"/>
      <c r="D174" s="83"/>
      <c r="E174" s="106"/>
      <c r="F174" s="133"/>
      <c r="G174" s="83"/>
      <c r="H174" s="84"/>
      <c r="I174" s="106"/>
      <c r="J174" s="134"/>
      <c r="K174" s="522"/>
      <c r="L174" s="523"/>
      <c r="M174" s="524"/>
      <c r="N174" s="443"/>
      <c r="O174" s="439"/>
      <c r="P174" s="440"/>
      <c r="Q174" s="440"/>
      <c r="R174" s="440"/>
      <c r="S174" s="441"/>
      <c r="T174" s="87"/>
      <c r="U174" s="84"/>
      <c r="V174" s="87"/>
      <c r="W174" s="392"/>
      <c r="X174" s="393"/>
      <c r="Y174" s="393"/>
      <c r="Z174" s="393"/>
      <c r="AA174" s="412"/>
    </row>
    <row r="175" spans="1:28" x14ac:dyDescent="0.3">
      <c r="A175" s="79">
        <v>17</v>
      </c>
      <c r="B175" s="95"/>
      <c r="C175" s="84"/>
      <c r="D175" s="83"/>
      <c r="E175" s="106"/>
      <c r="F175" s="133"/>
      <c r="G175" s="83"/>
      <c r="H175" s="84"/>
      <c r="I175" s="106"/>
      <c r="J175" s="134"/>
      <c r="K175" s="522"/>
      <c r="L175" s="523"/>
      <c r="M175" s="524"/>
      <c r="N175" s="443"/>
      <c r="O175" s="439"/>
      <c r="P175" s="440"/>
      <c r="Q175" s="440"/>
      <c r="R175" s="440"/>
      <c r="S175" s="441"/>
      <c r="T175" s="87"/>
      <c r="U175" s="84"/>
      <c r="V175" s="87"/>
      <c r="W175" s="392"/>
      <c r="X175" s="393"/>
      <c r="Y175" s="393"/>
      <c r="Z175" s="393"/>
      <c r="AA175" s="412"/>
    </row>
    <row r="176" spans="1:28" ht="17.25" thickBot="1" x14ac:dyDescent="0.35">
      <c r="A176" s="79">
        <v>18</v>
      </c>
      <c r="B176" s="96"/>
      <c r="C176" s="88"/>
      <c r="D176" s="89"/>
      <c r="E176" s="107"/>
      <c r="F176" s="133"/>
      <c r="G176" s="89"/>
      <c r="H176" s="88"/>
      <c r="I176" s="107"/>
      <c r="J176" s="135"/>
      <c r="K176" s="479"/>
      <c r="L176" s="480"/>
      <c r="M176" s="481"/>
      <c r="N176" s="444"/>
      <c r="O176" s="485"/>
      <c r="P176" s="486"/>
      <c r="Q176" s="486"/>
      <c r="R176" s="486"/>
      <c r="S176" s="487"/>
      <c r="T176" s="286"/>
      <c r="U176" s="88"/>
      <c r="V176" s="286"/>
      <c r="W176" s="392"/>
      <c r="X176" s="393"/>
      <c r="Y176" s="393"/>
      <c r="Z176" s="393"/>
      <c r="AA176" s="412"/>
    </row>
    <row r="177" spans="9:24" x14ac:dyDescent="0.3">
      <c r="I177" s="290">
        <f>SUM(I159:I176)</f>
        <v>5585950</v>
      </c>
      <c r="W177"/>
      <c r="X177"/>
    </row>
    <row r="178" spans="9:24" x14ac:dyDescent="0.3">
      <c r="W178"/>
      <c r="X178"/>
    </row>
    <row r="179" spans="9:24" x14ac:dyDescent="0.3">
      <c r="W179"/>
      <c r="X179"/>
    </row>
    <row r="180" spans="9:24" x14ac:dyDescent="0.3">
      <c r="W180"/>
      <c r="X180"/>
    </row>
    <row r="181" spans="9:24" x14ac:dyDescent="0.3">
      <c r="W181"/>
      <c r="X181"/>
    </row>
    <row r="182" spans="9:24" x14ac:dyDescent="0.3">
      <c r="W182"/>
      <c r="X182"/>
    </row>
    <row r="183" spans="9:24" x14ac:dyDescent="0.3">
      <c r="W183"/>
      <c r="X183"/>
    </row>
    <row r="184" spans="9:24" x14ac:dyDescent="0.3">
      <c r="W184"/>
      <c r="X184"/>
    </row>
    <row r="185" spans="9:24" x14ac:dyDescent="0.3">
      <c r="W185"/>
      <c r="X185"/>
    </row>
    <row r="186" spans="9:24" x14ac:dyDescent="0.3">
      <c r="W186"/>
      <c r="X186"/>
    </row>
    <row r="187" spans="9:24" x14ac:dyDescent="0.3">
      <c r="W187"/>
      <c r="X187"/>
    </row>
    <row r="188" spans="9:24" x14ac:dyDescent="0.3">
      <c r="W188"/>
      <c r="X188"/>
    </row>
    <row r="189" spans="9:24" x14ac:dyDescent="0.3">
      <c r="W189"/>
      <c r="X189"/>
    </row>
    <row r="190" spans="9:24" x14ac:dyDescent="0.3">
      <c r="W190"/>
      <c r="X190"/>
    </row>
    <row r="191" spans="9:24" x14ac:dyDescent="0.3">
      <c r="W191"/>
      <c r="X191"/>
    </row>
    <row r="192" spans="9:24" x14ac:dyDescent="0.3">
      <c r="W192"/>
      <c r="X192"/>
    </row>
    <row r="193" spans="23:24" x14ac:dyDescent="0.3">
      <c r="W193"/>
      <c r="X193"/>
    </row>
    <row r="194" spans="23:24" x14ac:dyDescent="0.3">
      <c r="W194"/>
      <c r="X194"/>
    </row>
    <row r="195" spans="23:24" x14ac:dyDescent="0.3">
      <c r="W195"/>
      <c r="X195"/>
    </row>
    <row r="196" spans="23:24" x14ac:dyDescent="0.3">
      <c r="W196"/>
      <c r="X196"/>
    </row>
    <row r="197" spans="23:24" x14ac:dyDescent="0.3">
      <c r="W197"/>
      <c r="X197"/>
    </row>
    <row r="198" spans="23:24" x14ac:dyDescent="0.3">
      <c r="W198"/>
      <c r="X198"/>
    </row>
    <row r="199" spans="23:24" x14ac:dyDescent="0.3">
      <c r="W199"/>
      <c r="X199"/>
    </row>
    <row r="200" spans="23:24" x14ac:dyDescent="0.3">
      <c r="W200"/>
      <c r="X200"/>
    </row>
    <row r="201" spans="23:24" x14ac:dyDescent="0.3">
      <c r="W201"/>
      <c r="X201"/>
    </row>
    <row r="202" spans="23:24" x14ac:dyDescent="0.3">
      <c r="W202"/>
      <c r="X202"/>
    </row>
    <row r="203" spans="23:24" x14ac:dyDescent="0.3">
      <c r="W203"/>
      <c r="X203"/>
    </row>
    <row r="204" spans="23:24" x14ac:dyDescent="0.3">
      <c r="W204"/>
      <c r="X204"/>
    </row>
    <row r="205" spans="23:24" x14ac:dyDescent="0.3">
      <c r="W205"/>
      <c r="X205"/>
    </row>
    <row r="206" spans="23:24" x14ac:dyDescent="0.3">
      <c r="W206"/>
      <c r="X206"/>
    </row>
    <row r="207" spans="23:24" x14ac:dyDescent="0.3">
      <c r="W207"/>
      <c r="X207"/>
    </row>
    <row r="208" spans="23:24" x14ac:dyDescent="0.3">
      <c r="W208"/>
      <c r="X208"/>
    </row>
    <row r="209" spans="23:24" x14ac:dyDescent="0.3">
      <c r="W209"/>
      <c r="X209"/>
    </row>
    <row r="210" spans="23:24" x14ac:dyDescent="0.3">
      <c r="W210"/>
      <c r="X210"/>
    </row>
    <row r="211" spans="23:24" x14ac:dyDescent="0.3">
      <c r="W211"/>
      <c r="X211"/>
    </row>
    <row r="212" spans="23:24" x14ac:dyDescent="0.3">
      <c r="W212"/>
      <c r="X212"/>
    </row>
    <row r="213" spans="23:24" x14ac:dyDescent="0.3">
      <c r="W213"/>
      <c r="X213"/>
    </row>
    <row r="214" spans="23:24" x14ac:dyDescent="0.3">
      <c r="W214"/>
      <c r="X214"/>
    </row>
    <row r="215" spans="23:24" x14ac:dyDescent="0.3">
      <c r="W215"/>
      <c r="X215"/>
    </row>
    <row r="216" spans="23:24" x14ac:dyDescent="0.3">
      <c r="W216"/>
      <c r="X216"/>
    </row>
    <row r="217" spans="23:24" x14ac:dyDescent="0.3">
      <c r="W217"/>
      <c r="X217"/>
    </row>
    <row r="218" spans="23:24" x14ac:dyDescent="0.3">
      <c r="W218"/>
      <c r="X218"/>
    </row>
    <row r="219" spans="23:24" x14ac:dyDescent="0.3">
      <c r="W219"/>
      <c r="X219"/>
    </row>
    <row r="220" spans="23:24" x14ac:dyDescent="0.3">
      <c r="W220"/>
      <c r="X220"/>
    </row>
    <row r="221" spans="23:24" x14ac:dyDescent="0.3">
      <c r="W221"/>
      <c r="X221"/>
    </row>
    <row r="222" spans="23:24" x14ac:dyDescent="0.3">
      <c r="W222"/>
      <c r="X222"/>
    </row>
    <row r="223" spans="23:24" x14ac:dyDescent="0.3">
      <c r="W223"/>
      <c r="X223"/>
    </row>
    <row r="224" spans="23:24" x14ac:dyDescent="0.3">
      <c r="W224"/>
      <c r="X224"/>
    </row>
    <row r="225" spans="23:24" x14ac:dyDescent="0.3">
      <c r="W225"/>
      <c r="X225"/>
    </row>
    <row r="226" spans="23:24" x14ac:dyDescent="0.3">
      <c r="W226"/>
      <c r="X226"/>
    </row>
    <row r="227" spans="23:24" x14ac:dyDescent="0.3">
      <c r="W227"/>
      <c r="X227"/>
    </row>
    <row r="228" spans="23:24" x14ac:dyDescent="0.3">
      <c r="W228"/>
      <c r="X228"/>
    </row>
    <row r="229" spans="23:24" x14ac:dyDescent="0.3">
      <c r="W229"/>
      <c r="X229"/>
    </row>
    <row r="230" spans="23:24" x14ac:dyDescent="0.3">
      <c r="W230"/>
      <c r="X230"/>
    </row>
    <row r="231" spans="23:24" x14ac:dyDescent="0.3">
      <c r="W231"/>
      <c r="X231"/>
    </row>
    <row r="232" spans="23:24" x14ac:dyDescent="0.3">
      <c r="W232"/>
      <c r="X232"/>
    </row>
    <row r="233" spans="23:24" x14ac:dyDescent="0.3">
      <c r="W233"/>
      <c r="X233"/>
    </row>
    <row r="234" spans="23:24" x14ac:dyDescent="0.3">
      <c r="W234"/>
      <c r="X234"/>
    </row>
    <row r="235" spans="23:24" x14ac:dyDescent="0.3">
      <c r="W235"/>
      <c r="X235"/>
    </row>
    <row r="236" spans="23:24" x14ac:dyDescent="0.3">
      <c r="W236"/>
      <c r="X236"/>
    </row>
    <row r="237" spans="23:24" x14ac:dyDescent="0.3">
      <c r="W237"/>
      <c r="X237"/>
    </row>
    <row r="238" spans="23:24" x14ac:dyDescent="0.3">
      <c r="W238"/>
      <c r="X238"/>
    </row>
    <row r="239" spans="23:24" x14ac:dyDescent="0.3">
      <c r="W239"/>
      <c r="X239"/>
    </row>
    <row r="240" spans="23:24" x14ac:dyDescent="0.3">
      <c r="W240"/>
      <c r="X240"/>
    </row>
    <row r="241" spans="23:24" x14ac:dyDescent="0.3">
      <c r="W241"/>
      <c r="X241"/>
    </row>
    <row r="242" spans="23:24" x14ac:dyDescent="0.3">
      <c r="W242"/>
      <c r="X242"/>
    </row>
    <row r="243" spans="23:24" x14ac:dyDescent="0.3">
      <c r="W243"/>
      <c r="X243"/>
    </row>
    <row r="244" spans="23:24" x14ac:dyDescent="0.3">
      <c r="W244"/>
      <c r="X244"/>
    </row>
    <row r="245" spans="23:24" x14ac:dyDescent="0.3">
      <c r="W245"/>
      <c r="X245"/>
    </row>
    <row r="246" spans="23:24" x14ac:dyDescent="0.3">
      <c r="W246"/>
      <c r="X246"/>
    </row>
    <row r="247" spans="23:24" x14ac:dyDescent="0.3">
      <c r="W247"/>
      <c r="X247"/>
    </row>
    <row r="248" spans="23:24" x14ac:dyDescent="0.3">
      <c r="W248"/>
      <c r="X248"/>
    </row>
    <row r="249" spans="23:24" x14ac:dyDescent="0.3">
      <c r="W249"/>
      <c r="X249"/>
    </row>
    <row r="250" spans="23:24" x14ac:dyDescent="0.3">
      <c r="W250"/>
      <c r="X250"/>
    </row>
    <row r="251" spans="23:24" x14ac:dyDescent="0.3">
      <c r="W251"/>
      <c r="X251"/>
    </row>
    <row r="252" spans="23:24" x14ac:dyDescent="0.3">
      <c r="W252"/>
      <c r="X252"/>
    </row>
    <row r="253" spans="23:24" x14ac:dyDescent="0.3">
      <c r="W253"/>
      <c r="X253"/>
    </row>
    <row r="254" spans="23:24" x14ac:dyDescent="0.3">
      <c r="W254"/>
      <c r="X254"/>
    </row>
    <row r="255" spans="23:24" x14ac:dyDescent="0.3">
      <c r="W255"/>
      <c r="X255"/>
    </row>
    <row r="256" spans="23:24" x14ac:dyDescent="0.3">
      <c r="W256"/>
      <c r="X256"/>
    </row>
    <row r="257" spans="23:24" x14ac:dyDescent="0.3">
      <c r="W257"/>
      <c r="X257"/>
    </row>
    <row r="258" spans="23:24" x14ac:dyDescent="0.3">
      <c r="W258"/>
      <c r="X258"/>
    </row>
    <row r="259" spans="23:24" x14ac:dyDescent="0.3">
      <c r="W259"/>
      <c r="X259"/>
    </row>
    <row r="260" spans="23:24" x14ac:dyDescent="0.3">
      <c r="W260"/>
      <c r="X260"/>
    </row>
    <row r="261" spans="23:24" x14ac:dyDescent="0.3">
      <c r="W261"/>
      <c r="X261"/>
    </row>
    <row r="262" spans="23:24" x14ac:dyDescent="0.3">
      <c r="W262"/>
      <c r="X262"/>
    </row>
    <row r="263" spans="23:24" x14ac:dyDescent="0.3">
      <c r="W263"/>
      <c r="X263"/>
    </row>
    <row r="264" spans="23:24" x14ac:dyDescent="0.3">
      <c r="W264"/>
      <c r="X264"/>
    </row>
    <row r="265" spans="23:24" x14ac:dyDescent="0.3">
      <c r="W265"/>
      <c r="X265"/>
    </row>
    <row r="266" spans="23:24" x14ac:dyDescent="0.3">
      <c r="W266"/>
      <c r="X266"/>
    </row>
    <row r="267" spans="23:24" x14ac:dyDescent="0.3">
      <c r="W267"/>
      <c r="X267"/>
    </row>
    <row r="268" spans="23:24" x14ac:dyDescent="0.3">
      <c r="W268"/>
      <c r="X268"/>
    </row>
    <row r="269" spans="23:24" x14ac:dyDescent="0.3">
      <c r="W269"/>
      <c r="X269"/>
    </row>
    <row r="270" spans="23:24" x14ac:dyDescent="0.3">
      <c r="W270"/>
      <c r="X270"/>
    </row>
    <row r="271" spans="23:24" x14ac:dyDescent="0.3">
      <c r="W271"/>
      <c r="X271"/>
    </row>
    <row r="272" spans="23:24" x14ac:dyDescent="0.3">
      <c r="W272"/>
      <c r="X272"/>
    </row>
    <row r="273" spans="23:24" x14ac:dyDescent="0.3">
      <c r="W273"/>
      <c r="X273"/>
    </row>
    <row r="274" spans="23:24" x14ac:dyDescent="0.3">
      <c r="W274"/>
      <c r="X274"/>
    </row>
    <row r="275" spans="23:24" x14ac:dyDescent="0.3">
      <c r="W275"/>
      <c r="X275"/>
    </row>
    <row r="276" spans="23:24" x14ac:dyDescent="0.3">
      <c r="W276"/>
      <c r="X276"/>
    </row>
    <row r="277" spans="23:24" x14ac:dyDescent="0.3">
      <c r="W277"/>
      <c r="X277"/>
    </row>
    <row r="278" spans="23:24" x14ac:dyDescent="0.3">
      <c r="W278"/>
      <c r="X278"/>
    </row>
    <row r="279" spans="23:24" x14ac:dyDescent="0.3">
      <c r="W279"/>
      <c r="X279"/>
    </row>
    <row r="280" spans="23:24" x14ac:dyDescent="0.3">
      <c r="W280"/>
      <c r="X280"/>
    </row>
    <row r="281" spans="23:24" x14ac:dyDescent="0.3">
      <c r="W281"/>
      <c r="X281"/>
    </row>
    <row r="282" spans="23:24" x14ac:dyDescent="0.3">
      <c r="W282"/>
      <c r="X282"/>
    </row>
    <row r="283" spans="23:24" x14ac:dyDescent="0.3">
      <c r="W283"/>
      <c r="X283"/>
    </row>
    <row r="284" spans="23:24" x14ac:dyDescent="0.3">
      <c r="W284"/>
      <c r="X284"/>
    </row>
    <row r="285" spans="23:24" x14ac:dyDescent="0.3">
      <c r="W285"/>
      <c r="X285"/>
    </row>
    <row r="286" spans="23:24" x14ac:dyDescent="0.3">
      <c r="W286"/>
      <c r="X286"/>
    </row>
    <row r="287" spans="23:24" x14ac:dyDescent="0.3">
      <c r="W287"/>
      <c r="X287"/>
    </row>
    <row r="288" spans="23:24" x14ac:dyDescent="0.3">
      <c r="W288"/>
      <c r="X288"/>
    </row>
    <row r="289" spans="23:24" x14ac:dyDescent="0.3">
      <c r="W289"/>
      <c r="X289"/>
    </row>
    <row r="290" spans="23:24" x14ac:dyDescent="0.3">
      <c r="W290"/>
      <c r="X290"/>
    </row>
    <row r="291" spans="23:24" x14ac:dyDescent="0.3">
      <c r="W291"/>
      <c r="X291"/>
    </row>
    <row r="292" spans="23:24" x14ac:dyDescent="0.3">
      <c r="W292"/>
      <c r="X292"/>
    </row>
    <row r="293" spans="23:24" x14ac:dyDescent="0.3">
      <c r="W293"/>
      <c r="X293"/>
    </row>
    <row r="294" spans="23:24" x14ac:dyDescent="0.3">
      <c r="W294"/>
      <c r="X294"/>
    </row>
    <row r="295" spans="23:24" x14ac:dyDescent="0.3">
      <c r="W295"/>
      <c r="X295"/>
    </row>
    <row r="296" spans="23:24" x14ac:dyDescent="0.3">
      <c r="W296"/>
      <c r="X296"/>
    </row>
    <row r="297" spans="23:24" x14ac:dyDescent="0.3">
      <c r="W297"/>
      <c r="X297"/>
    </row>
    <row r="298" spans="23:24" x14ac:dyDescent="0.3">
      <c r="W298"/>
      <c r="X298"/>
    </row>
    <row r="299" spans="23:24" x14ac:dyDescent="0.3">
      <c r="W299"/>
      <c r="X299"/>
    </row>
    <row r="300" spans="23:24" x14ac:dyDescent="0.3">
      <c r="W300"/>
      <c r="X300"/>
    </row>
    <row r="301" spans="23:24" x14ac:dyDescent="0.3">
      <c r="W301"/>
      <c r="X301"/>
    </row>
    <row r="302" spans="23:24" x14ac:dyDescent="0.3">
      <c r="W302"/>
      <c r="X302"/>
    </row>
    <row r="303" spans="23:24" x14ac:dyDescent="0.3">
      <c r="W303"/>
      <c r="X303"/>
    </row>
    <row r="304" spans="23:24" x14ac:dyDescent="0.3">
      <c r="W304"/>
      <c r="X304"/>
    </row>
    <row r="305" spans="23:24" x14ac:dyDescent="0.3">
      <c r="W305"/>
      <c r="X305"/>
    </row>
    <row r="306" spans="23:24" x14ac:dyDescent="0.3">
      <c r="W306"/>
      <c r="X306"/>
    </row>
    <row r="307" spans="23:24" x14ac:dyDescent="0.3">
      <c r="W307"/>
      <c r="X307"/>
    </row>
    <row r="308" spans="23:24" x14ac:dyDescent="0.3">
      <c r="W308"/>
      <c r="X308"/>
    </row>
    <row r="309" spans="23:24" x14ac:dyDescent="0.3">
      <c r="W309"/>
      <c r="X309"/>
    </row>
    <row r="310" spans="23:24" x14ac:dyDescent="0.3">
      <c r="W310"/>
      <c r="X310"/>
    </row>
    <row r="311" spans="23:24" x14ac:dyDescent="0.3">
      <c r="W311"/>
      <c r="X311"/>
    </row>
    <row r="312" spans="23:24" x14ac:dyDescent="0.3">
      <c r="W312"/>
      <c r="X312"/>
    </row>
    <row r="313" spans="23:24" x14ac:dyDescent="0.3">
      <c r="W313"/>
      <c r="X313"/>
    </row>
    <row r="314" spans="23:24" x14ac:dyDescent="0.3">
      <c r="W314"/>
      <c r="X314"/>
    </row>
    <row r="315" spans="23:24" x14ac:dyDescent="0.3">
      <c r="W315"/>
      <c r="X315"/>
    </row>
    <row r="316" spans="23:24" x14ac:dyDescent="0.3">
      <c r="W316"/>
      <c r="X316"/>
    </row>
    <row r="317" spans="23:24" x14ac:dyDescent="0.3">
      <c r="W317"/>
      <c r="X317"/>
    </row>
    <row r="318" spans="23:24" x14ac:dyDescent="0.3">
      <c r="W318"/>
      <c r="X318"/>
    </row>
    <row r="319" spans="23:24" x14ac:dyDescent="0.3">
      <c r="W319"/>
      <c r="X319"/>
    </row>
    <row r="320" spans="23:24" x14ac:dyDescent="0.3">
      <c r="W320"/>
      <c r="X320"/>
    </row>
    <row r="321" spans="23:24" x14ac:dyDescent="0.3">
      <c r="W321"/>
      <c r="X321"/>
    </row>
    <row r="322" spans="23:24" x14ac:dyDescent="0.3">
      <c r="W322"/>
      <c r="X322"/>
    </row>
    <row r="323" spans="23:24" x14ac:dyDescent="0.3">
      <c r="W323"/>
      <c r="X323"/>
    </row>
    <row r="324" spans="23:24" x14ac:dyDescent="0.3">
      <c r="W324"/>
      <c r="X324"/>
    </row>
    <row r="325" spans="23:24" x14ac:dyDescent="0.3">
      <c r="W325"/>
      <c r="X325"/>
    </row>
    <row r="326" spans="23:24" x14ac:dyDescent="0.3">
      <c r="W326"/>
      <c r="X326"/>
    </row>
    <row r="327" spans="23:24" x14ac:dyDescent="0.3">
      <c r="W327"/>
      <c r="X327"/>
    </row>
    <row r="328" spans="23:24" x14ac:dyDescent="0.3">
      <c r="W328"/>
      <c r="X328"/>
    </row>
    <row r="329" spans="23:24" x14ac:dyDescent="0.3">
      <c r="W329"/>
      <c r="X329"/>
    </row>
    <row r="330" spans="23:24" x14ac:dyDescent="0.3">
      <c r="W330"/>
      <c r="X330"/>
    </row>
    <row r="331" spans="23:24" x14ac:dyDescent="0.3">
      <c r="W331"/>
      <c r="X331"/>
    </row>
    <row r="332" spans="23:24" x14ac:dyDescent="0.3">
      <c r="W332"/>
      <c r="X332"/>
    </row>
    <row r="333" spans="23:24" x14ac:dyDescent="0.3">
      <c r="W333"/>
      <c r="X333"/>
    </row>
    <row r="334" spans="23:24" x14ac:dyDescent="0.3">
      <c r="W334"/>
      <c r="X334"/>
    </row>
    <row r="335" spans="23:24" x14ac:dyDescent="0.3">
      <c r="W335"/>
      <c r="X335"/>
    </row>
    <row r="336" spans="23:24" x14ac:dyDescent="0.3">
      <c r="W336"/>
      <c r="X336"/>
    </row>
    <row r="337" spans="23:24" x14ac:dyDescent="0.3">
      <c r="W337"/>
      <c r="X337"/>
    </row>
    <row r="338" spans="23:24" x14ac:dyDescent="0.3">
      <c r="W338"/>
      <c r="X338"/>
    </row>
    <row r="339" spans="23:24" x14ac:dyDescent="0.3">
      <c r="W339"/>
      <c r="X339"/>
    </row>
    <row r="340" spans="23:24" x14ac:dyDescent="0.3">
      <c r="W340"/>
      <c r="X340"/>
    </row>
    <row r="341" spans="23:24" x14ac:dyDescent="0.3">
      <c r="W341"/>
      <c r="X341"/>
    </row>
    <row r="342" spans="23:24" x14ac:dyDescent="0.3">
      <c r="W342"/>
      <c r="X342"/>
    </row>
    <row r="343" spans="23:24" x14ac:dyDescent="0.3">
      <c r="W343"/>
      <c r="X343"/>
    </row>
    <row r="344" spans="23:24" x14ac:dyDescent="0.3">
      <c r="W344"/>
      <c r="X344"/>
    </row>
    <row r="345" spans="23:24" x14ac:dyDescent="0.3">
      <c r="W345"/>
      <c r="X345"/>
    </row>
    <row r="346" spans="23:24" x14ac:dyDescent="0.3">
      <c r="W346"/>
      <c r="X346"/>
    </row>
    <row r="347" spans="23:24" x14ac:dyDescent="0.3">
      <c r="W347"/>
      <c r="X347"/>
    </row>
    <row r="348" spans="23:24" x14ac:dyDescent="0.3">
      <c r="W348"/>
      <c r="X348"/>
    </row>
    <row r="349" spans="23:24" x14ac:dyDescent="0.3">
      <c r="W349"/>
      <c r="X349"/>
    </row>
    <row r="350" spans="23:24" x14ac:dyDescent="0.3">
      <c r="W350"/>
      <c r="X350"/>
    </row>
    <row r="351" spans="23:24" x14ac:dyDescent="0.3">
      <c r="W351"/>
      <c r="X351"/>
    </row>
    <row r="352" spans="23:24" x14ac:dyDescent="0.3">
      <c r="W352"/>
      <c r="X352"/>
    </row>
    <row r="353" spans="23:24" x14ac:dyDescent="0.3">
      <c r="W353"/>
      <c r="X353"/>
    </row>
    <row r="354" spans="23:24" x14ac:dyDescent="0.3">
      <c r="W354"/>
      <c r="X354"/>
    </row>
    <row r="355" spans="23:24" x14ac:dyDescent="0.3">
      <c r="W355"/>
      <c r="X355"/>
    </row>
    <row r="356" spans="23:24" x14ac:dyDescent="0.3">
      <c r="W356"/>
      <c r="X356"/>
    </row>
    <row r="357" spans="23:24" x14ac:dyDescent="0.3">
      <c r="W357"/>
      <c r="X357"/>
    </row>
    <row r="358" spans="23:24" x14ac:dyDescent="0.3">
      <c r="W358"/>
      <c r="X358"/>
    </row>
    <row r="359" spans="23:24" x14ac:dyDescent="0.3">
      <c r="W359"/>
      <c r="X359"/>
    </row>
    <row r="360" spans="23:24" x14ac:dyDescent="0.3">
      <c r="W360"/>
      <c r="X360"/>
    </row>
    <row r="361" spans="23:24" x14ac:dyDescent="0.3">
      <c r="W361"/>
      <c r="X361"/>
    </row>
    <row r="362" spans="23:24" x14ac:dyDescent="0.3">
      <c r="W362"/>
      <c r="X362"/>
    </row>
    <row r="363" spans="23:24" x14ac:dyDescent="0.3">
      <c r="W363"/>
      <c r="X363"/>
    </row>
    <row r="364" spans="23:24" x14ac:dyDescent="0.3">
      <c r="W364"/>
      <c r="X364"/>
    </row>
    <row r="365" spans="23:24" x14ac:dyDescent="0.3">
      <c r="W365"/>
      <c r="X365"/>
    </row>
    <row r="366" spans="23:24" x14ac:dyDescent="0.3">
      <c r="W366"/>
      <c r="X366"/>
    </row>
    <row r="367" spans="23:24" x14ac:dyDescent="0.3">
      <c r="W367"/>
      <c r="X367"/>
    </row>
    <row r="368" spans="23:24" x14ac:dyDescent="0.3">
      <c r="W368"/>
      <c r="X368"/>
    </row>
    <row r="369" spans="23:24" x14ac:dyDescent="0.3">
      <c r="W369"/>
      <c r="X369"/>
    </row>
    <row r="370" spans="23:24" x14ac:dyDescent="0.3">
      <c r="W370"/>
      <c r="X370"/>
    </row>
    <row r="371" spans="23:24" x14ac:dyDescent="0.3">
      <c r="W371"/>
      <c r="X371"/>
    </row>
    <row r="372" spans="23:24" x14ac:dyDescent="0.3">
      <c r="W372"/>
      <c r="X372"/>
    </row>
    <row r="373" spans="23:24" x14ac:dyDescent="0.3">
      <c r="W373"/>
      <c r="X373"/>
    </row>
    <row r="374" spans="23:24" x14ac:dyDescent="0.3">
      <c r="W374"/>
      <c r="X374"/>
    </row>
    <row r="375" spans="23:24" x14ac:dyDescent="0.3">
      <c r="W375"/>
      <c r="X375"/>
    </row>
    <row r="376" spans="23:24" x14ac:dyDescent="0.3">
      <c r="W376"/>
      <c r="X376"/>
    </row>
    <row r="377" spans="23:24" x14ac:dyDescent="0.3">
      <c r="W377"/>
      <c r="X377"/>
    </row>
    <row r="378" spans="23:24" x14ac:dyDescent="0.3">
      <c r="W378"/>
      <c r="X378"/>
    </row>
    <row r="379" spans="23:24" x14ac:dyDescent="0.3">
      <c r="W379"/>
      <c r="X379"/>
    </row>
    <row r="380" spans="23:24" x14ac:dyDescent="0.3">
      <c r="W380"/>
      <c r="X380"/>
    </row>
    <row r="381" spans="23:24" x14ac:dyDescent="0.3">
      <c r="W381"/>
      <c r="X381"/>
    </row>
    <row r="382" spans="23:24" x14ac:dyDescent="0.3">
      <c r="W382"/>
      <c r="X382"/>
    </row>
    <row r="383" spans="23:24" x14ac:dyDescent="0.3">
      <c r="W383"/>
      <c r="X383"/>
    </row>
    <row r="384" spans="23:24" x14ac:dyDescent="0.3">
      <c r="W384"/>
      <c r="X384"/>
    </row>
    <row r="385" spans="23:24" x14ac:dyDescent="0.3">
      <c r="W385"/>
      <c r="X385"/>
    </row>
    <row r="386" spans="23:24" x14ac:dyDescent="0.3">
      <c r="W386"/>
      <c r="X386"/>
    </row>
    <row r="387" spans="23:24" x14ac:dyDescent="0.3">
      <c r="W387"/>
      <c r="X387"/>
    </row>
    <row r="388" spans="23:24" x14ac:dyDescent="0.3">
      <c r="W388"/>
      <c r="X388"/>
    </row>
    <row r="389" spans="23:24" x14ac:dyDescent="0.3">
      <c r="W389"/>
      <c r="X389"/>
    </row>
    <row r="390" spans="23:24" x14ac:dyDescent="0.3">
      <c r="W390"/>
      <c r="X390"/>
    </row>
    <row r="391" spans="23:24" x14ac:dyDescent="0.3">
      <c r="W391"/>
      <c r="X391"/>
    </row>
    <row r="392" spans="23:24" x14ac:dyDescent="0.3">
      <c r="W392"/>
      <c r="X392"/>
    </row>
    <row r="393" spans="23:24" x14ac:dyDescent="0.3">
      <c r="W393"/>
      <c r="X393"/>
    </row>
    <row r="394" spans="23:24" x14ac:dyDescent="0.3">
      <c r="W394"/>
      <c r="X394"/>
    </row>
    <row r="395" spans="23:24" x14ac:dyDescent="0.3">
      <c r="W395"/>
      <c r="X395"/>
    </row>
    <row r="396" spans="23:24" x14ac:dyDescent="0.3">
      <c r="W396"/>
      <c r="X396"/>
    </row>
    <row r="397" spans="23:24" x14ac:dyDescent="0.3">
      <c r="W397"/>
      <c r="X397"/>
    </row>
    <row r="398" spans="23:24" x14ac:dyDescent="0.3">
      <c r="W398"/>
      <c r="X398"/>
    </row>
    <row r="399" spans="23:24" x14ac:dyDescent="0.3">
      <c r="W399"/>
      <c r="X399"/>
    </row>
    <row r="400" spans="23:24" x14ac:dyDescent="0.3">
      <c r="W400"/>
      <c r="X400"/>
    </row>
    <row r="401" spans="23:24" x14ac:dyDescent="0.3">
      <c r="W401"/>
      <c r="X401"/>
    </row>
    <row r="402" spans="23:24" x14ac:dyDescent="0.3">
      <c r="W402"/>
      <c r="X402"/>
    </row>
    <row r="403" spans="23:24" x14ac:dyDescent="0.3">
      <c r="W403"/>
      <c r="X403"/>
    </row>
    <row r="404" spans="23:24" x14ac:dyDescent="0.3">
      <c r="W404"/>
      <c r="X404"/>
    </row>
    <row r="405" spans="23:24" x14ac:dyDescent="0.3">
      <c r="W405"/>
      <c r="X405"/>
    </row>
    <row r="406" spans="23:24" x14ac:dyDescent="0.3">
      <c r="W406"/>
      <c r="X406"/>
    </row>
    <row r="407" spans="23:24" x14ac:dyDescent="0.3">
      <c r="W407"/>
      <c r="X407"/>
    </row>
    <row r="408" spans="23:24" x14ac:dyDescent="0.3">
      <c r="W408"/>
      <c r="X408"/>
    </row>
    <row r="409" spans="23:24" x14ac:dyDescent="0.3">
      <c r="W409"/>
      <c r="X409"/>
    </row>
    <row r="410" spans="23:24" x14ac:dyDescent="0.3">
      <c r="W410"/>
      <c r="X410"/>
    </row>
    <row r="411" spans="23:24" x14ac:dyDescent="0.3">
      <c r="W411"/>
      <c r="X411"/>
    </row>
    <row r="412" spans="23:24" x14ac:dyDescent="0.3">
      <c r="W412"/>
      <c r="X412"/>
    </row>
    <row r="413" spans="23:24" x14ac:dyDescent="0.3">
      <c r="W413"/>
      <c r="X413"/>
    </row>
    <row r="414" spans="23:24" x14ac:dyDescent="0.3">
      <c r="W414"/>
      <c r="X414"/>
    </row>
    <row r="415" spans="23:24" x14ac:dyDescent="0.3">
      <c r="W415"/>
      <c r="X415"/>
    </row>
    <row r="416" spans="23:24" x14ac:dyDescent="0.3">
      <c r="W416"/>
      <c r="X416"/>
    </row>
    <row r="417" spans="23:24" x14ac:dyDescent="0.3">
      <c r="W417"/>
      <c r="X417"/>
    </row>
    <row r="418" spans="23:24" x14ac:dyDescent="0.3">
      <c r="W418"/>
      <c r="X418"/>
    </row>
    <row r="419" spans="23:24" x14ac:dyDescent="0.3">
      <c r="W419"/>
      <c r="X419"/>
    </row>
    <row r="420" spans="23:24" x14ac:dyDescent="0.3">
      <c r="W420"/>
      <c r="X420"/>
    </row>
    <row r="421" spans="23:24" x14ac:dyDescent="0.3">
      <c r="W421"/>
      <c r="X421"/>
    </row>
    <row r="422" spans="23:24" x14ac:dyDescent="0.3">
      <c r="W422"/>
      <c r="X422"/>
    </row>
    <row r="423" spans="23:24" x14ac:dyDescent="0.3">
      <c r="W423"/>
      <c r="X423"/>
    </row>
    <row r="424" spans="23:24" x14ac:dyDescent="0.3">
      <c r="W424"/>
      <c r="X424"/>
    </row>
    <row r="425" spans="23:24" x14ac:dyDescent="0.3">
      <c r="W425"/>
      <c r="X425"/>
    </row>
    <row r="426" spans="23:24" x14ac:dyDescent="0.3">
      <c r="W426"/>
      <c r="X426"/>
    </row>
    <row r="427" spans="23:24" x14ac:dyDescent="0.3">
      <c r="W427"/>
      <c r="X427"/>
    </row>
    <row r="428" spans="23:24" x14ac:dyDescent="0.3">
      <c r="W428"/>
      <c r="X428"/>
    </row>
    <row r="429" spans="23:24" x14ac:dyDescent="0.3">
      <c r="W429"/>
      <c r="X429"/>
    </row>
    <row r="430" spans="23:24" x14ac:dyDescent="0.3">
      <c r="W430"/>
      <c r="X430"/>
    </row>
    <row r="431" spans="23:24" x14ac:dyDescent="0.3">
      <c r="W431"/>
      <c r="X431"/>
    </row>
    <row r="432" spans="23:24" x14ac:dyDescent="0.3">
      <c r="W432"/>
      <c r="X432"/>
    </row>
    <row r="433" spans="23:24" x14ac:dyDescent="0.3">
      <c r="W433"/>
      <c r="X433"/>
    </row>
    <row r="434" spans="23:24" x14ac:dyDescent="0.3">
      <c r="W434"/>
      <c r="X434"/>
    </row>
    <row r="435" spans="23:24" x14ac:dyDescent="0.3">
      <c r="W435"/>
      <c r="X435"/>
    </row>
    <row r="436" spans="23:24" x14ac:dyDescent="0.3">
      <c r="W436"/>
      <c r="X436"/>
    </row>
    <row r="437" spans="23:24" x14ac:dyDescent="0.3">
      <c r="W437"/>
      <c r="X437"/>
    </row>
    <row r="438" spans="23:24" x14ac:dyDescent="0.3">
      <c r="W438"/>
      <c r="X438"/>
    </row>
    <row r="439" spans="23:24" x14ac:dyDescent="0.3">
      <c r="W439"/>
      <c r="X439"/>
    </row>
    <row r="440" spans="23:24" x14ac:dyDescent="0.3">
      <c r="W440"/>
      <c r="X440"/>
    </row>
    <row r="441" spans="23:24" x14ac:dyDescent="0.3">
      <c r="W441"/>
      <c r="X441"/>
    </row>
    <row r="442" spans="23:24" x14ac:dyDescent="0.3">
      <c r="W442"/>
      <c r="X442"/>
    </row>
    <row r="443" spans="23:24" x14ac:dyDescent="0.3">
      <c r="W443"/>
      <c r="X443"/>
    </row>
    <row r="444" spans="23:24" x14ac:dyDescent="0.3">
      <c r="W444"/>
      <c r="X444"/>
    </row>
    <row r="445" spans="23:24" x14ac:dyDescent="0.3">
      <c r="W445"/>
      <c r="X445"/>
    </row>
    <row r="446" spans="23:24" x14ac:dyDescent="0.3">
      <c r="W446"/>
      <c r="X446"/>
    </row>
    <row r="447" spans="23:24" x14ac:dyDescent="0.3">
      <c r="W447"/>
      <c r="X447"/>
    </row>
    <row r="448" spans="23:24" x14ac:dyDescent="0.3">
      <c r="W448"/>
      <c r="X448"/>
    </row>
    <row r="449" spans="23:24" x14ac:dyDescent="0.3">
      <c r="W449"/>
      <c r="X449"/>
    </row>
    <row r="450" spans="23:24" x14ac:dyDescent="0.3">
      <c r="W450"/>
      <c r="X450"/>
    </row>
    <row r="451" spans="23:24" x14ac:dyDescent="0.3">
      <c r="W451"/>
      <c r="X451"/>
    </row>
    <row r="452" spans="23:24" x14ac:dyDescent="0.3">
      <c r="W452"/>
      <c r="X452"/>
    </row>
    <row r="453" spans="23:24" x14ac:dyDescent="0.3">
      <c r="W453"/>
      <c r="X453"/>
    </row>
    <row r="454" spans="23:24" x14ac:dyDescent="0.3">
      <c r="W454"/>
      <c r="X454"/>
    </row>
    <row r="455" spans="23:24" x14ac:dyDescent="0.3">
      <c r="W455"/>
      <c r="X455"/>
    </row>
    <row r="456" spans="23:24" x14ac:dyDescent="0.3">
      <c r="W456"/>
      <c r="X456"/>
    </row>
    <row r="457" spans="23:24" x14ac:dyDescent="0.3">
      <c r="W457"/>
      <c r="X457"/>
    </row>
    <row r="458" spans="23:24" x14ac:dyDescent="0.3">
      <c r="W458"/>
      <c r="X458"/>
    </row>
    <row r="459" spans="23:24" x14ac:dyDescent="0.3">
      <c r="W459"/>
      <c r="X459"/>
    </row>
    <row r="460" spans="23:24" x14ac:dyDescent="0.3">
      <c r="W460"/>
      <c r="X460"/>
    </row>
    <row r="461" spans="23:24" x14ac:dyDescent="0.3">
      <c r="W461"/>
      <c r="X461"/>
    </row>
    <row r="462" spans="23:24" x14ac:dyDescent="0.3">
      <c r="W462"/>
      <c r="X462"/>
    </row>
    <row r="463" spans="23:24" x14ac:dyDescent="0.3">
      <c r="W463"/>
      <c r="X463"/>
    </row>
    <row r="464" spans="23:24" x14ac:dyDescent="0.3">
      <c r="W464"/>
      <c r="X464"/>
    </row>
    <row r="465" spans="23:24" x14ac:dyDescent="0.3">
      <c r="W465"/>
      <c r="X465"/>
    </row>
    <row r="466" spans="23:24" x14ac:dyDescent="0.3">
      <c r="W466"/>
      <c r="X466"/>
    </row>
    <row r="467" spans="23:24" x14ac:dyDescent="0.3">
      <c r="W467"/>
      <c r="X467"/>
    </row>
    <row r="468" spans="23:24" x14ac:dyDescent="0.3">
      <c r="W468"/>
      <c r="X468"/>
    </row>
    <row r="469" spans="23:24" x14ac:dyDescent="0.3">
      <c r="W469"/>
      <c r="X469"/>
    </row>
    <row r="470" spans="23:24" x14ac:dyDescent="0.3">
      <c r="W470"/>
      <c r="X470"/>
    </row>
    <row r="471" spans="23:24" x14ac:dyDescent="0.3">
      <c r="W471"/>
      <c r="X471"/>
    </row>
    <row r="472" spans="23:24" x14ac:dyDescent="0.3">
      <c r="W472"/>
      <c r="X472"/>
    </row>
    <row r="473" spans="23:24" x14ac:dyDescent="0.3">
      <c r="W473"/>
      <c r="X473"/>
    </row>
    <row r="474" spans="23:24" x14ac:dyDescent="0.3">
      <c r="W474"/>
      <c r="X474"/>
    </row>
    <row r="475" spans="23:24" x14ac:dyDescent="0.3">
      <c r="W475"/>
      <c r="X475"/>
    </row>
    <row r="476" spans="23:24" x14ac:dyDescent="0.3">
      <c r="W476"/>
      <c r="X476"/>
    </row>
    <row r="477" spans="23:24" x14ac:dyDescent="0.3">
      <c r="W477"/>
      <c r="X477"/>
    </row>
    <row r="478" spans="23:24" x14ac:dyDescent="0.3">
      <c r="W478"/>
      <c r="X478"/>
    </row>
    <row r="479" spans="23:24" x14ac:dyDescent="0.3">
      <c r="W479"/>
      <c r="X479"/>
    </row>
    <row r="480" spans="23:24" x14ac:dyDescent="0.3">
      <c r="W480"/>
      <c r="X480"/>
    </row>
    <row r="481" spans="23:24" x14ac:dyDescent="0.3">
      <c r="W481"/>
      <c r="X481"/>
    </row>
    <row r="482" spans="23:24" x14ac:dyDescent="0.3">
      <c r="W482"/>
      <c r="X482"/>
    </row>
    <row r="483" spans="23:24" x14ac:dyDescent="0.3">
      <c r="W483"/>
      <c r="X483"/>
    </row>
    <row r="484" spans="23:24" x14ac:dyDescent="0.3">
      <c r="W484"/>
      <c r="X484"/>
    </row>
    <row r="485" spans="23:24" x14ac:dyDescent="0.3">
      <c r="W485"/>
      <c r="X485"/>
    </row>
    <row r="486" spans="23:24" x14ac:dyDescent="0.3">
      <c r="W486"/>
      <c r="X486"/>
    </row>
    <row r="487" spans="23:24" x14ac:dyDescent="0.3">
      <c r="W487"/>
      <c r="X487"/>
    </row>
    <row r="488" spans="23:24" x14ac:dyDescent="0.3">
      <c r="W488"/>
      <c r="X488"/>
    </row>
    <row r="489" spans="23:24" x14ac:dyDescent="0.3">
      <c r="W489"/>
      <c r="X489"/>
    </row>
    <row r="490" spans="23:24" x14ac:dyDescent="0.3">
      <c r="W490"/>
      <c r="X490"/>
    </row>
    <row r="491" spans="23:24" x14ac:dyDescent="0.3">
      <c r="W491"/>
      <c r="X491"/>
    </row>
    <row r="492" spans="23:24" x14ac:dyDescent="0.3">
      <c r="W492"/>
      <c r="X492"/>
    </row>
    <row r="493" spans="23:24" x14ac:dyDescent="0.3">
      <c r="W493"/>
      <c r="X493"/>
    </row>
    <row r="494" spans="23:24" x14ac:dyDescent="0.3">
      <c r="W494"/>
      <c r="X494"/>
    </row>
    <row r="495" spans="23:24" x14ac:dyDescent="0.3">
      <c r="W495"/>
      <c r="X495"/>
    </row>
    <row r="496" spans="23:24" x14ac:dyDescent="0.3">
      <c r="W496"/>
      <c r="X496"/>
    </row>
    <row r="497" spans="23:24" x14ac:dyDescent="0.3">
      <c r="W497"/>
      <c r="X497"/>
    </row>
    <row r="498" spans="23:24" x14ac:dyDescent="0.3">
      <c r="W498"/>
      <c r="X498"/>
    </row>
    <row r="499" spans="23:24" x14ac:dyDescent="0.3">
      <c r="W499"/>
      <c r="X499"/>
    </row>
    <row r="500" spans="23:24" x14ac:dyDescent="0.3">
      <c r="W500"/>
      <c r="X500"/>
    </row>
    <row r="501" spans="23:24" x14ac:dyDescent="0.3">
      <c r="W501"/>
      <c r="X501"/>
    </row>
    <row r="502" spans="23:24" x14ac:dyDescent="0.3">
      <c r="W502"/>
      <c r="X502"/>
    </row>
    <row r="503" spans="23:24" x14ac:dyDescent="0.3">
      <c r="W503"/>
      <c r="X503"/>
    </row>
    <row r="504" spans="23:24" x14ac:dyDescent="0.3">
      <c r="W504"/>
      <c r="X504"/>
    </row>
    <row r="505" spans="23:24" x14ac:dyDescent="0.3">
      <c r="W505"/>
      <c r="X505"/>
    </row>
    <row r="506" spans="23:24" x14ac:dyDescent="0.3">
      <c r="W506"/>
      <c r="X506"/>
    </row>
    <row r="507" spans="23:24" x14ac:dyDescent="0.3">
      <c r="W507"/>
      <c r="X507"/>
    </row>
    <row r="508" spans="23:24" x14ac:dyDescent="0.3">
      <c r="W508"/>
      <c r="X508"/>
    </row>
    <row r="509" spans="23:24" x14ac:dyDescent="0.3">
      <c r="W509"/>
      <c r="X509"/>
    </row>
    <row r="510" spans="23:24" x14ac:dyDescent="0.3">
      <c r="W510"/>
      <c r="X510"/>
    </row>
    <row r="511" spans="23:24" x14ac:dyDescent="0.3">
      <c r="W511"/>
      <c r="X511"/>
    </row>
    <row r="512" spans="23:24" x14ac:dyDescent="0.3">
      <c r="W512"/>
      <c r="X512"/>
    </row>
    <row r="513" spans="23:24" x14ac:dyDescent="0.3">
      <c r="W513"/>
      <c r="X513"/>
    </row>
    <row r="514" spans="23:24" x14ac:dyDescent="0.3">
      <c r="W514"/>
      <c r="X514"/>
    </row>
    <row r="515" spans="23:24" x14ac:dyDescent="0.3">
      <c r="W515"/>
      <c r="X515"/>
    </row>
    <row r="516" spans="23:24" x14ac:dyDescent="0.3">
      <c r="W516"/>
      <c r="X516"/>
    </row>
    <row r="517" spans="23:24" x14ac:dyDescent="0.3">
      <c r="W517"/>
      <c r="X517"/>
    </row>
    <row r="518" spans="23:24" x14ac:dyDescent="0.3">
      <c r="W518"/>
      <c r="X518"/>
    </row>
    <row r="519" spans="23:24" x14ac:dyDescent="0.3">
      <c r="W519"/>
      <c r="X519"/>
    </row>
    <row r="520" spans="23:24" x14ac:dyDescent="0.3">
      <c r="W520"/>
      <c r="X520"/>
    </row>
    <row r="521" spans="23:24" x14ac:dyDescent="0.3">
      <c r="W521"/>
      <c r="X521"/>
    </row>
    <row r="522" spans="23:24" x14ac:dyDescent="0.3">
      <c r="W522"/>
      <c r="X522"/>
    </row>
    <row r="523" spans="23:24" x14ac:dyDescent="0.3">
      <c r="W523"/>
      <c r="X523"/>
    </row>
    <row r="524" spans="23:24" x14ac:dyDescent="0.3">
      <c r="W524"/>
      <c r="X524"/>
    </row>
    <row r="525" spans="23:24" x14ac:dyDescent="0.3">
      <c r="W525"/>
      <c r="X525"/>
    </row>
    <row r="526" spans="23:24" x14ac:dyDescent="0.3">
      <c r="W526"/>
      <c r="X526"/>
    </row>
    <row r="527" spans="23:24" x14ac:dyDescent="0.3">
      <c r="W527"/>
      <c r="X527"/>
    </row>
    <row r="528" spans="23:24" x14ac:dyDescent="0.3">
      <c r="W528"/>
      <c r="X528"/>
    </row>
    <row r="529" spans="23:24" x14ac:dyDescent="0.3">
      <c r="W529"/>
      <c r="X529"/>
    </row>
    <row r="530" spans="23:24" x14ac:dyDescent="0.3">
      <c r="W530"/>
      <c r="X530"/>
    </row>
    <row r="531" spans="23:24" x14ac:dyDescent="0.3">
      <c r="W531"/>
      <c r="X531"/>
    </row>
    <row r="532" spans="23:24" x14ac:dyDescent="0.3">
      <c r="W532"/>
      <c r="X532"/>
    </row>
    <row r="533" spans="23:24" x14ac:dyDescent="0.3">
      <c r="W533"/>
      <c r="X533"/>
    </row>
    <row r="534" spans="23:24" x14ac:dyDescent="0.3">
      <c r="W534"/>
      <c r="X534"/>
    </row>
    <row r="535" spans="23:24" x14ac:dyDescent="0.3">
      <c r="W535"/>
      <c r="X535"/>
    </row>
    <row r="536" spans="23:24" x14ac:dyDescent="0.3">
      <c r="W536"/>
      <c r="X536"/>
    </row>
    <row r="537" spans="23:24" x14ac:dyDescent="0.3">
      <c r="W537"/>
      <c r="X537"/>
    </row>
    <row r="538" spans="23:24" x14ac:dyDescent="0.3">
      <c r="W538"/>
      <c r="X538"/>
    </row>
    <row r="539" spans="23:24" x14ac:dyDescent="0.3">
      <c r="W539"/>
      <c r="X539"/>
    </row>
    <row r="540" spans="23:24" x14ac:dyDescent="0.3">
      <c r="W540"/>
      <c r="X540"/>
    </row>
    <row r="541" spans="23:24" x14ac:dyDescent="0.3">
      <c r="W541"/>
      <c r="X541"/>
    </row>
    <row r="542" spans="23:24" x14ac:dyDescent="0.3">
      <c r="W542"/>
      <c r="X542"/>
    </row>
    <row r="543" spans="23:24" x14ac:dyDescent="0.3">
      <c r="W543"/>
      <c r="X543"/>
    </row>
    <row r="544" spans="23:24" x14ac:dyDescent="0.3">
      <c r="W544"/>
      <c r="X544"/>
    </row>
    <row r="545" spans="23:24" x14ac:dyDescent="0.3">
      <c r="W545"/>
      <c r="X545"/>
    </row>
    <row r="546" spans="23:24" x14ac:dyDescent="0.3">
      <c r="W546"/>
      <c r="X546"/>
    </row>
    <row r="547" spans="23:24" x14ac:dyDescent="0.3">
      <c r="W547"/>
      <c r="X547"/>
    </row>
    <row r="548" spans="23:24" x14ac:dyDescent="0.3">
      <c r="W548"/>
      <c r="X548"/>
    </row>
    <row r="549" spans="23:24" x14ac:dyDescent="0.3">
      <c r="W549"/>
      <c r="X549"/>
    </row>
    <row r="550" spans="23:24" x14ac:dyDescent="0.3">
      <c r="W550"/>
      <c r="X550"/>
    </row>
    <row r="551" spans="23:24" x14ac:dyDescent="0.3">
      <c r="W551"/>
      <c r="X551"/>
    </row>
    <row r="552" spans="23:24" x14ac:dyDescent="0.3">
      <c r="W552"/>
      <c r="X552"/>
    </row>
    <row r="553" spans="23:24" x14ac:dyDescent="0.3">
      <c r="W553"/>
      <c r="X553"/>
    </row>
    <row r="554" spans="23:24" x14ac:dyDescent="0.3">
      <c r="W554"/>
      <c r="X554"/>
    </row>
    <row r="555" spans="23:24" x14ac:dyDescent="0.3">
      <c r="W555"/>
      <c r="X555"/>
    </row>
    <row r="556" spans="23:24" x14ac:dyDescent="0.3">
      <c r="W556"/>
      <c r="X556"/>
    </row>
    <row r="557" spans="23:24" x14ac:dyDescent="0.3">
      <c r="W557"/>
      <c r="X557"/>
    </row>
    <row r="558" spans="23:24" x14ac:dyDescent="0.3">
      <c r="W558"/>
      <c r="X558"/>
    </row>
    <row r="559" spans="23:24" x14ac:dyDescent="0.3">
      <c r="W559"/>
      <c r="X559"/>
    </row>
    <row r="560" spans="23:24" x14ac:dyDescent="0.3">
      <c r="W560"/>
      <c r="X560"/>
    </row>
    <row r="561" spans="23:24" x14ac:dyDescent="0.3">
      <c r="W561"/>
      <c r="X561"/>
    </row>
    <row r="562" spans="23:24" x14ac:dyDescent="0.3">
      <c r="W562"/>
      <c r="X562"/>
    </row>
    <row r="563" spans="23:24" x14ac:dyDescent="0.3">
      <c r="W563"/>
      <c r="X563"/>
    </row>
    <row r="564" spans="23:24" x14ac:dyDescent="0.3">
      <c r="W564"/>
      <c r="X564"/>
    </row>
    <row r="565" spans="23:24" x14ac:dyDescent="0.3">
      <c r="W565"/>
      <c r="X565"/>
    </row>
    <row r="566" spans="23:24" x14ac:dyDescent="0.3">
      <c r="W566"/>
      <c r="X566"/>
    </row>
    <row r="567" spans="23:24" x14ac:dyDescent="0.3">
      <c r="W567"/>
      <c r="X567"/>
    </row>
    <row r="568" spans="23:24" x14ac:dyDescent="0.3">
      <c r="W568"/>
      <c r="X568"/>
    </row>
    <row r="569" spans="23:24" x14ac:dyDescent="0.3">
      <c r="W569"/>
      <c r="X569"/>
    </row>
    <row r="570" spans="23:24" x14ac:dyDescent="0.3">
      <c r="W570"/>
      <c r="X570"/>
    </row>
    <row r="571" spans="23:24" x14ac:dyDescent="0.3">
      <c r="W571"/>
      <c r="X571"/>
    </row>
    <row r="572" spans="23:24" x14ac:dyDescent="0.3">
      <c r="W572"/>
      <c r="X572"/>
    </row>
    <row r="573" spans="23:24" x14ac:dyDescent="0.3">
      <c r="W573"/>
      <c r="X573"/>
    </row>
    <row r="574" spans="23:24" x14ac:dyDescent="0.3">
      <c r="W574"/>
      <c r="X574"/>
    </row>
    <row r="575" spans="23:24" x14ac:dyDescent="0.3">
      <c r="W575"/>
      <c r="X575"/>
    </row>
    <row r="576" spans="23:24" x14ac:dyDescent="0.3">
      <c r="W576"/>
      <c r="X576"/>
    </row>
    <row r="577" spans="23:24" x14ac:dyDescent="0.3">
      <c r="W577"/>
      <c r="X577"/>
    </row>
    <row r="578" spans="23:24" x14ac:dyDescent="0.3">
      <c r="W578"/>
      <c r="X578"/>
    </row>
    <row r="579" spans="23:24" x14ac:dyDescent="0.3">
      <c r="W579"/>
      <c r="X579"/>
    </row>
    <row r="580" spans="23:24" x14ac:dyDescent="0.3">
      <c r="W580"/>
      <c r="X580"/>
    </row>
    <row r="581" spans="23:24" x14ac:dyDescent="0.3">
      <c r="W581"/>
      <c r="X581"/>
    </row>
    <row r="582" spans="23:24" x14ac:dyDescent="0.3">
      <c r="W582"/>
      <c r="X582"/>
    </row>
    <row r="583" spans="23:24" x14ac:dyDescent="0.3">
      <c r="W583"/>
      <c r="X583"/>
    </row>
    <row r="584" spans="23:24" x14ac:dyDescent="0.3">
      <c r="W584"/>
      <c r="X584"/>
    </row>
    <row r="585" spans="23:24" x14ac:dyDescent="0.3">
      <c r="W585"/>
      <c r="X585"/>
    </row>
    <row r="586" spans="23:24" x14ac:dyDescent="0.3">
      <c r="W586"/>
      <c r="X586"/>
    </row>
    <row r="587" spans="23:24" x14ac:dyDescent="0.3">
      <c r="W587"/>
      <c r="X587"/>
    </row>
    <row r="588" spans="23:24" x14ac:dyDescent="0.3">
      <c r="W588"/>
      <c r="X588"/>
    </row>
    <row r="589" spans="23:24" x14ac:dyDescent="0.3">
      <c r="W589"/>
      <c r="X589"/>
    </row>
    <row r="590" spans="23:24" x14ac:dyDescent="0.3">
      <c r="W590"/>
      <c r="X590"/>
    </row>
    <row r="591" spans="23:24" x14ac:dyDescent="0.3">
      <c r="W591"/>
      <c r="X591"/>
    </row>
    <row r="592" spans="23:24" x14ac:dyDescent="0.3">
      <c r="W592"/>
      <c r="X592"/>
    </row>
    <row r="593" spans="23:24" x14ac:dyDescent="0.3">
      <c r="W593"/>
      <c r="X593"/>
    </row>
    <row r="594" spans="23:24" x14ac:dyDescent="0.3">
      <c r="W594"/>
      <c r="X594"/>
    </row>
    <row r="595" spans="23:24" x14ac:dyDescent="0.3">
      <c r="W595"/>
      <c r="X595"/>
    </row>
    <row r="596" spans="23:24" x14ac:dyDescent="0.3">
      <c r="W596"/>
      <c r="X596"/>
    </row>
    <row r="597" spans="23:24" x14ac:dyDescent="0.3">
      <c r="W597"/>
      <c r="X597"/>
    </row>
    <row r="598" spans="23:24" x14ac:dyDescent="0.3">
      <c r="W598"/>
      <c r="X598"/>
    </row>
    <row r="599" spans="23:24" x14ac:dyDescent="0.3">
      <c r="W599"/>
      <c r="X599"/>
    </row>
    <row r="600" spans="23:24" x14ac:dyDescent="0.3">
      <c r="W600"/>
      <c r="X600"/>
    </row>
    <row r="601" spans="23:24" x14ac:dyDescent="0.3">
      <c r="W601"/>
      <c r="X601"/>
    </row>
    <row r="602" spans="23:24" x14ac:dyDescent="0.3">
      <c r="W602"/>
      <c r="X602"/>
    </row>
    <row r="603" spans="23:24" x14ac:dyDescent="0.3">
      <c r="W603"/>
      <c r="X603"/>
    </row>
    <row r="604" spans="23:24" x14ac:dyDescent="0.3">
      <c r="W604"/>
      <c r="X604"/>
    </row>
    <row r="605" spans="23:24" x14ac:dyDescent="0.3">
      <c r="W605"/>
      <c r="X605"/>
    </row>
    <row r="606" spans="23:24" x14ac:dyDescent="0.3">
      <c r="W606"/>
      <c r="X606"/>
    </row>
    <row r="607" spans="23:24" x14ac:dyDescent="0.3">
      <c r="W607"/>
      <c r="X607"/>
    </row>
    <row r="608" spans="23:24" x14ac:dyDescent="0.3">
      <c r="W608"/>
      <c r="X608"/>
    </row>
    <row r="609" spans="23:24" x14ac:dyDescent="0.3">
      <c r="W609"/>
      <c r="X609"/>
    </row>
    <row r="610" spans="23:24" x14ac:dyDescent="0.3">
      <c r="W610"/>
      <c r="X610"/>
    </row>
    <row r="611" spans="23:24" x14ac:dyDescent="0.3">
      <c r="W611"/>
      <c r="X611"/>
    </row>
    <row r="612" spans="23:24" x14ac:dyDescent="0.3">
      <c r="W612"/>
      <c r="X612"/>
    </row>
    <row r="613" spans="23:24" x14ac:dyDescent="0.3">
      <c r="W613"/>
      <c r="X613"/>
    </row>
    <row r="614" spans="23:24" x14ac:dyDescent="0.3">
      <c r="W614"/>
      <c r="X614"/>
    </row>
    <row r="615" spans="23:24" x14ac:dyDescent="0.3">
      <c r="W615"/>
      <c r="X615"/>
    </row>
    <row r="616" spans="23:24" x14ac:dyDescent="0.3">
      <c r="W616"/>
      <c r="X616"/>
    </row>
    <row r="617" spans="23:24" x14ac:dyDescent="0.3">
      <c r="W617"/>
      <c r="X617"/>
    </row>
    <row r="618" spans="23:24" x14ac:dyDescent="0.3">
      <c r="W618"/>
      <c r="X618"/>
    </row>
    <row r="619" spans="23:24" x14ac:dyDescent="0.3">
      <c r="W619"/>
      <c r="X619"/>
    </row>
    <row r="620" spans="23:24" x14ac:dyDescent="0.3">
      <c r="W620"/>
      <c r="X620"/>
    </row>
    <row r="621" spans="23:24" x14ac:dyDescent="0.3">
      <c r="W621"/>
      <c r="X621"/>
    </row>
    <row r="622" spans="23:24" x14ac:dyDescent="0.3">
      <c r="W622"/>
      <c r="X622"/>
    </row>
    <row r="623" spans="23:24" x14ac:dyDescent="0.3">
      <c r="W623"/>
      <c r="X623"/>
    </row>
    <row r="624" spans="23:24" x14ac:dyDescent="0.3">
      <c r="W624"/>
      <c r="X624"/>
    </row>
    <row r="625" spans="23:24" x14ac:dyDescent="0.3">
      <c r="W625"/>
      <c r="X625"/>
    </row>
    <row r="626" spans="23:24" x14ac:dyDescent="0.3">
      <c r="W626"/>
      <c r="X626"/>
    </row>
    <row r="627" spans="23:24" x14ac:dyDescent="0.3">
      <c r="W627"/>
      <c r="X627"/>
    </row>
    <row r="628" spans="23:24" x14ac:dyDescent="0.3">
      <c r="W628"/>
      <c r="X628"/>
    </row>
    <row r="629" spans="23:24" x14ac:dyDescent="0.3">
      <c r="W629"/>
      <c r="X629"/>
    </row>
    <row r="630" spans="23:24" x14ac:dyDescent="0.3">
      <c r="W630"/>
      <c r="X630"/>
    </row>
    <row r="631" spans="23:24" x14ac:dyDescent="0.3">
      <c r="W631"/>
      <c r="X631"/>
    </row>
    <row r="632" spans="23:24" x14ac:dyDescent="0.3">
      <c r="W632"/>
      <c r="X632"/>
    </row>
    <row r="633" spans="23:24" x14ac:dyDescent="0.3">
      <c r="W633"/>
      <c r="X633"/>
    </row>
    <row r="634" spans="23:24" x14ac:dyDescent="0.3">
      <c r="W634"/>
      <c r="X634"/>
    </row>
    <row r="635" spans="23:24" x14ac:dyDescent="0.3">
      <c r="W635"/>
      <c r="X635"/>
    </row>
    <row r="636" spans="23:24" x14ac:dyDescent="0.3">
      <c r="W636"/>
      <c r="X636"/>
    </row>
    <row r="637" spans="23:24" x14ac:dyDescent="0.3">
      <c r="W637"/>
      <c r="X637"/>
    </row>
    <row r="638" spans="23:24" x14ac:dyDescent="0.3">
      <c r="W638"/>
      <c r="X638"/>
    </row>
    <row r="639" spans="23:24" x14ac:dyDescent="0.3">
      <c r="W639"/>
      <c r="X639"/>
    </row>
    <row r="640" spans="23:24" x14ac:dyDescent="0.3">
      <c r="W640"/>
      <c r="X640"/>
    </row>
    <row r="641" spans="23:24" x14ac:dyDescent="0.3">
      <c r="W641"/>
      <c r="X641"/>
    </row>
    <row r="642" spans="23:24" x14ac:dyDescent="0.3">
      <c r="W642"/>
      <c r="X642"/>
    </row>
    <row r="643" spans="23:24" x14ac:dyDescent="0.3">
      <c r="W643"/>
      <c r="X643"/>
    </row>
    <row r="644" spans="23:24" x14ac:dyDescent="0.3">
      <c r="W644"/>
      <c r="X644"/>
    </row>
    <row r="645" spans="23:24" x14ac:dyDescent="0.3">
      <c r="W645"/>
      <c r="X645"/>
    </row>
    <row r="646" spans="23:24" x14ac:dyDescent="0.3">
      <c r="W646"/>
      <c r="X646"/>
    </row>
    <row r="647" spans="23:24" x14ac:dyDescent="0.3">
      <c r="W647"/>
      <c r="X647"/>
    </row>
    <row r="648" spans="23:24" x14ac:dyDescent="0.3">
      <c r="W648"/>
      <c r="X648"/>
    </row>
    <row r="649" spans="23:24" x14ac:dyDescent="0.3">
      <c r="W649"/>
      <c r="X649"/>
    </row>
    <row r="650" spans="23:24" x14ac:dyDescent="0.3">
      <c r="W650"/>
      <c r="X650"/>
    </row>
    <row r="651" spans="23:24" x14ac:dyDescent="0.3">
      <c r="W651"/>
      <c r="X651"/>
    </row>
    <row r="652" spans="23:24" x14ac:dyDescent="0.3">
      <c r="W652"/>
      <c r="X652"/>
    </row>
    <row r="653" spans="23:24" x14ac:dyDescent="0.3">
      <c r="W653"/>
      <c r="X653"/>
    </row>
    <row r="654" spans="23:24" x14ac:dyDescent="0.3">
      <c r="W654"/>
      <c r="X654"/>
    </row>
    <row r="655" spans="23:24" x14ac:dyDescent="0.3">
      <c r="W655"/>
      <c r="X655"/>
    </row>
    <row r="656" spans="23:24" x14ac:dyDescent="0.3">
      <c r="W656"/>
      <c r="X656"/>
    </row>
    <row r="657" spans="23:24" x14ac:dyDescent="0.3">
      <c r="W657"/>
      <c r="X657"/>
    </row>
    <row r="658" spans="23:24" x14ac:dyDescent="0.3">
      <c r="W658"/>
      <c r="X658"/>
    </row>
    <row r="659" spans="23:24" x14ac:dyDescent="0.3">
      <c r="W659"/>
      <c r="X659"/>
    </row>
    <row r="660" spans="23:24" x14ac:dyDescent="0.3">
      <c r="W660"/>
      <c r="X660"/>
    </row>
    <row r="661" spans="23:24" x14ac:dyDescent="0.3">
      <c r="W661"/>
      <c r="X661"/>
    </row>
    <row r="662" spans="23:24" x14ac:dyDescent="0.3">
      <c r="W662"/>
      <c r="X662"/>
    </row>
    <row r="663" spans="23:24" x14ac:dyDescent="0.3">
      <c r="W663"/>
      <c r="X663"/>
    </row>
    <row r="664" spans="23:24" x14ac:dyDescent="0.3">
      <c r="W664"/>
      <c r="X664"/>
    </row>
    <row r="665" spans="23:24" x14ac:dyDescent="0.3">
      <c r="W665"/>
      <c r="X665"/>
    </row>
    <row r="666" spans="23:24" x14ac:dyDescent="0.3">
      <c r="W666"/>
      <c r="X666"/>
    </row>
    <row r="667" spans="23:24" x14ac:dyDescent="0.3">
      <c r="W667"/>
      <c r="X667"/>
    </row>
    <row r="668" spans="23:24" x14ac:dyDescent="0.3">
      <c r="W668"/>
      <c r="X668"/>
    </row>
    <row r="669" spans="23:24" x14ac:dyDescent="0.3">
      <c r="W669"/>
      <c r="X669"/>
    </row>
    <row r="670" spans="23:24" x14ac:dyDescent="0.3">
      <c r="W670"/>
      <c r="X670"/>
    </row>
    <row r="671" spans="23:24" x14ac:dyDescent="0.3">
      <c r="W671"/>
      <c r="X671"/>
    </row>
    <row r="672" spans="23:24" x14ac:dyDescent="0.3">
      <c r="W672"/>
      <c r="X672"/>
    </row>
    <row r="673" spans="23:24" x14ac:dyDescent="0.3">
      <c r="W673"/>
      <c r="X673"/>
    </row>
    <row r="674" spans="23:24" x14ac:dyDescent="0.3">
      <c r="W674"/>
      <c r="X674"/>
    </row>
    <row r="675" spans="23:24" x14ac:dyDescent="0.3">
      <c r="W675"/>
      <c r="X675"/>
    </row>
    <row r="676" spans="23:24" x14ac:dyDescent="0.3">
      <c r="W676"/>
      <c r="X676"/>
    </row>
    <row r="677" spans="23:24" x14ac:dyDescent="0.3">
      <c r="W677"/>
      <c r="X677"/>
    </row>
    <row r="678" spans="23:24" x14ac:dyDescent="0.3">
      <c r="W678"/>
      <c r="X678"/>
    </row>
    <row r="679" spans="23:24" x14ac:dyDescent="0.3">
      <c r="W679"/>
      <c r="X679"/>
    </row>
    <row r="680" spans="23:24" x14ac:dyDescent="0.3">
      <c r="W680"/>
      <c r="X680"/>
    </row>
    <row r="681" spans="23:24" x14ac:dyDescent="0.3">
      <c r="W681"/>
      <c r="X681"/>
    </row>
    <row r="682" spans="23:24" x14ac:dyDescent="0.3">
      <c r="W682"/>
      <c r="X682"/>
    </row>
    <row r="683" spans="23:24" x14ac:dyDescent="0.3">
      <c r="W683"/>
      <c r="X683"/>
    </row>
    <row r="684" spans="23:24" x14ac:dyDescent="0.3">
      <c r="W684"/>
      <c r="X684"/>
    </row>
    <row r="685" spans="23:24" x14ac:dyDescent="0.3">
      <c r="W685"/>
      <c r="X685"/>
    </row>
    <row r="686" spans="23:24" x14ac:dyDescent="0.3">
      <c r="W686"/>
      <c r="X686"/>
    </row>
    <row r="687" spans="23:24" x14ac:dyDescent="0.3">
      <c r="W687"/>
      <c r="X687"/>
    </row>
    <row r="688" spans="23:24" x14ac:dyDescent="0.3">
      <c r="W688"/>
      <c r="X688"/>
    </row>
    <row r="689" spans="23:24" x14ac:dyDescent="0.3">
      <c r="W689"/>
      <c r="X689"/>
    </row>
    <row r="690" spans="23:24" x14ac:dyDescent="0.3">
      <c r="W690"/>
      <c r="X690"/>
    </row>
    <row r="691" spans="23:24" x14ac:dyDescent="0.3">
      <c r="W691"/>
      <c r="X691"/>
    </row>
    <row r="692" spans="23:24" x14ac:dyDescent="0.3">
      <c r="W692"/>
      <c r="X692"/>
    </row>
    <row r="693" spans="23:24" x14ac:dyDescent="0.3">
      <c r="W693"/>
      <c r="X693"/>
    </row>
    <row r="694" spans="23:24" x14ac:dyDescent="0.3">
      <c r="W694"/>
      <c r="X694"/>
    </row>
    <row r="695" spans="23:24" x14ac:dyDescent="0.3">
      <c r="W695"/>
      <c r="X695"/>
    </row>
    <row r="696" spans="23:24" x14ac:dyDescent="0.3">
      <c r="W696"/>
      <c r="X696"/>
    </row>
    <row r="697" spans="23:24" x14ac:dyDescent="0.3">
      <c r="W697"/>
      <c r="X697"/>
    </row>
    <row r="698" spans="23:24" x14ac:dyDescent="0.3">
      <c r="W698"/>
      <c r="X698"/>
    </row>
    <row r="699" spans="23:24" x14ac:dyDescent="0.3">
      <c r="W699"/>
      <c r="X699"/>
    </row>
    <row r="700" spans="23:24" x14ac:dyDescent="0.3">
      <c r="W700"/>
      <c r="X700"/>
    </row>
    <row r="701" spans="23:24" x14ac:dyDescent="0.3">
      <c r="W701"/>
      <c r="X701"/>
    </row>
    <row r="702" spans="23:24" x14ac:dyDescent="0.3">
      <c r="W702"/>
      <c r="X702"/>
    </row>
    <row r="703" spans="23:24" x14ac:dyDescent="0.3">
      <c r="W703"/>
      <c r="X703"/>
    </row>
    <row r="704" spans="23:24" x14ac:dyDescent="0.3">
      <c r="W704"/>
      <c r="X704"/>
    </row>
    <row r="705" spans="23:24" x14ac:dyDescent="0.3">
      <c r="W705"/>
      <c r="X705"/>
    </row>
    <row r="706" spans="23:24" x14ac:dyDescent="0.3">
      <c r="W706"/>
      <c r="X706"/>
    </row>
    <row r="707" spans="23:24" x14ac:dyDescent="0.3">
      <c r="W707"/>
      <c r="X707"/>
    </row>
    <row r="708" spans="23:24" x14ac:dyDescent="0.3">
      <c r="W708"/>
      <c r="X708"/>
    </row>
    <row r="709" spans="23:24" x14ac:dyDescent="0.3">
      <c r="W709"/>
      <c r="X709"/>
    </row>
    <row r="710" spans="23:24" x14ac:dyDescent="0.3">
      <c r="W710"/>
      <c r="X710"/>
    </row>
    <row r="711" spans="23:24" x14ac:dyDescent="0.3">
      <c r="W711"/>
      <c r="X711"/>
    </row>
    <row r="712" spans="23:24" x14ac:dyDescent="0.3">
      <c r="W712"/>
      <c r="X712"/>
    </row>
    <row r="713" spans="23:24" x14ac:dyDescent="0.3">
      <c r="W713"/>
      <c r="X713"/>
    </row>
    <row r="714" spans="23:24" x14ac:dyDescent="0.3">
      <c r="W714"/>
      <c r="X714"/>
    </row>
    <row r="715" spans="23:24" x14ac:dyDescent="0.3">
      <c r="W715"/>
      <c r="X715"/>
    </row>
    <row r="716" spans="23:24" x14ac:dyDescent="0.3">
      <c r="W716"/>
      <c r="X716"/>
    </row>
    <row r="717" spans="23:24" x14ac:dyDescent="0.3">
      <c r="W717"/>
      <c r="X717"/>
    </row>
    <row r="718" spans="23:24" x14ac:dyDescent="0.3">
      <c r="W718"/>
      <c r="X718"/>
    </row>
    <row r="719" spans="23:24" x14ac:dyDescent="0.3">
      <c r="W719"/>
      <c r="X719"/>
    </row>
    <row r="720" spans="23:24" x14ac:dyDescent="0.3">
      <c r="W720"/>
      <c r="X720"/>
    </row>
    <row r="721" spans="23:24" x14ac:dyDescent="0.3">
      <c r="W721"/>
      <c r="X721"/>
    </row>
    <row r="722" spans="23:24" x14ac:dyDescent="0.3">
      <c r="W722"/>
      <c r="X722"/>
    </row>
    <row r="723" spans="23:24" x14ac:dyDescent="0.3">
      <c r="W723"/>
      <c r="X723"/>
    </row>
    <row r="724" spans="23:24" x14ac:dyDescent="0.3">
      <c r="W724"/>
      <c r="X724"/>
    </row>
    <row r="725" spans="23:24" x14ac:dyDescent="0.3">
      <c r="W725"/>
      <c r="X725"/>
    </row>
    <row r="726" spans="23:24" x14ac:dyDescent="0.3">
      <c r="W726"/>
      <c r="X726"/>
    </row>
    <row r="727" spans="23:24" x14ac:dyDescent="0.3">
      <c r="W727"/>
      <c r="X727"/>
    </row>
    <row r="728" spans="23:24" x14ac:dyDescent="0.3">
      <c r="W728"/>
      <c r="X728"/>
    </row>
    <row r="729" spans="23:24" x14ac:dyDescent="0.3">
      <c r="W729"/>
      <c r="X729"/>
    </row>
    <row r="730" spans="23:24" x14ac:dyDescent="0.3">
      <c r="W730"/>
      <c r="X730"/>
    </row>
    <row r="731" spans="23:24" x14ac:dyDescent="0.3">
      <c r="W731"/>
      <c r="X731"/>
    </row>
    <row r="732" spans="23:24" x14ac:dyDescent="0.3">
      <c r="W732"/>
      <c r="X732"/>
    </row>
    <row r="733" spans="23:24" x14ac:dyDescent="0.3">
      <c r="W733"/>
      <c r="X733"/>
    </row>
    <row r="734" spans="23:24" x14ac:dyDescent="0.3">
      <c r="W734"/>
      <c r="X734"/>
    </row>
    <row r="735" spans="23:24" x14ac:dyDescent="0.3">
      <c r="W735"/>
      <c r="X735"/>
    </row>
    <row r="736" spans="23:24" x14ac:dyDescent="0.3">
      <c r="W736"/>
      <c r="X736"/>
    </row>
    <row r="737" spans="23:24" x14ac:dyDescent="0.3">
      <c r="W737"/>
      <c r="X737"/>
    </row>
    <row r="738" spans="23:24" x14ac:dyDescent="0.3">
      <c r="W738"/>
      <c r="X738"/>
    </row>
    <row r="739" spans="23:24" x14ac:dyDescent="0.3">
      <c r="W739"/>
      <c r="X739"/>
    </row>
    <row r="740" spans="23:24" x14ac:dyDescent="0.3">
      <c r="W740"/>
      <c r="X740"/>
    </row>
    <row r="741" spans="23:24" x14ac:dyDescent="0.3">
      <c r="W741"/>
      <c r="X741"/>
    </row>
    <row r="742" spans="23:24" x14ac:dyDescent="0.3">
      <c r="W742"/>
      <c r="X742"/>
    </row>
    <row r="743" spans="23:24" x14ac:dyDescent="0.3">
      <c r="W743"/>
      <c r="X743"/>
    </row>
    <row r="744" spans="23:24" x14ac:dyDescent="0.3">
      <c r="W744"/>
      <c r="X744"/>
    </row>
    <row r="745" spans="23:24" x14ac:dyDescent="0.3">
      <c r="W745"/>
      <c r="X745"/>
    </row>
    <row r="746" spans="23:24" x14ac:dyDescent="0.3">
      <c r="W746"/>
      <c r="X746"/>
    </row>
    <row r="747" spans="23:24" x14ac:dyDescent="0.3">
      <c r="W747"/>
      <c r="X747"/>
    </row>
    <row r="748" spans="23:24" x14ac:dyDescent="0.3">
      <c r="W748"/>
      <c r="X748"/>
    </row>
    <row r="749" spans="23:24" x14ac:dyDescent="0.3">
      <c r="W749"/>
      <c r="X749"/>
    </row>
    <row r="750" spans="23:24" x14ac:dyDescent="0.3">
      <c r="W750"/>
      <c r="X750"/>
    </row>
    <row r="751" spans="23:24" x14ac:dyDescent="0.3">
      <c r="W751"/>
      <c r="X751"/>
    </row>
    <row r="752" spans="23:24" x14ac:dyDescent="0.3">
      <c r="W752"/>
      <c r="X752"/>
    </row>
    <row r="753" spans="23:24" x14ac:dyDescent="0.3">
      <c r="W753"/>
      <c r="X753"/>
    </row>
    <row r="754" spans="23:24" x14ac:dyDescent="0.3">
      <c r="W754"/>
      <c r="X754"/>
    </row>
    <row r="755" spans="23:24" x14ac:dyDescent="0.3">
      <c r="W755"/>
      <c r="X755"/>
    </row>
    <row r="756" spans="23:24" x14ac:dyDescent="0.3">
      <c r="W756"/>
      <c r="X756"/>
    </row>
    <row r="757" spans="23:24" x14ac:dyDescent="0.3">
      <c r="W757"/>
      <c r="X757"/>
    </row>
    <row r="758" spans="23:24" x14ac:dyDescent="0.3">
      <c r="W758"/>
      <c r="X758"/>
    </row>
    <row r="759" spans="23:24" x14ac:dyDescent="0.3">
      <c r="W759"/>
      <c r="X759"/>
    </row>
    <row r="760" spans="23:24" x14ac:dyDescent="0.3">
      <c r="W760"/>
      <c r="X760"/>
    </row>
    <row r="761" spans="23:24" x14ac:dyDescent="0.3">
      <c r="W761"/>
      <c r="X761"/>
    </row>
    <row r="762" spans="23:24" x14ac:dyDescent="0.3">
      <c r="W762"/>
      <c r="X762"/>
    </row>
    <row r="763" spans="23:24" x14ac:dyDescent="0.3">
      <c r="W763"/>
      <c r="X763"/>
    </row>
    <row r="764" spans="23:24" x14ac:dyDescent="0.3">
      <c r="W764"/>
      <c r="X764"/>
    </row>
    <row r="765" spans="23:24" x14ac:dyDescent="0.3">
      <c r="W765"/>
      <c r="X765"/>
    </row>
    <row r="766" spans="23:24" x14ac:dyDescent="0.3">
      <c r="W766"/>
      <c r="X766"/>
    </row>
    <row r="767" spans="23:24" x14ac:dyDescent="0.3">
      <c r="W767"/>
      <c r="X767"/>
    </row>
    <row r="768" spans="23:24" x14ac:dyDescent="0.3">
      <c r="W768"/>
      <c r="X768"/>
    </row>
    <row r="769" spans="23:24" x14ac:dyDescent="0.3">
      <c r="W769"/>
      <c r="X769"/>
    </row>
    <row r="770" spans="23:24" x14ac:dyDescent="0.3">
      <c r="W770"/>
      <c r="X770"/>
    </row>
    <row r="771" spans="23:24" x14ac:dyDescent="0.3">
      <c r="W771"/>
      <c r="X771"/>
    </row>
    <row r="772" spans="23:24" x14ac:dyDescent="0.3">
      <c r="W772"/>
      <c r="X772"/>
    </row>
    <row r="773" spans="23:24" x14ac:dyDescent="0.3">
      <c r="W773"/>
      <c r="X773"/>
    </row>
    <row r="774" spans="23:24" x14ac:dyDescent="0.3">
      <c r="W774"/>
      <c r="X774"/>
    </row>
    <row r="775" spans="23:24" x14ac:dyDescent="0.3">
      <c r="W775"/>
      <c r="X775"/>
    </row>
    <row r="776" spans="23:24" x14ac:dyDescent="0.3">
      <c r="W776"/>
      <c r="X776"/>
    </row>
    <row r="777" spans="23:24" x14ac:dyDescent="0.3">
      <c r="W777"/>
      <c r="X777"/>
    </row>
    <row r="778" spans="23:24" x14ac:dyDescent="0.3">
      <c r="W778"/>
      <c r="X778"/>
    </row>
    <row r="779" spans="23:24" x14ac:dyDescent="0.3">
      <c r="W779"/>
      <c r="X779"/>
    </row>
    <row r="780" spans="23:24" x14ac:dyDescent="0.3">
      <c r="W780"/>
      <c r="X780"/>
    </row>
    <row r="781" spans="23:24" x14ac:dyDescent="0.3">
      <c r="W781"/>
      <c r="X781"/>
    </row>
    <row r="782" spans="23:24" x14ac:dyDescent="0.3">
      <c r="W782"/>
      <c r="X782"/>
    </row>
    <row r="783" spans="23:24" x14ac:dyDescent="0.3">
      <c r="W783"/>
      <c r="X783"/>
    </row>
    <row r="784" spans="23:24" x14ac:dyDescent="0.3">
      <c r="W784"/>
      <c r="X784"/>
    </row>
    <row r="785" spans="23:24" x14ac:dyDescent="0.3">
      <c r="W785"/>
      <c r="X785"/>
    </row>
    <row r="786" spans="23:24" x14ac:dyDescent="0.3">
      <c r="W786"/>
      <c r="X786"/>
    </row>
    <row r="787" spans="23:24" x14ac:dyDescent="0.3">
      <c r="W787"/>
      <c r="X787"/>
    </row>
    <row r="788" spans="23:24" x14ac:dyDescent="0.3">
      <c r="W788"/>
      <c r="X788"/>
    </row>
    <row r="789" spans="23:24" x14ac:dyDescent="0.3">
      <c r="W789"/>
      <c r="X789"/>
    </row>
    <row r="790" spans="23:24" x14ac:dyDescent="0.3">
      <c r="W790"/>
      <c r="X790"/>
    </row>
    <row r="791" spans="23:24" x14ac:dyDescent="0.3">
      <c r="W791"/>
      <c r="X791"/>
    </row>
    <row r="792" spans="23:24" x14ac:dyDescent="0.3">
      <c r="W792"/>
      <c r="X792"/>
    </row>
    <row r="793" spans="23:24" x14ac:dyDescent="0.3">
      <c r="W793"/>
      <c r="X793"/>
    </row>
    <row r="794" spans="23:24" x14ac:dyDescent="0.3">
      <c r="W794"/>
      <c r="X794"/>
    </row>
    <row r="795" spans="23:24" x14ac:dyDescent="0.3">
      <c r="W795"/>
      <c r="X795"/>
    </row>
    <row r="796" spans="23:24" x14ac:dyDescent="0.3">
      <c r="W796"/>
      <c r="X796"/>
    </row>
    <row r="797" spans="23:24" x14ac:dyDescent="0.3">
      <c r="W797"/>
      <c r="X797"/>
    </row>
    <row r="798" spans="23:24" x14ac:dyDescent="0.3">
      <c r="W798"/>
      <c r="X798"/>
    </row>
    <row r="799" spans="23:24" x14ac:dyDescent="0.3">
      <c r="W799"/>
      <c r="X799"/>
    </row>
    <row r="800" spans="23:24" x14ac:dyDescent="0.3">
      <c r="W800"/>
      <c r="X800"/>
    </row>
    <row r="801" spans="23:24" x14ac:dyDescent="0.3">
      <c r="W801"/>
      <c r="X801"/>
    </row>
    <row r="802" spans="23:24" x14ac:dyDescent="0.3">
      <c r="W802"/>
      <c r="X802"/>
    </row>
    <row r="803" spans="23:24" x14ac:dyDescent="0.3">
      <c r="W803"/>
      <c r="X803"/>
    </row>
    <row r="804" spans="23:24" x14ac:dyDescent="0.3">
      <c r="W804"/>
      <c r="X804"/>
    </row>
    <row r="805" spans="23:24" x14ac:dyDescent="0.3">
      <c r="W805"/>
      <c r="X805"/>
    </row>
    <row r="806" spans="23:24" x14ac:dyDescent="0.3">
      <c r="W806"/>
      <c r="X806"/>
    </row>
    <row r="807" spans="23:24" x14ac:dyDescent="0.3">
      <c r="W807"/>
      <c r="X807"/>
    </row>
    <row r="808" spans="23:24" x14ac:dyDescent="0.3">
      <c r="W808"/>
      <c r="X808"/>
    </row>
    <row r="809" spans="23:24" x14ac:dyDescent="0.3">
      <c r="W809"/>
      <c r="X809"/>
    </row>
    <row r="810" spans="23:24" x14ac:dyDescent="0.3">
      <c r="W810"/>
      <c r="X810"/>
    </row>
    <row r="811" spans="23:24" x14ac:dyDescent="0.3">
      <c r="W811"/>
      <c r="X811"/>
    </row>
    <row r="812" spans="23:24" x14ac:dyDescent="0.3">
      <c r="W812"/>
      <c r="X812"/>
    </row>
    <row r="813" spans="23:24" x14ac:dyDescent="0.3">
      <c r="W813"/>
      <c r="X813"/>
    </row>
    <row r="814" spans="23:24" x14ac:dyDescent="0.3">
      <c r="W814"/>
      <c r="X814"/>
    </row>
    <row r="815" spans="23:24" x14ac:dyDescent="0.3">
      <c r="W815"/>
      <c r="X815"/>
    </row>
    <row r="816" spans="23:24" x14ac:dyDescent="0.3">
      <c r="W816"/>
      <c r="X816"/>
    </row>
    <row r="817" spans="23:24" x14ac:dyDescent="0.3">
      <c r="W817"/>
      <c r="X817"/>
    </row>
    <row r="818" spans="23:24" x14ac:dyDescent="0.3">
      <c r="W818"/>
      <c r="X818"/>
    </row>
    <row r="819" spans="23:24" x14ac:dyDescent="0.3">
      <c r="W819"/>
      <c r="X819"/>
    </row>
    <row r="820" spans="23:24" x14ac:dyDescent="0.3">
      <c r="W820"/>
      <c r="X820"/>
    </row>
    <row r="821" spans="23:24" x14ac:dyDescent="0.3">
      <c r="W821"/>
      <c r="X821"/>
    </row>
    <row r="822" spans="23:24" x14ac:dyDescent="0.3">
      <c r="W822"/>
      <c r="X822"/>
    </row>
    <row r="823" spans="23:24" x14ac:dyDescent="0.3">
      <c r="W823"/>
      <c r="X823"/>
    </row>
    <row r="824" spans="23:24" x14ac:dyDescent="0.3">
      <c r="W824"/>
      <c r="X824"/>
    </row>
    <row r="825" spans="23:24" x14ac:dyDescent="0.3">
      <c r="W825"/>
      <c r="X825"/>
    </row>
    <row r="826" spans="23:24" x14ac:dyDescent="0.3">
      <c r="W826"/>
      <c r="X826"/>
    </row>
    <row r="827" spans="23:24" x14ac:dyDescent="0.3">
      <c r="W827"/>
      <c r="X827"/>
    </row>
    <row r="828" spans="23:24" x14ac:dyDescent="0.3">
      <c r="W828"/>
      <c r="X828"/>
    </row>
    <row r="829" spans="23:24" x14ac:dyDescent="0.3">
      <c r="W829"/>
      <c r="X829"/>
    </row>
    <row r="830" spans="23:24" x14ac:dyDescent="0.3">
      <c r="W830"/>
      <c r="X830"/>
    </row>
    <row r="831" spans="23:24" x14ac:dyDescent="0.3">
      <c r="W831"/>
      <c r="X831"/>
    </row>
    <row r="832" spans="23:24" x14ac:dyDescent="0.3">
      <c r="W832"/>
      <c r="X832"/>
    </row>
    <row r="833" spans="23:24" x14ac:dyDescent="0.3">
      <c r="W833"/>
      <c r="X833"/>
    </row>
    <row r="834" spans="23:24" x14ac:dyDescent="0.3">
      <c r="W834"/>
      <c r="X834"/>
    </row>
    <row r="835" spans="23:24" x14ac:dyDescent="0.3">
      <c r="W835"/>
      <c r="X835"/>
    </row>
    <row r="836" spans="23:24" x14ac:dyDescent="0.3">
      <c r="W836"/>
      <c r="X836"/>
    </row>
    <row r="837" spans="23:24" x14ac:dyDescent="0.3">
      <c r="W837"/>
      <c r="X837"/>
    </row>
    <row r="838" spans="23:24" x14ac:dyDescent="0.3">
      <c r="W838"/>
      <c r="X838"/>
    </row>
    <row r="839" spans="23:24" x14ac:dyDescent="0.3">
      <c r="W839"/>
      <c r="X839"/>
    </row>
    <row r="840" spans="23:24" x14ac:dyDescent="0.3">
      <c r="W840"/>
      <c r="X840"/>
    </row>
    <row r="841" spans="23:24" x14ac:dyDescent="0.3">
      <c r="W841"/>
      <c r="X841"/>
    </row>
    <row r="842" spans="23:24" x14ac:dyDescent="0.3">
      <c r="W842"/>
      <c r="X842"/>
    </row>
    <row r="843" spans="23:24" x14ac:dyDescent="0.3">
      <c r="W843"/>
      <c r="X843"/>
    </row>
    <row r="844" spans="23:24" x14ac:dyDescent="0.3">
      <c r="W844"/>
      <c r="X844"/>
    </row>
    <row r="845" spans="23:24" x14ac:dyDescent="0.3">
      <c r="W845"/>
      <c r="X845"/>
    </row>
    <row r="846" spans="23:24" x14ac:dyDescent="0.3">
      <c r="W846"/>
      <c r="X846"/>
    </row>
    <row r="847" spans="23:24" x14ac:dyDescent="0.3">
      <c r="W847"/>
      <c r="X847"/>
    </row>
    <row r="848" spans="23:24" x14ac:dyDescent="0.3">
      <c r="W848"/>
      <c r="X848"/>
    </row>
    <row r="849" spans="23:24" x14ac:dyDescent="0.3">
      <c r="W849"/>
      <c r="X849"/>
    </row>
    <row r="850" spans="23:24" x14ac:dyDescent="0.3">
      <c r="W850"/>
      <c r="X850"/>
    </row>
    <row r="851" spans="23:24" x14ac:dyDescent="0.3">
      <c r="W851"/>
      <c r="X851"/>
    </row>
    <row r="852" spans="23:24" x14ac:dyDescent="0.3">
      <c r="W852"/>
      <c r="X852"/>
    </row>
    <row r="853" spans="23:24" x14ac:dyDescent="0.3">
      <c r="W853"/>
      <c r="X853"/>
    </row>
    <row r="854" spans="23:24" x14ac:dyDescent="0.3">
      <c r="W854"/>
      <c r="X854"/>
    </row>
    <row r="855" spans="23:24" x14ac:dyDescent="0.3">
      <c r="W855"/>
      <c r="X855"/>
    </row>
    <row r="856" spans="23:24" x14ac:dyDescent="0.3">
      <c r="W856"/>
      <c r="X856"/>
    </row>
    <row r="857" spans="23:24" x14ac:dyDescent="0.3">
      <c r="W857"/>
      <c r="X857"/>
    </row>
    <row r="858" spans="23:24" x14ac:dyDescent="0.3">
      <c r="W858"/>
      <c r="X858"/>
    </row>
    <row r="859" spans="23:24" x14ac:dyDescent="0.3">
      <c r="W859"/>
      <c r="X859"/>
    </row>
    <row r="860" spans="23:24" x14ac:dyDescent="0.3">
      <c r="W860"/>
      <c r="X860"/>
    </row>
    <row r="861" spans="23:24" x14ac:dyDescent="0.3">
      <c r="W861"/>
      <c r="X861"/>
    </row>
    <row r="862" spans="23:24" x14ac:dyDescent="0.3">
      <c r="W862"/>
      <c r="X862"/>
    </row>
    <row r="863" spans="23:24" x14ac:dyDescent="0.3">
      <c r="W863"/>
      <c r="X863"/>
    </row>
    <row r="864" spans="23:24" x14ac:dyDescent="0.3">
      <c r="W864"/>
      <c r="X864"/>
    </row>
    <row r="865" spans="23:24" x14ac:dyDescent="0.3">
      <c r="W865"/>
      <c r="X865"/>
    </row>
    <row r="866" spans="23:24" x14ac:dyDescent="0.3">
      <c r="W866"/>
      <c r="X866"/>
    </row>
    <row r="867" spans="23:24" x14ac:dyDescent="0.3">
      <c r="W867"/>
      <c r="X867"/>
    </row>
    <row r="868" spans="23:24" x14ac:dyDescent="0.3">
      <c r="W868"/>
      <c r="X868"/>
    </row>
    <row r="869" spans="23:24" x14ac:dyDescent="0.3">
      <c r="W869"/>
      <c r="X869"/>
    </row>
    <row r="870" spans="23:24" x14ac:dyDescent="0.3">
      <c r="W870"/>
      <c r="X870"/>
    </row>
    <row r="871" spans="23:24" x14ac:dyDescent="0.3">
      <c r="W871"/>
      <c r="X871"/>
    </row>
    <row r="872" spans="23:24" x14ac:dyDescent="0.3">
      <c r="W872"/>
      <c r="X872"/>
    </row>
    <row r="873" spans="23:24" x14ac:dyDescent="0.3">
      <c r="W873"/>
      <c r="X873"/>
    </row>
    <row r="874" spans="23:24" x14ac:dyDescent="0.3">
      <c r="W874"/>
      <c r="X874"/>
    </row>
    <row r="875" spans="23:24" x14ac:dyDescent="0.3">
      <c r="W875"/>
      <c r="X875"/>
    </row>
    <row r="876" spans="23:24" x14ac:dyDescent="0.3">
      <c r="W876"/>
      <c r="X876"/>
    </row>
    <row r="877" spans="23:24" x14ac:dyDescent="0.3">
      <c r="W877"/>
      <c r="X877"/>
    </row>
    <row r="878" spans="23:24" x14ac:dyDescent="0.3">
      <c r="W878"/>
      <c r="X878"/>
    </row>
    <row r="879" spans="23:24" x14ac:dyDescent="0.3">
      <c r="W879"/>
      <c r="X879"/>
    </row>
    <row r="880" spans="23:24" x14ac:dyDescent="0.3">
      <c r="W880"/>
      <c r="X880"/>
    </row>
    <row r="881" spans="23:24" x14ac:dyDescent="0.3">
      <c r="W881"/>
      <c r="X881"/>
    </row>
    <row r="882" spans="23:24" x14ac:dyDescent="0.3">
      <c r="W882"/>
      <c r="X882"/>
    </row>
    <row r="883" spans="23:24" x14ac:dyDescent="0.3">
      <c r="W883"/>
      <c r="X883"/>
    </row>
    <row r="884" spans="23:24" x14ac:dyDescent="0.3">
      <c r="W884"/>
      <c r="X884"/>
    </row>
    <row r="885" spans="23:24" x14ac:dyDescent="0.3">
      <c r="W885"/>
      <c r="X885"/>
    </row>
    <row r="886" spans="23:24" x14ac:dyDescent="0.3">
      <c r="W886"/>
      <c r="X886"/>
    </row>
    <row r="887" spans="23:24" x14ac:dyDescent="0.3">
      <c r="W887"/>
      <c r="X887"/>
    </row>
    <row r="888" spans="23:24" x14ac:dyDescent="0.3">
      <c r="W888"/>
      <c r="X888"/>
    </row>
    <row r="889" spans="23:24" x14ac:dyDescent="0.3">
      <c r="W889"/>
      <c r="X889"/>
    </row>
    <row r="890" spans="23:24" x14ac:dyDescent="0.3">
      <c r="W890"/>
      <c r="X890"/>
    </row>
    <row r="891" spans="23:24" x14ac:dyDescent="0.3">
      <c r="W891"/>
      <c r="X891"/>
    </row>
    <row r="892" spans="23:24" x14ac:dyDescent="0.3">
      <c r="W892"/>
      <c r="X892"/>
    </row>
    <row r="893" spans="23:24" x14ac:dyDescent="0.3">
      <c r="W893"/>
      <c r="X893"/>
    </row>
    <row r="894" spans="23:24" x14ac:dyDescent="0.3">
      <c r="W894"/>
      <c r="X894"/>
    </row>
    <row r="895" spans="23:24" x14ac:dyDescent="0.3">
      <c r="W895"/>
      <c r="X895"/>
    </row>
    <row r="896" spans="23:24" x14ac:dyDescent="0.3">
      <c r="W896"/>
      <c r="X896"/>
    </row>
    <row r="897" spans="23:24" x14ac:dyDescent="0.3">
      <c r="W897"/>
      <c r="X897"/>
    </row>
    <row r="898" spans="23:24" x14ac:dyDescent="0.3">
      <c r="W898"/>
      <c r="X898"/>
    </row>
    <row r="899" spans="23:24" x14ac:dyDescent="0.3">
      <c r="W899"/>
      <c r="X899"/>
    </row>
    <row r="900" spans="23:24" x14ac:dyDescent="0.3">
      <c r="W900"/>
      <c r="X900"/>
    </row>
    <row r="901" spans="23:24" x14ac:dyDescent="0.3">
      <c r="W901"/>
      <c r="X901"/>
    </row>
    <row r="902" spans="23:24" x14ac:dyDescent="0.3">
      <c r="W902"/>
      <c r="X902"/>
    </row>
    <row r="903" spans="23:24" x14ac:dyDescent="0.3">
      <c r="W903"/>
      <c r="X903"/>
    </row>
    <row r="904" spans="23:24" x14ac:dyDescent="0.3">
      <c r="W904"/>
      <c r="X904"/>
    </row>
    <row r="905" spans="23:24" x14ac:dyDescent="0.3">
      <c r="W905"/>
      <c r="X905"/>
    </row>
    <row r="906" spans="23:24" x14ac:dyDescent="0.3">
      <c r="W906"/>
      <c r="X906"/>
    </row>
    <row r="907" spans="23:24" x14ac:dyDescent="0.3">
      <c r="W907"/>
      <c r="X907"/>
    </row>
    <row r="908" spans="23:24" x14ac:dyDescent="0.3">
      <c r="W908"/>
      <c r="X908"/>
    </row>
    <row r="909" spans="23:24" x14ac:dyDescent="0.3">
      <c r="W909"/>
      <c r="X909"/>
    </row>
    <row r="910" spans="23:24" x14ac:dyDescent="0.3">
      <c r="W910"/>
      <c r="X910"/>
    </row>
    <row r="911" spans="23:24" x14ac:dyDescent="0.3">
      <c r="W911"/>
      <c r="X911"/>
    </row>
    <row r="912" spans="23:24" x14ac:dyDescent="0.3">
      <c r="W912"/>
      <c r="X912"/>
    </row>
    <row r="913" spans="23:24" x14ac:dyDescent="0.3">
      <c r="W913"/>
      <c r="X913"/>
    </row>
    <row r="914" spans="23:24" x14ac:dyDescent="0.3">
      <c r="W914"/>
      <c r="X914"/>
    </row>
    <row r="915" spans="23:24" x14ac:dyDescent="0.3">
      <c r="W915"/>
      <c r="X915"/>
    </row>
    <row r="916" spans="23:24" x14ac:dyDescent="0.3">
      <c r="W916"/>
      <c r="X916"/>
    </row>
    <row r="917" spans="23:24" x14ac:dyDescent="0.3">
      <c r="W917"/>
      <c r="X917"/>
    </row>
    <row r="918" spans="23:24" x14ac:dyDescent="0.3">
      <c r="W918"/>
      <c r="X918"/>
    </row>
    <row r="919" spans="23:24" x14ac:dyDescent="0.3">
      <c r="W919"/>
      <c r="X919"/>
    </row>
    <row r="920" spans="23:24" x14ac:dyDescent="0.3">
      <c r="W920"/>
      <c r="X920"/>
    </row>
    <row r="921" spans="23:24" x14ac:dyDescent="0.3">
      <c r="W921"/>
      <c r="X921"/>
    </row>
    <row r="922" spans="23:24" x14ac:dyDescent="0.3">
      <c r="W922"/>
      <c r="X922"/>
    </row>
    <row r="923" spans="23:24" x14ac:dyDescent="0.3">
      <c r="W923"/>
      <c r="X923"/>
    </row>
    <row r="924" spans="23:24" x14ac:dyDescent="0.3">
      <c r="W924"/>
      <c r="X924"/>
    </row>
    <row r="925" spans="23:24" x14ac:dyDescent="0.3">
      <c r="W925"/>
      <c r="X925"/>
    </row>
    <row r="926" spans="23:24" x14ac:dyDescent="0.3">
      <c r="W926"/>
      <c r="X926"/>
    </row>
    <row r="927" spans="23:24" x14ac:dyDescent="0.3">
      <c r="W927"/>
      <c r="X927"/>
    </row>
    <row r="928" spans="23:24" x14ac:dyDescent="0.3">
      <c r="W928"/>
      <c r="X928"/>
    </row>
    <row r="929" spans="23:24" x14ac:dyDescent="0.3">
      <c r="W929"/>
      <c r="X929"/>
    </row>
    <row r="930" spans="23:24" x14ac:dyDescent="0.3">
      <c r="W930"/>
      <c r="X930"/>
    </row>
    <row r="931" spans="23:24" x14ac:dyDescent="0.3">
      <c r="W931"/>
      <c r="X931"/>
    </row>
    <row r="932" spans="23:24" x14ac:dyDescent="0.3">
      <c r="W932"/>
      <c r="X932"/>
    </row>
    <row r="933" spans="23:24" x14ac:dyDescent="0.3">
      <c r="W933"/>
      <c r="X933"/>
    </row>
    <row r="934" spans="23:24" x14ac:dyDescent="0.3">
      <c r="W934"/>
      <c r="X934"/>
    </row>
    <row r="935" spans="23:24" x14ac:dyDescent="0.3">
      <c r="W935"/>
      <c r="X935"/>
    </row>
    <row r="936" spans="23:24" x14ac:dyDescent="0.3">
      <c r="W936"/>
      <c r="X936"/>
    </row>
    <row r="937" spans="23:24" x14ac:dyDescent="0.3">
      <c r="W937"/>
      <c r="X937"/>
    </row>
    <row r="938" spans="23:24" x14ac:dyDescent="0.3">
      <c r="W938"/>
      <c r="X938"/>
    </row>
    <row r="939" spans="23:24" x14ac:dyDescent="0.3">
      <c r="W939"/>
      <c r="X939"/>
    </row>
    <row r="940" spans="23:24" x14ac:dyDescent="0.3">
      <c r="W940"/>
      <c r="X940"/>
    </row>
    <row r="941" spans="23:24" x14ac:dyDescent="0.3">
      <c r="W941"/>
      <c r="X941"/>
    </row>
    <row r="942" spans="23:24" x14ac:dyDescent="0.3">
      <c r="W942"/>
      <c r="X942"/>
    </row>
    <row r="943" spans="23:24" x14ac:dyDescent="0.3">
      <c r="W943"/>
      <c r="X943"/>
    </row>
    <row r="944" spans="23:24" x14ac:dyDescent="0.3">
      <c r="W944"/>
      <c r="X944"/>
    </row>
    <row r="945" spans="23:24" x14ac:dyDescent="0.3">
      <c r="W945"/>
      <c r="X945"/>
    </row>
    <row r="946" spans="23:24" x14ac:dyDescent="0.3">
      <c r="W946"/>
      <c r="X946"/>
    </row>
    <row r="947" spans="23:24" x14ac:dyDescent="0.3">
      <c r="W947"/>
      <c r="X947"/>
    </row>
    <row r="948" spans="23:24" x14ac:dyDescent="0.3">
      <c r="W948"/>
      <c r="X948"/>
    </row>
    <row r="949" spans="23:24" x14ac:dyDescent="0.3">
      <c r="W949"/>
      <c r="X949"/>
    </row>
    <row r="950" spans="23:24" x14ac:dyDescent="0.3">
      <c r="W950"/>
      <c r="X950"/>
    </row>
    <row r="951" spans="23:24" x14ac:dyDescent="0.3">
      <c r="W951"/>
      <c r="X951"/>
    </row>
    <row r="952" spans="23:24" x14ac:dyDescent="0.3">
      <c r="W952"/>
      <c r="X952"/>
    </row>
    <row r="953" spans="23:24" x14ac:dyDescent="0.3">
      <c r="W953"/>
      <c r="X953"/>
    </row>
    <row r="954" spans="23:24" x14ac:dyDescent="0.3">
      <c r="W954"/>
      <c r="X954"/>
    </row>
    <row r="955" spans="23:24" x14ac:dyDescent="0.3">
      <c r="W955"/>
      <c r="X955"/>
    </row>
    <row r="956" spans="23:24" x14ac:dyDescent="0.3">
      <c r="W956"/>
      <c r="X956"/>
    </row>
    <row r="957" spans="23:24" x14ac:dyDescent="0.3">
      <c r="W957"/>
      <c r="X957"/>
    </row>
    <row r="958" spans="23:24" x14ac:dyDescent="0.3">
      <c r="W958"/>
      <c r="X958"/>
    </row>
    <row r="959" spans="23:24" x14ac:dyDescent="0.3">
      <c r="W959"/>
      <c r="X959"/>
    </row>
    <row r="960" spans="23:24" x14ac:dyDescent="0.3">
      <c r="W960"/>
      <c r="X960"/>
    </row>
    <row r="961" spans="23:24" x14ac:dyDescent="0.3">
      <c r="W961"/>
      <c r="X961"/>
    </row>
    <row r="962" spans="23:24" x14ac:dyDescent="0.3">
      <c r="W962"/>
      <c r="X962"/>
    </row>
    <row r="963" spans="23:24" x14ac:dyDescent="0.3">
      <c r="W963"/>
      <c r="X963"/>
    </row>
    <row r="964" spans="23:24" x14ac:dyDescent="0.3">
      <c r="W964"/>
      <c r="X964"/>
    </row>
    <row r="965" spans="23:24" x14ac:dyDescent="0.3">
      <c r="W965"/>
      <c r="X965"/>
    </row>
    <row r="966" spans="23:24" x14ac:dyDescent="0.3">
      <c r="W966"/>
      <c r="X966"/>
    </row>
    <row r="967" spans="23:24" x14ac:dyDescent="0.3">
      <c r="W967"/>
      <c r="X967"/>
    </row>
    <row r="968" spans="23:24" x14ac:dyDescent="0.3">
      <c r="W968"/>
      <c r="X968"/>
    </row>
    <row r="969" spans="23:24" x14ac:dyDescent="0.3">
      <c r="W969"/>
      <c r="X969"/>
    </row>
    <row r="970" spans="23:24" x14ac:dyDescent="0.3">
      <c r="W970"/>
      <c r="X970"/>
    </row>
    <row r="971" spans="23:24" x14ac:dyDescent="0.3">
      <c r="W971"/>
      <c r="X971"/>
    </row>
    <row r="972" spans="23:24" x14ac:dyDescent="0.3">
      <c r="W972"/>
      <c r="X972"/>
    </row>
    <row r="973" spans="23:24" x14ac:dyDescent="0.3">
      <c r="W973"/>
      <c r="X973"/>
    </row>
    <row r="974" spans="23:24" x14ac:dyDescent="0.3">
      <c r="W974"/>
      <c r="X974"/>
    </row>
    <row r="975" spans="23:24" x14ac:dyDescent="0.3">
      <c r="W975"/>
      <c r="X975"/>
    </row>
    <row r="976" spans="23:24" x14ac:dyDescent="0.3">
      <c r="W976"/>
      <c r="X976"/>
    </row>
    <row r="977" spans="23:24" x14ac:dyDescent="0.3">
      <c r="W977"/>
      <c r="X977"/>
    </row>
    <row r="978" spans="23:24" x14ac:dyDescent="0.3">
      <c r="W978"/>
      <c r="X978"/>
    </row>
    <row r="979" spans="23:24" x14ac:dyDescent="0.3">
      <c r="W979"/>
      <c r="X979"/>
    </row>
    <row r="980" spans="23:24" x14ac:dyDescent="0.3">
      <c r="W980"/>
      <c r="X980"/>
    </row>
    <row r="981" spans="23:24" x14ac:dyDescent="0.3">
      <c r="W981"/>
      <c r="X981"/>
    </row>
    <row r="982" spans="23:24" x14ac:dyDescent="0.3">
      <c r="W982"/>
      <c r="X982"/>
    </row>
    <row r="983" spans="23:24" x14ac:dyDescent="0.3">
      <c r="W983"/>
      <c r="X983"/>
    </row>
    <row r="984" spans="23:24" x14ac:dyDescent="0.3">
      <c r="W984"/>
      <c r="X984"/>
    </row>
    <row r="985" spans="23:24" x14ac:dyDescent="0.3">
      <c r="W985"/>
      <c r="X985"/>
    </row>
    <row r="986" spans="23:24" x14ac:dyDescent="0.3">
      <c r="W986"/>
      <c r="X986"/>
    </row>
    <row r="987" spans="23:24" x14ac:dyDescent="0.3">
      <c r="W987"/>
      <c r="X987"/>
    </row>
    <row r="988" spans="23:24" x14ac:dyDescent="0.3">
      <c r="W988"/>
      <c r="X988"/>
    </row>
    <row r="989" spans="23:24" x14ac:dyDescent="0.3">
      <c r="W989"/>
      <c r="X989"/>
    </row>
    <row r="990" spans="23:24" x14ac:dyDescent="0.3">
      <c r="W990"/>
      <c r="X990"/>
    </row>
    <row r="991" spans="23:24" x14ac:dyDescent="0.3">
      <c r="W991"/>
      <c r="X991"/>
    </row>
    <row r="992" spans="23:24" x14ac:dyDescent="0.3">
      <c r="W992"/>
      <c r="X992"/>
    </row>
    <row r="993" spans="23:24" x14ac:dyDescent="0.3">
      <c r="W993"/>
      <c r="X993"/>
    </row>
    <row r="994" spans="23:24" x14ac:dyDescent="0.3">
      <c r="W994"/>
      <c r="X994"/>
    </row>
    <row r="995" spans="23:24" x14ac:dyDescent="0.3">
      <c r="W995"/>
      <c r="X995"/>
    </row>
    <row r="996" spans="23:24" x14ac:dyDescent="0.3">
      <c r="W996"/>
      <c r="X996"/>
    </row>
    <row r="997" spans="23:24" x14ac:dyDescent="0.3">
      <c r="W997"/>
      <c r="X997"/>
    </row>
    <row r="998" spans="23:24" x14ac:dyDescent="0.3">
      <c r="W998"/>
      <c r="X998"/>
    </row>
    <row r="999" spans="23:24" x14ac:dyDescent="0.3">
      <c r="W999"/>
      <c r="X999"/>
    </row>
    <row r="1000" spans="23:24" x14ac:dyDescent="0.3">
      <c r="W1000"/>
      <c r="X1000"/>
    </row>
    <row r="1001" spans="23:24" x14ac:dyDescent="0.3">
      <c r="W1001"/>
      <c r="X1001"/>
    </row>
    <row r="1002" spans="23:24" x14ac:dyDescent="0.3">
      <c r="W1002"/>
      <c r="X1002"/>
    </row>
    <row r="1003" spans="23:24" x14ac:dyDescent="0.3">
      <c r="W1003"/>
      <c r="X1003"/>
    </row>
    <row r="1004" spans="23:24" x14ac:dyDescent="0.3">
      <c r="W1004"/>
      <c r="X1004"/>
    </row>
    <row r="1005" spans="23:24" x14ac:dyDescent="0.3">
      <c r="W1005"/>
      <c r="X1005"/>
    </row>
    <row r="1006" spans="23:24" x14ac:dyDescent="0.3">
      <c r="W1006"/>
      <c r="X1006"/>
    </row>
    <row r="1007" spans="23:24" x14ac:dyDescent="0.3">
      <c r="W1007"/>
      <c r="X1007"/>
    </row>
    <row r="1008" spans="23:24" x14ac:dyDescent="0.3">
      <c r="W1008"/>
      <c r="X1008"/>
    </row>
    <row r="1009" spans="23:24" x14ac:dyDescent="0.3">
      <c r="W1009"/>
      <c r="X1009"/>
    </row>
    <row r="1010" spans="23:24" x14ac:dyDescent="0.3">
      <c r="W1010"/>
      <c r="X1010"/>
    </row>
    <row r="1011" spans="23:24" x14ac:dyDescent="0.3">
      <c r="W1011"/>
      <c r="X1011"/>
    </row>
    <row r="1012" spans="23:24" x14ac:dyDescent="0.3">
      <c r="W1012"/>
      <c r="X1012"/>
    </row>
    <row r="1013" spans="23:24" x14ac:dyDescent="0.3">
      <c r="W1013"/>
      <c r="X1013"/>
    </row>
    <row r="1014" spans="23:24" x14ac:dyDescent="0.3">
      <c r="W1014"/>
      <c r="X1014"/>
    </row>
    <row r="1015" spans="23:24" x14ac:dyDescent="0.3">
      <c r="W1015"/>
      <c r="X1015"/>
    </row>
    <row r="1016" spans="23:24" x14ac:dyDescent="0.3">
      <c r="W1016"/>
      <c r="X1016"/>
    </row>
    <row r="1017" spans="23:24" x14ac:dyDescent="0.3">
      <c r="W1017"/>
      <c r="X1017"/>
    </row>
    <row r="1018" spans="23:24" x14ac:dyDescent="0.3">
      <c r="W1018"/>
      <c r="X1018"/>
    </row>
    <row r="1019" spans="23:24" x14ac:dyDescent="0.3">
      <c r="W1019"/>
      <c r="X1019"/>
    </row>
    <row r="1020" spans="23:24" x14ac:dyDescent="0.3">
      <c r="W1020"/>
      <c r="X1020"/>
    </row>
    <row r="1021" spans="23:24" x14ac:dyDescent="0.3">
      <c r="W1021"/>
      <c r="X1021"/>
    </row>
    <row r="1022" spans="23:24" x14ac:dyDescent="0.3">
      <c r="W1022"/>
      <c r="X1022"/>
    </row>
    <row r="1023" spans="23:24" x14ac:dyDescent="0.3">
      <c r="W1023"/>
      <c r="X1023"/>
    </row>
    <row r="1024" spans="23:24" x14ac:dyDescent="0.3">
      <c r="W1024"/>
      <c r="X1024"/>
    </row>
    <row r="1025" spans="23:24" x14ac:dyDescent="0.3">
      <c r="W1025"/>
      <c r="X1025"/>
    </row>
    <row r="1026" spans="23:24" x14ac:dyDescent="0.3">
      <c r="W1026"/>
      <c r="X1026"/>
    </row>
    <row r="1027" spans="23:24" x14ac:dyDescent="0.3">
      <c r="W1027"/>
      <c r="X1027"/>
    </row>
    <row r="1028" spans="23:24" x14ac:dyDescent="0.3">
      <c r="W1028"/>
      <c r="X1028"/>
    </row>
    <row r="1029" spans="23:24" x14ac:dyDescent="0.3">
      <c r="W1029"/>
      <c r="X1029"/>
    </row>
    <row r="1030" spans="23:24" x14ac:dyDescent="0.3">
      <c r="W1030"/>
      <c r="X1030"/>
    </row>
    <row r="1031" spans="23:24" x14ac:dyDescent="0.3">
      <c r="W1031"/>
      <c r="X1031"/>
    </row>
    <row r="1032" spans="23:24" x14ac:dyDescent="0.3">
      <c r="W1032"/>
      <c r="X1032"/>
    </row>
    <row r="1033" spans="23:24" x14ac:dyDescent="0.3">
      <c r="W1033"/>
      <c r="X1033"/>
    </row>
    <row r="1034" spans="23:24" x14ac:dyDescent="0.3">
      <c r="W1034"/>
      <c r="X1034"/>
    </row>
    <row r="1035" spans="23:24" x14ac:dyDescent="0.3">
      <c r="W1035"/>
      <c r="X1035"/>
    </row>
    <row r="1036" spans="23:24" x14ac:dyDescent="0.3">
      <c r="W1036"/>
      <c r="X1036"/>
    </row>
    <row r="1037" spans="23:24" x14ac:dyDescent="0.3">
      <c r="W1037"/>
      <c r="X1037"/>
    </row>
    <row r="1038" spans="23:24" x14ac:dyDescent="0.3">
      <c r="W1038"/>
      <c r="X1038"/>
    </row>
    <row r="1039" spans="23:24" x14ac:dyDescent="0.3">
      <c r="W1039"/>
      <c r="X1039"/>
    </row>
    <row r="1040" spans="23:24" x14ac:dyDescent="0.3">
      <c r="W1040"/>
      <c r="X1040"/>
    </row>
    <row r="1041" spans="23:24" x14ac:dyDescent="0.3">
      <c r="W1041"/>
      <c r="X1041"/>
    </row>
    <row r="1042" spans="23:24" x14ac:dyDescent="0.3">
      <c r="W1042"/>
      <c r="X1042"/>
    </row>
    <row r="1043" spans="23:24" x14ac:dyDescent="0.3">
      <c r="W1043"/>
      <c r="X1043"/>
    </row>
    <row r="1044" spans="23:24" x14ac:dyDescent="0.3">
      <c r="W1044"/>
      <c r="X1044"/>
    </row>
    <row r="1045" spans="23:24" x14ac:dyDescent="0.3">
      <c r="W1045"/>
      <c r="X1045"/>
    </row>
    <row r="1046" spans="23:24" x14ac:dyDescent="0.3">
      <c r="W1046"/>
      <c r="X1046"/>
    </row>
    <row r="1047" spans="23:24" x14ac:dyDescent="0.3">
      <c r="W1047"/>
      <c r="X1047"/>
    </row>
    <row r="1048" spans="23:24" x14ac:dyDescent="0.3">
      <c r="W1048"/>
      <c r="X1048"/>
    </row>
    <row r="1049" spans="23:24" x14ac:dyDescent="0.3">
      <c r="W1049"/>
      <c r="X1049"/>
    </row>
    <row r="1050" spans="23:24" x14ac:dyDescent="0.3">
      <c r="W1050"/>
      <c r="X1050"/>
    </row>
    <row r="1051" spans="23:24" x14ac:dyDescent="0.3">
      <c r="W1051"/>
      <c r="X1051"/>
    </row>
    <row r="1052" spans="23:24" x14ac:dyDescent="0.3">
      <c r="W1052"/>
      <c r="X1052"/>
    </row>
    <row r="1053" spans="23:24" x14ac:dyDescent="0.3">
      <c r="W1053"/>
      <c r="X1053"/>
    </row>
    <row r="1054" spans="23:24" x14ac:dyDescent="0.3">
      <c r="W1054"/>
      <c r="X1054"/>
    </row>
    <row r="1055" spans="23:24" x14ac:dyDescent="0.3">
      <c r="W1055"/>
      <c r="X1055"/>
    </row>
    <row r="1056" spans="23:24" x14ac:dyDescent="0.3">
      <c r="W1056"/>
      <c r="X1056"/>
    </row>
    <row r="1057" spans="23:24" x14ac:dyDescent="0.3">
      <c r="W1057"/>
      <c r="X1057"/>
    </row>
    <row r="1058" spans="23:24" x14ac:dyDescent="0.3">
      <c r="W1058"/>
      <c r="X1058"/>
    </row>
    <row r="1059" spans="23:24" x14ac:dyDescent="0.3">
      <c r="W1059"/>
      <c r="X1059"/>
    </row>
    <row r="1060" spans="23:24" x14ac:dyDescent="0.3">
      <c r="W1060"/>
      <c r="X1060"/>
    </row>
    <row r="1061" spans="23:24" x14ac:dyDescent="0.3">
      <c r="W1061"/>
      <c r="X1061"/>
    </row>
    <row r="1062" spans="23:24" x14ac:dyDescent="0.3">
      <c r="W1062"/>
      <c r="X1062"/>
    </row>
    <row r="1063" spans="23:24" x14ac:dyDescent="0.3">
      <c r="W1063"/>
      <c r="X1063"/>
    </row>
    <row r="1064" spans="23:24" x14ac:dyDescent="0.3">
      <c r="W1064"/>
      <c r="X1064"/>
    </row>
    <row r="1065" spans="23:24" x14ac:dyDescent="0.3">
      <c r="W1065"/>
      <c r="X1065"/>
    </row>
    <row r="1066" spans="23:24" x14ac:dyDescent="0.3">
      <c r="W1066"/>
      <c r="X1066"/>
    </row>
    <row r="1067" spans="23:24" x14ac:dyDescent="0.3">
      <c r="W1067"/>
      <c r="X1067"/>
    </row>
    <row r="1068" spans="23:24" x14ac:dyDescent="0.3">
      <c r="W1068"/>
      <c r="X1068"/>
    </row>
    <row r="1069" spans="23:24" x14ac:dyDescent="0.3">
      <c r="W1069"/>
      <c r="X1069"/>
    </row>
    <row r="1070" spans="23:24" x14ac:dyDescent="0.3">
      <c r="W1070"/>
      <c r="X1070"/>
    </row>
    <row r="1071" spans="23:24" x14ac:dyDescent="0.3">
      <c r="W1071"/>
      <c r="X1071"/>
    </row>
    <row r="1072" spans="23:24" x14ac:dyDescent="0.3">
      <c r="W1072"/>
      <c r="X1072"/>
    </row>
    <row r="1073" spans="23:24" x14ac:dyDescent="0.3">
      <c r="W1073"/>
      <c r="X1073"/>
    </row>
    <row r="1074" spans="23:24" x14ac:dyDescent="0.3">
      <c r="W1074"/>
      <c r="X1074"/>
    </row>
    <row r="1075" spans="23:24" x14ac:dyDescent="0.3">
      <c r="W1075"/>
      <c r="X1075"/>
    </row>
    <row r="1076" spans="23:24" x14ac:dyDescent="0.3">
      <c r="W1076"/>
      <c r="X1076"/>
    </row>
    <row r="1077" spans="23:24" x14ac:dyDescent="0.3">
      <c r="W1077"/>
      <c r="X1077"/>
    </row>
    <row r="1078" spans="23:24" x14ac:dyDescent="0.3">
      <c r="W1078"/>
      <c r="X1078"/>
    </row>
    <row r="1079" spans="23:24" x14ac:dyDescent="0.3">
      <c r="W1079"/>
      <c r="X1079"/>
    </row>
    <row r="1080" spans="23:24" x14ac:dyDescent="0.3">
      <c r="W1080"/>
      <c r="X1080"/>
    </row>
    <row r="1081" spans="23:24" x14ac:dyDescent="0.3">
      <c r="W1081"/>
      <c r="X1081"/>
    </row>
    <row r="1082" spans="23:24" x14ac:dyDescent="0.3">
      <c r="W1082"/>
      <c r="X1082"/>
    </row>
    <row r="1083" spans="23:24" x14ac:dyDescent="0.3">
      <c r="W1083"/>
      <c r="X1083"/>
    </row>
    <row r="1084" spans="23:24" x14ac:dyDescent="0.3">
      <c r="W1084"/>
      <c r="X1084"/>
    </row>
    <row r="1085" spans="23:24" x14ac:dyDescent="0.3">
      <c r="W1085"/>
      <c r="X1085"/>
    </row>
    <row r="1086" spans="23:24" x14ac:dyDescent="0.3">
      <c r="W1086"/>
      <c r="X1086"/>
    </row>
    <row r="1087" spans="23:24" x14ac:dyDescent="0.3">
      <c r="W1087"/>
      <c r="X1087"/>
    </row>
    <row r="1088" spans="23:24" x14ac:dyDescent="0.3">
      <c r="W1088"/>
      <c r="X1088"/>
    </row>
    <row r="1089" spans="23:24" x14ac:dyDescent="0.3">
      <c r="W1089"/>
      <c r="X1089"/>
    </row>
    <row r="1090" spans="23:24" x14ac:dyDescent="0.3">
      <c r="W1090"/>
      <c r="X1090"/>
    </row>
    <row r="1091" spans="23:24" x14ac:dyDescent="0.3">
      <c r="W1091"/>
      <c r="X1091"/>
    </row>
    <row r="1092" spans="23:24" x14ac:dyDescent="0.3">
      <c r="W1092"/>
      <c r="X1092"/>
    </row>
    <row r="1093" spans="23:24" x14ac:dyDescent="0.3">
      <c r="W1093"/>
      <c r="X1093"/>
    </row>
    <row r="1094" spans="23:24" x14ac:dyDescent="0.3">
      <c r="W1094"/>
      <c r="X1094"/>
    </row>
    <row r="1095" spans="23:24" x14ac:dyDescent="0.3">
      <c r="W1095"/>
      <c r="X1095"/>
    </row>
    <row r="1096" spans="23:24" x14ac:dyDescent="0.3">
      <c r="W1096"/>
      <c r="X1096"/>
    </row>
    <row r="1097" spans="23:24" x14ac:dyDescent="0.3">
      <c r="W1097"/>
      <c r="X1097"/>
    </row>
    <row r="1098" spans="23:24" x14ac:dyDescent="0.3">
      <c r="W1098"/>
      <c r="X1098"/>
    </row>
    <row r="1099" spans="23:24" x14ac:dyDescent="0.3">
      <c r="W1099"/>
      <c r="X1099"/>
    </row>
    <row r="1100" spans="23:24" x14ac:dyDescent="0.3">
      <c r="W1100"/>
      <c r="X1100"/>
    </row>
    <row r="1101" spans="23:24" x14ac:dyDescent="0.3">
      <c r="W1101"/>
      <c r="X1101"/>
    </row>
    <row r="1102" spans="23:24" x14ac:dyDescent="0.3">
      <c r="W1102"/>
      <c r="X1102"/>
    </row>
    <row r="1103" spans="23:24" x14ac:dyDescent="0.3">
      <c r="W1103"/>
      <c r="X1103"/>
    </row>
    <row r="1104" spans="23:24" x14ac:dyDescent="0.3">
      <c r="W1104"/>
      <c r="X1104"/>
    </row>
    <row r="1105" spans="23:24" x14ac:dyDescent="0.3">
      <c r="W1105"/>
      <c r="X1105"/>
    </row>
    <row r="1106" spans="23:24" x14ac:dyDescent="0.3">
      <c r="W1106"/>
      <c r="X1106"/>
    </row>
    <row r="1107" spans="23:24" x14ac:dyDescent="0.3">
      <c r="W1107"/>
      <c r="X1107"/>
    </row>
    <row r="1108" spans="23:24" x14ac:dyDescent="0.3">
      <c r="W1108"/>
      <c r="X1108"/>
    </row>
    <row r="1109" spans="23:24" x14ac:dyDescent="0.3">
      <c r="W1109"/>
      <c r="X1109"/>
    </row>
    <row r="1110" spans="23:24" x14ac:dyDescent="0.3">
      <c r="W1110"/>
      <c r="X1110"/>
    </row>
    <row r="1111" spans="23:24" x14ac:dyDescent="0.3">
      <c r="W1111"/>
      <c r="X1111"/>
    </row>
    <row r="1112" spans="23:24" x14ac:dyDescent="0.3">
      <c r="W1112"/>
      <c r="X1112"/>
    </row>
    <row r="1113" spans="23:24" x14ac:dyDescent="0.3">
      <c r="W1113"/>
      <c r="X1113"/>
    </row>
    <row r="1114" spans="23:24" x14ac:dyDescent="0.3">
      <c r="W1114"/>
      <c r="X1114"/>
    </row>
    <row r="1115" spans="23:24" x14ac:dyDescent="0.3">
      <c r="W1115"/>
      <c r="X1115"/>
    </row>
    <row r="1116" spans="23:24" x14ac:dyDescent="0.3">
      <c r="W1116"/>
      <c r="X1116"/>
    </row>
    <row r="1117" spans="23:24" x14ac:dyDescent="0.3">
      <c r="W1117"/>
      <c r="X1117"/>
    </row>
    <row r="1118" spans="23:24" x14ac:dyDescent="0.3">
      <c r="W1118"/>
      <c r="X1118"/>
    </row>
    <row r="1119" spans="23:24" x14ac:dyDescent="0.3">
      <c r="W1119"/>
      <c r="X1119"/>
    </row>
    <row r="1120" spans="23:24" x14ac:dyDescent="0.3">
      <c r="W1120"/>
      <c r="X1120"/>
    </row>
    <row r="1121" spans="23:24" x14ac:dyDescent="0.3">
      <c r="W1121"/>
      <c r="X1121"/>
    </row>
    <row r="1122" spans="23:24" x14ac:dyDescent="0.3">
      <c r="W1122"/>
      <c r="X1122"/>
    </row>
    <row r="1123" spans="23:24" x14ac:dyDescent="0.3">
      <c r="W1123"/>
      <c r="X1123"/>
    </row>
    <row r="1124" spans="23:24" x14ac:dyDescent="0.3">
      <c r="W1124"/>
      <c r="X1124"/>
    </row>
    <row r="1125" spans="23:24" x14ac:dyDescent="0.3">
      <c r="W1125"/>
      <c r="X1125"/>
    </row>
    <row r="1126" spans="23:24" x14ac:dyDescent="0.3">
      <c r="W1126"/>
      <c r="X1126"/>
    </row>
    <row r="1127" spans="23:24" x14ac:dyDescent="0.3">
      <c r="W1127"/>
      <c r="X1127"/>
    </row>
    <row r="1128" spans="23:24" x14ac:dyDescent="0.3">
      <c r="W1128"/>
      <c r="X1128"/>
    </row>
    <row r="1129" spans="23:24" x14ac:dyDescent="0.3">
      <c r="W1129"/>
      <c r="X1129"/>
    </row>
    <row r="1130" spans="23:24" x14ac:dyDescent="0.3">
      <c r="W1130"/>
      <c r="X1130"/>
    </row>
    <row r="1131" spans="23:24" x14ac:dyDescent="0.3">
      <c r="W1131"/>
      <c r="X1131"/>
    </row>
    <row r="1132" spans="23:24" x14ac:dyDescent="0.3">
      <c r="W1132"/>
      <c r="X1132"/>
    </row>
    <row r="1133" spans="23:24" x14ac:dyDescent="0.3">
      <c r="W1133"/>
      <c r="X1133"/>
    </row>
    <row r="1134" spans="23:24" x14ac:dyDescent="0.3">
      <c r="W1134"/>
      <c r="X1134"/>
    </row>
    <row r="1135" spans="23:24" x14ac:dyDescent="0.3">
      <c r="W1135"/>
      <c r="X1135"/>
    </row>
    <row r="1136" spans="23:24" x14ac:dyDescent="0.3">
      <c r="W1136"/>
      <c r="X1136"/>
    </row>
    <row r="1137" spans="23:24" x14ac:dyDescent="0.3">
      <c r="W1137"/>
      <c r="X1137"/>
    </row>
    <row r="1138" spans="23:24" x14ac:dyDescent="0.3">
      <c r="W1138"/>
      <c r="X1138"/>
    </row>
    <row r="1139" spans="23:24" x14ac:dyDescent="0.3">
      <c r="W1139"/>
      <c r="X1139"/>
    </row>
    <row r="1140" spans="23:24" x14ac:dyDescent="0.3">
      <c r="W1140"/>
      <c r="X1140"/>
    </row>
    <row r="1141" spans="23:24" x14ac:dyDescent="0.3">
      <c r="W1141"/>
      <c r="X1141"/>
    </row>
    <row r="1142" spans="23:24" x14ac:dyDescent="0.3">
      <c r="W1142"/>
      <c r="X1142"/>
    </row>
    <row r="1143" spans="23:24" x14ac:dyDescent="0.3">
      <c r="W1143"/>
      <c r="X1143"/>
    </row>
    <row r="1144" spans="23:24" x14ac:dyDescent="0.3">
      <c r="W1144"/>
      <c r="X1144"/>
    </row>
    <row r="1145" spans="23:24" x14ac:dyDescent="0.3">
      <c r="W1145"/>
      <c r="X1145"/>
    </row>
    <row r="1146" spans="23:24" x14ac:dyDescent="0.3">
      <c r="W1146"/>
      <c r="X1146"/>
    </row>
    <row r="1147" spans="23:24" x14ac:dyDescent="0.3">
      <c r="W1147"/>
      <c r="X1147"/>
    </row>
    <row r="1148" spans="23:24" x14ac:dyDescent="0.3">
      <c r="W1148"/>
      <c r="X1148"/>
    </row>
    <row r="1149" spans="23:24" x14ac:dyDescent="0.3">
      <c r="W1149"/>
      <c r="X1149"/>
    </row>
    <row r="1150" spans="23:24" x14ac:dyDescent="0.3">
      <c r="W1150"/>
      <c r="X1150"/>
    </row>
    <row r="1151" spans="23:24" x14ac:dyDescent="0.3">
      <c r="W1151"/>
      <c r="X1151"/>
    </row>
    <row r="1152" spans="23:24" x14ac:dyDescent="0.3">
      <c r="W1152"/>
      <c r="X1152"/>
    </row>
    <row r="1153" spans="23:24" x14ac:dyDescent="0.3">
      <c r="W1153"/>
      <c r="X1153"/>
    </row>
    <row r="1154" spans="23:24" x14ac:dyDescent="0.3">
      <c r="W1154"/>
      <c r="X1154"/>
    </row>
    <row r="1155" spans="23:24" x14ac:dyDescent="0.3">
      <c r="W1155"/>
      <c r="X1155"/>
    </row>
    <row r="1156" spans="23:24" x14ac:dyDescent="0.3">
      <c r="W1156"/>
      <c r="X1156"/>
    </row>
    <row r="1157" spans="23:24" x14ac:dyDescent="0.3">
      <c r="W1157"/>
      <c r="X1157"/>
    </row>
    <row r="1158" spans="23:24" x14ac:dyDescent="0.3">
      <c r="W1158"/>
      <c r="X1158"/>
    </row>
    <row r="1159" spans="23:24" x14ac:dyDescent="0.3">
      <c r="W1159"/>
      <c r="X1159"/>
    </row>
    <row r="1160" spans="23:24" x14ac:dyDescent="0.3">
      <c r="W1160"/>
      <c r="X1160"/>
    </row>
    <row r="1161" spans="23:24" x14ac:dyDescent="0.3">
      <c r="W1161"/>
      <c r="X1161"/>
    </row>
    <row r="1162" spans="23:24" x14ac:dyDescent="0.3">
      <c r="W1162"/>
      <c r="X1162"/>
    </row>
    <row r="1163" spans="23:24" x14ac:dyDescent="0.3">
      <c r="W1163"/>
      <c r="X1163"/>
    </row>
    <row r="1164" spans="23:24" x14ac:dyDescent="0.3">
      <c r="W1164"/>
      <c r="X1164"/>
    </row>
    <row r="1165" spans="23:24" x14ac:dyDescent="0.3">
      <c r="W1165"/>
      <c r="X1165"/>
    </row>
    <row r="1166" spans="23:24" x14ac:dyDescent="0.3">
      <c r="W1166"/>
      <c r="X1166"/>
    </row>
    <row r="1167" spans="23:24" x14ac:dyDescent="0.3">
      <c r="W1167"/>
      <c r="X1167"/>
    </row>
    <row r="1168" spans="23:24" x14ac:dyDescent="0.3">
      <c r="W1168"/>
      <c r="X1168"/>
    </row>
    <row r="1169" spans="23:24" x14ac:dyDescent="0.3">
      <c r="W1169"/>
      <c r="X1169"/>
    </row>
    <row r="1170" spans="23:24" x14ac:dyDescent="0.3">
      <c r="W1170"/>
      <c r="X1170"/>
    </row>
    <row r="1171" spans="23:24" x14ac:dyDescent="0.3">
      <c r="W1171"/>
      <c r="X1171"/>
    </row>
    <row r="1172" spans="23:24" x14ac:dyDescent="0.3">
      <c r="W1172"/>
      <c r="X1172"/>
    </row>
    <row r="1173" spans="23:24" x14ac:dyDescent="0.3">
      <c r="W1173"/>
      <c r="X1173"/>
    </row>
    <row r="1174" spans="23:24" x14ac:dyDescent="0.3">
      <c r="W1174"/>
      <c r="X1174"/>
    </row>
    <row r="1175" spans="23:24" x14ac:dyDescent="0.3">
      <c r="W1175"/>
      <c r="X1175"/>
    </row>
    <row r="1176" spans="23:24" x14ac:dyDescent="0.3">
      <c r="W1176"/>
      <c r="X1176"/>
    </row>
    <row r="1177" spans="23:24" x14ac:dyDescent="0.3">
      <c r="W1177"/>
      <c r="X1177"/>
    </row>
    <row r="1178" spans="23:24" x14ac:dyDescent="0.3">
      <c r="W1178"/>
      <c r="X1178"/>
    </row>
    <row r="1179" spans="23:24" x14ac:dyDescent="0.3">
      <c r="W1179"/>
      <c r="X1179"/>
    </row>
    <row r="1180" spans="23:24" x14ac:dyDescent="0.3">
      <c r="W1180"/>
      <c r="X1180"/>
    </row>
    <row r="1181" spans="23:24" x14ac:dyDescent="0.3">
      <c r="W1181"/>
      <c r="X1181"/>
    </row>
    <row r="1182" spans="23:24" x14ac:dyDescent="0.3">
      <c r="W1182"/>
      <c r="X1182"/>
    </row>
    <row r="1183" spans="23:24" x14ac:dyDescent="0.3">
      <c r="W1183"/>
      <c r="X1183"/>
    </row>
    <row r="1184" spans="23:24" x14ac:dyDescent="0.3">
      <c r="W1184"/>
      <c r="X1184"/>
    </row>
    <row r="1185" spans="23:24" x14ac:dyDescent="0.3">
      <c r="W1185"/>
      <c r="X1185"/>
    </row>
    <row r="1186" spans="23:24" x14ac:dyDescent="0.3">
      <c r="W1186"/>
      <c r="X1186"/>
    </row>
    <row r="1187" spans="23:24" x14ac:dyDescent="0.3">
      <c r="W1187"/>
      <c r="X1187"/>
    </row>
    <row r="1188" spans="23:24" x14ac:dyDescent="0.3">
      <c r="W1188"/>
      <c r="X1188"/>
    </row>
    <row r="1189" spans="23:24" x14ac:dyDescent="0.3">
      <c r="W1189"/>
      <c r="X1189"/>
    </row>
    <row r="1190" spans="23:24" x14ac:dyDescent="0.3">
      <c r="W1190"/>
      <c r="X1190"/>
    </row>
    <row r="1191" spans="23:24" x14ac:dyDescent="0.3">
      <c r="W1191"/>
      <c r="X1191"/>
    </row>
    <row r="1192" spans="23:24" x14ac:dyDescent="0.3">
      <c r="W1192"/>
      <c r="X1192"/>
    </row>
    <row r="1193" spans="23:24" x14ac:dyDescent="0.3">
      <c r="W1193"/>
      <c r="X1193"/>
    </row>
    <row r="1194" spans="23:24" x14ac:dyDescent="0.3">
      <c r="W1194"/>
      <c r="X1194"/>
    </row>
    <row r="1195" spans="23:24" x14ac:dyDescent="0.3">
      <c r="W1195"/>
      <c r="X1195"/>
    </row>
    <row r="1196" spans="23:24" x14ac:dyDescent="0.3">
      <c r="W1196"/>
      <c r="X1196"/>
    </row>
    <row r="1197" spans="23:24" x14ac:dyDescent="0.3">
      <c r="W1197"/>
      <c r="X1197"/>
    </row>
    <row r="1198" spans="23:24" x14ac:dyDescent="0.3">
      <c r="W1198"/>
      <c r="X1198"/>
    </row>
    <row r="1199" spans="23:24" x14ac:dyDescent="0.3">
      <c r="W1199"/>
      <c r="X1199"/>
    </row>
    <row r="1200" spans="23:24" x14ac:dyDescent="0.3">
      <c r="W1200"/>
      <c r="X1200"/>
    </row>
    <row r="1201" spans="23:24" x14ac:dyDescent="0.3">
      <c r="W1201"/>
      <c r="X1201"/>
    </row>
    <row r="1202" spans="23:24" x14ac:dyDescent="0.3">
      <c r="W1202"/>
      <c r="X1202"/>
    </row>
    <row r="1203" spans="23:24" x14ac:dyDescent="0.3">
      <c r="W1203"/>
      <c r="X1203"/>
    </row>
    <row r="1204" spans="23:24" x14ac:dyDescent="0.3">
      <c r="W1204"/>
      <c r="X1204"/>
    </row>
    <row r="1205" spans="23:24" x14ac:dyDescent="0.3">
      <c r="W1205"/>
      <c r="X1205"/>
    </row>
    <row r="1206" spans="23:24" x14ac:dyDescent="0.3">
      <c r="W1206"/>
      <c r="X1206"/>
    </row>
    <row r="1207" spans="23:24" x14ac:dyDescent="0.3">
      <c r="W1207"/>
      <c r="X1207"/>
    </row>
    <row r="1208" spans="23:24" x14ac:dyDescent="0.3">
      <c r="W1208"/>
      <c r="X1208"/>
    </row>
    <row r="1209" spans="23:24" x14ac:dyDescent="0.3">
      <c r="W1209"/>
      <c r="X1209"/>
    </row>
    <row r="1210" spans="23:24" x14ac:dyDescent="0.3">
      <c r="W1210"/>
      <c r="X1210"/>
    </row>
    <row r="1211" spans="23:24" x14ac:dyDescent="0.3">
      <c r="W1211"/>
      <c r="X1211"/>
    </row>
    <row r="1212" spans="23:24" x14ac:dyDescent="0.3">
      <c r="W1212"/>
      <c r="X1212"/>
    </row>
    <row r="1213" spans="23:24" x14ac:dyDescent="0.3">
      <c r="W1213"/>
      <c r="X1213"/>
    </row>
    <row r="1214" spans="23:24" x14ac:dyDescent="0.3">
      <c r="W1214"/>
      <c r="X1214"/>
    </row>
    <row r="1215" spans="23:24" x14ac:dyDescent="0.3">
      <c r="W1215"/>
      <c r="X1215"/>
    </row>
    <row r="1216" spans="23:24" x14ac:dyDescent="0.3">
      <c r="W1216"/>
      <c r="X1216"/>
    </row>
    <row r="1217" spans="23:24" x14ac:dyDescent="0.3">
      <c r="W1217"/>
      <c r="X1217"/>
    </row>
    <row r="1218" spans="23:24" x14ac:dyDescent="0.3">
      <c r="W1218"/>
      <c r="X1218"/>
    </row>
    <row r="1219" spans="23:24" x14ac:dyDescent="0.3">
      <c r="W1219"/>
      <c r="X1219"/>
    </row>
    <row r="1220" spans="23:24" x14ac:dyDescent="0.3">
      <c r="W1220"/>
      <c r="X1220"/>
    </row>
    <row r="1221" spans="23:24" x14ac:dyDescent="0.3">
      <c r="W1221"/>
      <c r="X1221"/>
    </row>
    <row r="1222" spans="23:24" x14ac:dyDescent="0.3">
      <c r="W1222"/>
      <c r="X1222"/>
    </row>
    <row r="1223" spans="23:24" x14ac:dyDescent="0.3">
      <c r="W1223"/>
      <c r="X1223"/>
    </row>
    <row r="1224" spans="23:24" x14ac:dyDescent="0.3">
      <c r="W1224"/>
      <c r="X1224"/>
    </row>
    <row r="1225" spans="23:24" x14ac:dyDescent="0.3">
      <c r="W1225"/>
      <c r="X1225"/>
    </row>
    <row r="1226" spans="23:24" x14ac:dyDescent="0.3">
      <c r="W1226"/>
      <c r="X1226"/>
    </row>
    <row r="1227" spans="23:24" x14ac:dyDescent="0.3">
      <c r="W1227"/>
      <c r="X1227"/>
    </row>
    <row r="1228" spans="23:24" x14ac:dyDescent="0.3">
      <c r="W1228"/>
      <c r="X1228"/>
    </row>
    <row r="1229" spans="23:24" x14ac:dyDescent="0.3">
      <c r="W1229"/>
      <c r="X1229"/>
    </row>
    <row r="1230" spans="23:24" x14ac:dyDescent="0.3">
      <c r="W1230"/>
      <c r="X1230"/>
    </row>
    <row r="1231" spans="23:24" x14ac:dyDescent="0.3">
      <c r="W1231"/>
      <c r="X1231"/>
    </row>
    <row r="1232" spans="23:24" x14ac:dyDescent="0.3">
      <c r="W1232"/>
      <c r="X1232"/>
    </row>
    <row r="1233" spans="23:24" x14ac:dyDescent="0.3">
      <c r="W1233"/>
      <c r="X1233"/>
    </row>
    <row r="1234" spans="23:24" x14ac:dyDescent="0.3">
      <c r="W1234"/>
      <c r="X1234"/>
    </row>
    <row r="1235" spans="23:24" x14ac:dyDescent="0.3">
      <c r="W1235"/>
      <c r="X1235"/>
    </row>
    <row r="1236" spans="23:24" x14ac:dyDescent="0.3">
      <c r="W1236"/>
      <c r="X1236"/>
    </row>
    <row r="1237" spans="23:24" x14ac:dyDescent="0.3">
      <c r="W1237"/>
      <c r="X1237"/>
    </row>
    <row r="1238" spans="23:24" x14ac:dyDescent="0.3">
      <c r="W1238"/>
      <c r="X1238"/>
    </row>
    <row r="1239" spans="23:24" x14ac:dyDescent="0.3">
      <c r="W1239"/>
      <c r="X1239"/>
    </row>
    <row r="1240" spans="23:24" x14ac:dyDescent="0.3">
      <c r="W1240"/>
      <c r="X1240"/>
    </row>
    <row r="1241" spans="23:24" x14ac:dyDescent="0.3">
      <c r="W1241"/>
      <c r="X1241"/>
    </row>
    <row r="1242" spans="23:24" x14ac:dyDescent="0.3">
      <c r="W1242"/>
      <c r="X1242"/>
    </row>
    <row r="1243" spans="23:24" x14ac:dyDescent="0.3">
      <c r="W1243"/>
      <c r="X1243"/>
    </row>
    <row r="1244" spans="23:24" x14ac:dyDescent="0.3">
      <c r="W1244"/>
      <c r="X1244"/>
    </row>
    <row r="1245" spans="23:24" x14ac:dyDescent="0.3">
      <c r="W1245"/>
      <c r="X1245"/>
    </row>
    <row r="1246" spans="23:24" x14ac:dyDescent="0.3">
      <c r="W1246"/>
      <c r="X1246"/>
    </row>
    <row r="1247" spans="23:24" x14ac:dyDescent="0.3">
      <c r="W1247"/>
      <c r="X1247"/>
    </row>
    <row r="1248" spans="23:24" x14ac:dyDescent="0.3">
      <c r="W1248"/>
      <c r="X1248"/>
    </row>
    <row r="1249" spans="23:24" x14ac:dyDescent="0.3">
      <c r="W1249"/>
      <c r="X1249"/>
    </row>
    <row r="1250" spans="23:24" x14ac:dyDescent="0.3">
      <c r="W1250"/>
      <c r="X1250"/>
    </row>
    <row r="1251" spans="23:24" x14ac:dyDescent="0.3">
      <c r="W1251"/>
      <c r="X1251"/>
    </row>
    <row r="1252" spans="23:24" x14ac:dyDescent="0.3">
      <c r="W1252"/>
      <c r="X1252"/>
    </row>
    <row r="1253" spans="23:24" x14ac:dyDescent="0.3">
      <c r="W1253"/>
      <c r="X1253"/>
    </row>
    <row r="1254" spans="23:24" x14ac:dyDescent="0.3">
      <c r="W1254"/>
      <c r="X1254"/>
    </row>
    <row r="1255" spans="23:24" x14ac:dyDescent="0.3">
      <c r="W1255"/>
      <c r="X1255"/>
    </row>
    <row r="1256" spans="23:24" x14ac:dyDescent="0.3">
      <c r="W1256"/>
      <c r="X1256"/>
    </row>
    <row r="1257" spans="23:24" x14ac:dyDescent="0.3">
      <c r="W1257"/>
      <c r="X1257"/>
    </row>
    <row r="1258" spans="23:24" x14ac:dyDescent="0.3">
      <c r="W1258"/>
      <c r="X1258"/>
    </row>
    <row r="1259" spans="23:24" x14ac:dyDescent="0.3">
      <c r="W1259"/>
      <c r="X1259"/>
    </row>
    <row r="1260" spans="23:24" x14ac:dyDescent="0.3">
      <c r="W1260"/>
      <c r="X1260"/>
    </row>
    <row r="1261" spans="23:24" x14ac:dyDescent="0.3">
      <c r="W1261"/>
      <c r="X1261"/>
    </row>
    <row r="1262" spans="23:24" x14ac:dyDescent="0.3">
      <c r="W1262"/>
      <c r="X1262"/>
    </row>
    <row r="1263" spans="23:24" x14ac:dyDescent="0.3">
      <c r="W1263"/>
      <c r="X1263"/>
    </row>
    <row r="1264" spans="23:24" x14ac:dyDescent="0.3">
      <c r="W1264"/>
      <c r="X1264"/>
    </row>
    <row r="1265" spans="23:24" x14ac:dyDescent="0.3">
      <c r="W1265"/>
      <c r="X1265"/>
    </row>
    <row r="1266" spans="23:24" x14ac:dyDescent="0.3">
      <c r="W1266"/>
      <c r="X1266"/>
    </row>
    <row r="1267" spans="23:24" x14ac:dyDescent="0.3">
      <c r="W1267"/>
      <c r="X1267"/>
    </row>
    <row r="1268" spans="23:24" x14ac:dyDescent="0.3">
      <c r="W1268"/>
      <c r="X1268"/>
    </row>
    <row r="1269" spans="23:24" x14ac:dyDescent="0.3">
      <c r="W1269"/>
      <c r="X1269"/>
    </row>
    <row r="1270" spans="23:24" x14ac:dyDescent="0.3">
      <c r="W1270"/>
      <c r="X1270"/>
    </row>
    <row r="1271" spans="23:24" x14ac:dyDescent="0.3">
      <c r="W1271"/>
      <c r="X1271"/>
    </row>
    <row r="1272" spans="23:24" x14ac:dyDescent="0.3">
      <c r="W1272"/>
      <c r="X1272"/>
    </row>
    <row r="1273" spans="23:24" x14ac:dyDescent="0.3">
      <c r="W1273"/>
      <c r="X1273"/>
    </row>
    <row r="1274" spans="23:24" x14ac:dyDescent="0.3">
      <c r="W1274"/>
      <c r="X1274"/>
    </row>
    <row r="1275" spans="23:24" x14ac:dyDescent="0.3">
      <c r="W1275"/>
      <c r="X1275"/>
    </row>
    <row r="1276" spans="23:24" x14ac:dyDescent="0.3">
      <c r="W1276"/>
      <c r="X1276"/>
    </row>
    <row r="1277" spans="23:24" x14ac:dyDescent="0.3">
      <c r="W1277"/>
      <c r="X1277"/>
    </row>
    <row r="1278" spans="23:24" x14ac:dyDescent="0.3">
      <c r="W1278"/>
      <c r="X1278"/>
    </row>
    <row r="1279" spans="23:24" x14ac:dyDescent="0.3">
      <c r="W1279"/>
      <c r="X1279"/>
    </row>
    <row r="1280" spans="23:24" x14ac:dyDescent="0.3">
      <c r="W1280"/>
      <c r="X1280"/>
    </row>
    <row r="1281" spans="23:24" x14ac:dyDescent="0.3">
      <c r="W1281"/>
      <c r="X1281"/>
    </row>
    <row r="1282" spans="23:24" x14ac:dyDescent="0.3">
      <c r="W1282"/>
      <c r="X1282"/>
    </row>
    <row r="1283" spans="23:24" x14ac:dyDescent="0.3">
      <c r="W1283"/>
      <c r="X1283"/>
    </row>
    <row r="1284" spans="23:24" x14ac:dyDescent="0.3">
      <c r="W1284"/>
      <c r="X1284"/>
    </row>
    <row r="1285" spans="23:24" x14ac:dyDescent="0.3">
      <c r="W1285"/>
      <c r="X1285"/>
    </row>
    <row r="1286" spans="23:24" x14ac:dyDescent="0.3">
      <c r="W1286"/>
      <c r="X1286"/>
    </row>
    <row r="1287" spans="23:24" x14ac:dyDescent="0.3">
      <c r="W1287"/>
      <c r="X1287"/>
    </row>
    <row r="1288" spans="23:24" x14ac:dyDescent="0.3">
      <c r="W1288"/>
      <c r="X1288"/>
    </row>
    <row r="1289" spans="23:24" x14ac:dyDescent="0.3">
      <c r="W1289"/>
      <c r="X1289"/>
    </row>
    <row r="1290" spans="23:24" x14ac:dyDescent="0.3">
      <c r="W1290"/>
      <c r="X1290"/>
    </row>
    <row r="1291" spans="23:24" x14ac:dyDescent="0.3">
      <c r="W1291"/>
      <c r="X1291"/>
    </row>
    <row r="1292" spans="23:24" x14ac:dyDescent="0.3">
      <c r="W1292"/>
      <c r="X1292"/>
    </row>
    <row r="1293" spans="23:24" x14ac:dyDescent="0.3">
      <c r="W1293"/>
      <c r="X1293"/>
    </row>
    <row r="1294" spans="23:24" x14ac:dyDescent="0.3">
      <c r="W1294"/>
      <c r="X1294"/>
    </row>
    <row r="1295" spans="23:24" x14ac:dyDescent="0.3">
      <c r="W1295"/>
      <c r="X1295"/>
    </row>
    <row r="1296" spans="23:24" x14ac:dyDescent="0.3">
      <c r="W1296"/>
      <c r="X1296"/>
    </row>
    <row r="1297" spans="23:24" x14ac:dyDescent="0.3">
      <c r="W1297"/>
      <c r="X1297"/>
    </row>
    <row r="1298" spans="23:24" x14ac:dyDescent="0.3">
      <c r="W1298"/>
      <c r="X1298"/>
    </row>
    <row r="1299" spans="23:24" x14ac:dyDescent="0.3">
      <c r="W1299"/>
      <c r="X1299"/>
    </row>
    <row r="1300" spans="23:24" x14ac:dyDescent="0.3">
      <c r="W1300"/>
      <c r="X1300"/>
    </row>
    <row r="1301" spans="23:24" x14ac:dyDescent="0.3">
      <c r="W1301"/>
      <c r="X1301"/>
    </row>
    <row r="1302" spans="23:24" x14ac:dyDescent="0.3">
      <c r="W1302"/>
      <c r="X1302"/>
    </row>
    <row r="1303" spans="23:24" x14ac:dyDescent="0.3">
      <c r="W1303"/>
      <c r="X1303"/>
    </row>
    <row r="1304" spans="23:24" x14ac:dyDescent="0.3">
      <c r="W1304"/>
      <c r="X1304"/>
    </row>
    <row r="1305" spans="23:24" x14ac:dyDescent="0.3">
      <c r="W1305"/>
      <c r="X1305"/>
    </row>
    <row r="1306" spans="23:24" x14ac:dyDescent="0.3">
      <c r="W1306"/>
      <c r="X1306"/>
    </row>
    <row r="1307" spans="23:24" x14ac:dyDescent="0.3">
      <c r="W1307"/>
      <c r="X1307"/>
    </row>
    <row r="1308" spans="23:24" x14ac:dyDescent="0.3">
      <c r="W1308"/>
      <c r="X1308"/>
    </row>
    <row r="1309" spans="23:24" x14ac:dyDescent="0.3">
      <c r="W1309"/>
      <c r="X1309"/>
    </row>
    <row r="1310" spans="23:24" x14ac:dyDescent="0.3">
      <c r="W1310"/>
      <c r="X1310"/>
    </row>
    <row r="1311" spans="23:24" x14ac:dyDescent="0.3">
      <c r="W1311"/>
      <c r="X1311"/>
    </row>
    <row r="1312" spans="23:24" x14ac:dyDescent="0.3">
      <c r="W1312"/>
      <c r="X1312"/>
    </row>
    <row r="1313" spans="23:24" x14ac:dyDescent="0.3">
      <c r="W1313"/>
      <c r="X1313"/>
    </row>
    <row r="1314" spans="23:24" x14ac:dyDescent="0.3">
      <c r="W1314"/>
      <c r="X1314"/>
    </row>
    <row r="1315" spans="23:24" x14ac:dyDescent="0.3">
      <c r="W1315"/>
      <c r="X1315"/>
    </row>
    <row r="1316" spans="23:24" x14ac:dyDescent="0.3">
      <c r="W1316"/>
      <c r="X1316"/>
    </row>
    <row r="1317" spans="23:24" x14ac:dyDescent="0.3">
      <c r="W1317"/>
      <c r="X1317"/>
    </row>
    <row r="1318" spans="23:24" x14ac:dyDescent="0.3">
      <c r="W1318"/>
      <c r="X1318"/>
    </row>
    <row r="1319" spans="23:24" x14ac:dyDescent="0.3">
      <c r="W1319"/>
      <c r="X1319"/>
    </row>
    <row r="1320" spans="23:24" x14ac:dyDescent="0.3">
      <c r="W1320"/>
      <c r="X1320"/>
    </row>
    <row r="1321" spans="23:24" x14ac:dyDescent="0.3">
      <c r="W1321"/>
      <c r="X1321"/>
    </row>
    <row r="1322" spans="23:24" x14ac:dyDescent="0.3">
      <c r="W1322"/>
      <c r="X1322"/>
    </row>
    <row r="1323" spans="23:24" x14ac:dyDescent="0.3">
      <c r="W1323"/>
      <c r="X1323"/>
    </row>
    <row r="1324" spans="23:24" x14ac:dyDescent="0.3">
      <c r="W1324"/>
      <c r="X1324"/>
    </row>
    <row r="1325" spans="23:24" x14ac:dyDescent="0.3">
      <c r="W1325"/>
      <c r="X1325"/>
    </row>
    <row r="1326" spans="23:24" x14ac:dyDescent="0.3">
      <c r="W1326"/>
      <c r="X1326"/>
    </row>
    <row r="1327" spans="23:24" x14ac:dyDescent="0.3">
      <c r="W1327"/>
      <c r="X1327"/>
    </row>
    <row r="1328" spans="23:24" x14ac:dyDescent="0.3">
      <c r="W1328"/>
      <c r="X1328"/>
    </row>
    <row r="1329" spans="23:24" x14ac:dyDescent="0.3">
      <c r="W1329"/>
      <c r="X1329"/>
    </row>
    <row r="1330" spans="23:24" x14ac:dyDescent="0.3">
      <c r="W1330"/>
      <c r="X1330"/>
    </row>
    <row r="1331" spans="23:24" x14ac:dyDescent="0.3">
      <c r="W1331"/>
      <c r="X1331"/>
    </row>
    <row r="1332" spans="23:24" x14ac:dyDescent="0.3">
      <c r="W1332"/>
      <c r="X1332"/>
    </row>
    <row r="1333" spans="23:24" x14ac:dyDescent="0.3">
      <c r="W1333"/>
      <c r="X1333"/>
    </row>
    <row r="1334" spans="23:24" x14ac:dyDescent="0.3">
      <c r="W1334"/>
      <c r="X1334"/>
    </row>
    <row r="1335" spans="23:24" x14ac:dyDescent="0.3">
      <c r="W1335"/>
      <c r="X1335"/>
    </row>
    <row r="1336" spans="23:24" x14ac:dyDescent="0.3">
      <c r="W1336"/>
      <c r="X1336"/>
    </row>
    <row r="1337" spans="23:24" x14ac:dyDescent="0.3">
      <c r="W1337"/>
      <c r="X1337"/>
    </row>
    <row r="1338" spans="23:24" x14ac:dyDescent="0.3">
      <c r="W1338"/>
      <c r="X1338"/>
    </row>
    <row r="1339" spans="23:24" x14ac:dyDescent="0.3">
      <c r="W1339"/>
      <c r="X1339"/>
    </row>
    <row r="1340" spans="23:24" x14ac:dyDescent="0.3">
      <c r="W1340"/>
      <c r="X1340"/>
    </row>
    <row r="1341" spans="23:24" x14ac:dyDescent="0.3">
      <c r="W1341"/>
      <c r="X1341"/>
    </row>
    <row r="1342" spans="23:24" x14ac:dyDescent="0.3">
      <c r="W1342"/>
      <c r="X1342"/>
    </row>
    <row r="1343" spans="23:24" x14ac:dyDescent="0.3">
      <c r="W1343"/>
      <c r="X1343"/>
    </row>
    <row r="1344" spans="23:24" x14ac:dyDescent="0.3">
      <c r="W1344"/>
      <c r="X1344"/>
    </row>
    <row r="1345" spans="23:24" x14ac:dyDescent="0.3">
      <c r="W1345"/>
      <c r="X1345"/>
    </row>
    <row r="1346" spans="23:24" x14ac:dyDescent="0.3">
      <c r="W1346"/>
      <c r="X1346"/>
    </row>
    <row r="1347" spans="23:24" x14ac:dyDescent="0.3">
      <c r="W1347"/>
      <c r="X1347"/>
    </row>
    <row r="1348" spans="23:24" x14ac:dyDescent="0.3">
      <c r="W1348"/>
      <c r="X1348"/>
    </row>
    <row r="1349" spans="23:24" x14ac:dyDescent="0.3">
      <c r="W1349"/>
      <c r="X1349"/>
    </row>
    <row r="1350" spans="23:24" x14ac:dyDescent="0.3">
      <c r="W1350"/>
      <c r="X1350"/>
    </row>
    <row r="1351" spans="23:24" x14ac:dyDescent="0.3">
      <c r="W1351"/>
      <c r="X1351"/>
    </row>
    <row r="1352" spans="23:24" x14ac:dyDescent="0.3">
      <c r="W1352"/>
      <c r="X1352"/>
    </row>
    <row r="1353" spans="23:24" x14ac:dyDescent="0.3">
      <c r="W1353"/>
      <c r="X1353"/>
    </row>
    <row r="1354" spans="23:24" x14ac:dyDescent="0.3">
      <c r="W1354"/>
      <c r="X1354"/>
    </row>
    <row r="1355" spans="23:24" x14ac:dyDescent="0.3">
      <c r="W1355"/>
      <c r="X1355"/>
    </row>
    <row r="1356" spans="23:24" x14ac:dyDescent="0.3">
      <c r="W1356"/>
      <c r="X1356"/>
    </row>
    <row r="1357" spans="23:24" x14ac:dyDescent="0.3">
      <c r="W1357"/>
      <c r="X1357"/>
    </row>
    <row r="1358" spans="23:24" x14ac:dyDescent="0.3">
      <c r="W1358"/>
      <c r="X1358"/>
    </row>
    <row r="1359" spans="23:24" x14ac:dyDescent="0.3">
      <c r="W1359"/>
      <c r="X1359"/>
    </row>
    <row r="1360" spans="23:24" x14ac:dyDescent="0.3">
      <c r="W1360"/>
      <c r="X1360"/>
    </row>
    <row r="1361" spans="23:24" x14ac:dyDescent="0.3">
      <c r="W1361"/>
      <c r="X1361"/>
    </row>
    <row r="1362" spans="23:24" x14ac:dyDescent="0.3">
      <c r="W1362"/>
      <c r="X1362"/>
    </row>
    <row r="1363" spans="23:24" x14ac:dyDescent="0.3">
      <c r="W1363"/>
      <c r="X1363"/>
    </row>
    <row r="1364" spans="23:24" x14ac:dyDescent="0.3">
      <c r="W1364"/>
      <c r="X1364"/>
    </row>
    <row r="1365" spans="23:24" x14ac:dyDescent="0.3">
      <c r="W1365"/>
      <c r="X1365"/>
    </row>
    <row r="1366" spans="23:24" x14ac:dyDescent="0.3">
      <c r="W1366"/>
      <c r="X1366"/>
    </row>
    <row r="1367" spans="23:24" x14ac:dyDescent="0.3">
      <c r="W1367"/>
      <c r="X1367"/>
    </row>
    <row r="1368" spans="23:24" x14ac:dyDescent="0.3">
      <c r="W1368"/>
      <c r="X1368"/>
    </row>
    <row r="1369" spans="23:24" x14ac:dyDescent="0.3">
      <c r="W1369"/>
      <c r="X1369"/>
    </row>
    <row r="1370" spans="23:24" x14ac:dyDescent="0.3">
      <c r="W1370"/>
      <c r="X1370"/>
    </row>
    <row r="1371" spans="23:24" x14ac:dyDescent="0.3">
      <c r="W1371"/>
      <c r="X1371"/>
    </row>
    <row r="1372" spans="23:24" x14ac:dyDescent="0.3">
      <c r="W1372"/>
      <c r="X1372"/>
    </row>
    <row r="1373" spans="23:24" x14ac:dyDescent="0.3">
      <c r="W1373"/>
      <c r="X1373"/>
    </row>
    <row r="1374" spans="23:24" x14ac:dyDescent="0.3">
      <c r="W1374"/>
      <c r="X1374"/>
    </row>
    <row r="1375" spans="23:24" x14ac:dyDescent="0.3">
      <c r="W1375"/>
      <c r="X1375"/>
    </row>
    <row r="1376" spans="23:24" x14ac:dyDescent="0.3">
      <c r="W1376"/>
      <c r="X1376"/>
    </row>
    <row r="1377" spans="23:24" x14ac:dyDescent="0.3">
      <c r="W1377"/>
      <c r="X1377"/>
    </row>
    <row r="1378" spans="23:24" x14ac:dyDescent="0.3">
      <c r="W1378"/>
      <c r="X1378"/>
    </row>
    <row r="1379" spans="23:24" x14ac:dyDescent="0.3">
      <c r="W1379"/>
      <c r="X1379"/>
    </row>
    <row r="1380" spans="23:24" x14ac:dyDescent="0.3">
      <c r="W1380"/>
      <c r="X1380"/>
    </row>
    <row r="1381" spans="23:24" x14ac:dyDescent="0.3">
      <c r="W1381"/>
      <c r="X1381"/>
    </row>
    <row r="1382" spans="23:24" x14ac:dyDescent="0.3">
      <c r="W1382"/>
      <c r="X1382"/>
    </row>
    <row r="1383" spans="23:24" x14ac:dyDescent="0.3">
      <c r="W1383"/>
      <c r="X1383"/>
    </row>
    <row r="1384" spans="23:24" x14ac:dyDescent="0.3">
      <c r="W1384"/>
      <c r="X1384"/>
    </row>
    <row r="1385" spans="23:24" x14ac:dyDescent="0.3">
      <c r="W1385"/>
      <c r="X1385"/>
    </row>
    <row r="1386" spans="23:24" x14ac:dyDescent="0.3">
      <c r="W1386"/>
      <c r="X1386"/>
    </row>
    <row r="1387" spans="23:24" x14ac:dyDescent="0.3">
      <c r="W1387"/>
      <c r="X1387"/>
    </row>
    <row r="1388" spans="23:24" x14ac:dyDescent="0.3">
      <c r="W1388"/>
      <c r="X1388"/>
    </row>
    <row r="1389" spans="23:24" x14ac:dyDescent="0.3">
      <c r="W1389"/>
      <c r="X1389"/>
    </row>
    <row r="1390" spans="23:24" x14ac:dyDescent="0.3">
      <c r="W1390"/>
      <c r="X1390"/>
    </row>
    <row r="1391" spans="23:24" x14ac:dyDescent="0.3">
      <c r="W1391"/>
      <c r="X1391"/>
    </row>
    <row r="1392" spans="23:24" x14ac:dyDescent="0.3">
      <c r="W1392"/>
      <c r="X1392"/>
    </row>
    <row r="1393" spans="23:24" x14ac:dyDescent="0.3">
      <c r="W1393"/>
      <c r="X1393"/>
    </row>
    <row r="1394" spans="23:24" x14ac:dyDescent="0.3">
      <c r="W1394"/>
      <c r="X1394"/>
    </row>
    <row r="1395" spans="23:24" x14ac:dyDescent="0.3">
      <c r="W1395"/>
      <c r="X1395"/>
    </row>
    <row r="1396" spans="23:24" x14ac:dyDescent="0.3">
      <c r="W1396"/>
      <c r="X1396"/>
    </row>
    <row r="1397" spans="23:24" x14ac:dyDescent="0.3">
      <c r="W1397"/>
      <c r="X1397"/>
    </row>
    <row r="1398" spans="23:24" x14ac:dyDescent="0.3">
      <c r="W1398"/>
      <c r="X1398"/>
    </row>
    <row r="1399" spans="23:24" x14ac:dyDescent="0.3">
      <c r="W1399"/>
      <c r="X1399"/>
    </row>
    <row r="1400" spans="23:24" x14ac:dyDescent="0.3">
      <c r="W1400"/>
      <c r="X1400"/>
    </row>
    <row r="1401" spans="23:24" x14ac:dyDescent="0.3">
      <c r="W1401"/>
      <c r="X1401"/>
    </row>
    <row r="1402" spans="23:24" x14ac:dyDescent="0.3">
      <c r="W1402"/>
      <c r="X1402"/>
    </row>
    <row r="1403" spans="23:24" x14ac:dyDescent="0.3">
      <c r="W1403"/>
      <c r="X1403"/>
    </row>
    <row r="1404" spans="23:24" x14ac:dyDescent="0.3">
      <c r="W1404"/>
      <c r="X1404"/>
    </row>
    <row r="1405" spans="23:24" x14ac:dyDescent="0.3">
      <c r="W1405"/>
      <c r="X1405"/>
    </row>
    <row r="1406" spans="23:24" x14ac:dyDescent="0.3">
      <c r="W1406"/>
      <c r="X1406"/>
    </row>
    <row r="1407" spans="23:24" x14ac:dyDescent="0.3">
      <c r="W1407"/>
      <c r="X1407"/>
    </row>
    <row r="1408" spans="23:24" x14ac:dyDescent="0.3">
      <c r="W1408"/>
      <c r="X1408"/>
    </row>
    <row r="1409" spans="23:24" x14ac:dyDescent="0.3">
      <c r="W1409"/>
      <c r="X1409"/>
    </row>
    <row r="1410" spans="23:24" x14ac:dyDescent="0.3">
      <c r="W1410"/>
      <c r="X1410"/>
    </row>
    <row r="1411" spans="23:24" x14ac:dyDescent="0.3">
      <c r="W1411"/>
      <c r="X1411"/>
    </row>
    <row r="1412" spans="23:24" x14ac:dyDescent="0.3">
      <c r="W1412"/>
      <c r="X1412"/>
    </row>
    <row r="1413" spans="23:24" x14ac:dyDescent="0.3">
      <c r="W1413"/>
      <c r="X1413"/>
    </row>
    <row r="1414" spans="23:24" x14ac:dyDescent="0.3">
      <c r="W1414"/>
      <c r="X1414"/>
    </row>
    <row r="1415" spans="23:24" x14ac:dyDescent="0.3">
      <c r="W1415"/>
      <c r="X1415"/>
    </row>
    <row r="1416" spans="23:24" x14ac:dyDescent="0.3">
      <c r="W1416"/>
      <c r="X1416"/>
    </row>
    <row r="1417" spans="23:24" x14ac:dyDescent="0.3">
      <c r="W1417"/>
      <c r="X1417"/>
    </row>
    <row r="1418" spans="23:24" x14ac:dyDescent="0.3">
      <c r="W1418"/>
      <c r="X1418"/>
    </row>
    <row r="1419" spans="23:24" x14ac:dyDescent="0.3">
      <c r="W1419"/>
      <c r="X1419"/>
    </row>
    <row r="1420" spans="23:24" x14ac:dyDescent="0.3">
      <c r="W1420"/>
      <c r="X1420"/>
    </row>
    <row r="1421" spans="23:24" x14ac:dyDescent="0.3">
      <c r="W1421"/>
      <c r="X1421"/>
    </row>
    <row r="1422" spans="23:24" x14ac:dyDescent="0.3">
      <c r="W1422"/>
      <c r="X1422"/>
    </row>
    <row r="1423" spans="23:24" x14ac:dyDescent="0.3">
      <c r="W1423"/>
      <c r="X1423"/>
    </row>
    <row r="1424" spans="23:24" x14ac:dyDescent="0.3">
      <c r="W1424"/>
      <c r="X1424"/>
    </row>
    <row r="1425" spans="23:24" x14ac:dyDescent="0.3">
      <c r="W1425"/>
      <c r="X1425"/>
    </row>
    <row r="1426" spans="23:24" x14ac:dyDescent="0.3">
      <c r="W1426"/>
      <c r="X1426"/>
    </row>
    <row r="1427" spans="23:24" x14ac:dyDescent="0.3">
      <c r="W1427"/>
      <c r="X1427"/>
    </row>
    <row r="1428" spans="23:24" x14ac:dyDescent="0.3">
      <c r="W1428"/>
      <c r="X1428"/>
    </row>
    <row r="1429" spans="23:24" x14ac:dyDescent="0.3">
      <c r="W1429"/>
      <c r="X1429"/>
    </row>
    <row r="1430" spans="23:24" x14ac:dyDescent="0.3">
      <c r="W1430"/>
      <c r="X1430"/>
    </row>
    <row r="1431" spans="23:24" x14ac:dyDescent="0.3">
      <c r="W1431"/>
      <c r="X1431"/>
    </row>
    <row r="1432" spans="23:24" x14ac:dyDescent="0.3">
      <c r="W1432"/>
      <c r="X1432"/>
    </row>
    <row r="1433" spans="23:24" x14ac:dyDescent="0.3">
      <c r="W1433"/>
      <c r="X1433"/>
    </row>
    <row r="1434" spans="23:24" x14ac:dyDescent="0.3">
      <c r="W1434"/>
      <c r="X1434"/>
    </row>
    <row r="1435" spans="23:24" x14ac:dyDescent="0.3">
      <c r="W1435"/>
      <c r="X1435"/>
    </row>
    <row r="1436" spans="23:24" x14ac:dyDescent="0.3">
      <c r="W1436"/>
      <c r="X1436"/>
    </row>
    <row r="1437" spans="23:24" x14ac:dyDescent="0.3">
      <c r="W1437"/>
      <c r="X1437"/>
    </row>
    <row r="1438" spans="23:24" x14ac:dyDescent="0.3">
      <c r="W1438"/>
      <c r="X1438"/>
    </row>
    <row r="1439" spans="23:24" x14ac:dyDescent="0.3">
      <c r="W1439"/>
      <c r="X1439"/>
    </row>
    <row r="1440" spans="23:24" x14ac:dyDescent="0.3">
      <c r="W1440"/>
      <c r="X1440"/>
    </row>
    <row r="1441" spans="23:24" x14ac:dyDescent="0.3">
      <c r="W1441"/>
      <c r="X1441"/>
    </row>
    <row r="1442" spans="23:24" x14ac:dyDescent="0.3">
      <c r="W1442"/>
      <c r="X1442"/>
    </row>
    <row r="1443" spans="23:24" x14ac:dyDescent="0.3">
      <c r="W1443"/>
      <c r="X1443"/>
    </row>
    <row r="1444" spans="23:24" x14ac:dyDescent="0.3">
      <c r="W1444"/>
      <c r="X1444"/>
    </row>
    <row r="1445" spans="23:24" x14ac:dyDescent="0.3">
      <c r="W1445"/>
      <c r="X1445"/>
    </row>
    <row r="1446" spans="23:24" x14ac:dyDescent="0.3">
      <c r="W1446"/>
      <c r="X1446"/>
    </row>
    <row r="1447" spans="23:24" x14ac:dyDescent="0.3">
      <c r="W1447"/>
      <c r="X1447"/>
    </row>
    <row r="1448" spans="23:24" x14ac:dyDescent="0.3">
      <c r="W1448"/>
      <c r="X1448"/>
    </row>
    <row r="1449" spans="23:24" x14ac:dyDescent="0.3">
      <c r="W1449"/>
      <c r="X1449"/>
    </row>
    <row r="1450" spans="23:24" x14ac:dyDescent="0.3">
      <c r="W1450"/>
      <c r="X1450"/>
    </row>
    <row r="1451" spans="23:24" x14ac:dyDescent="0.3">
      <c r="W1451"/>
      <c r="X1451"/>
    </row>
    <row r="1452" spans="23:24" x14ac:dyDescent="0.3">
      <c r="W1452"/>
      <c r="X1452"/>
    </row>
    <row r="1453" spans="23:24" x14ac:dyDescent="0.3">
      <c r="W1453"/>
      <c r="X1453"/>
    </row>
    <row r="1454" spans="23:24" x14ac:dyDescent="0.3">
      <c r="W1454"/>
      <c r="X1454"/>
    </row>
    <row r="1455" spans="23:24" x14ac:dyDescent="0.3">
      <c r="W1455"/>
      <c r="X1455"/>
    </row>
    <row r="1456" spans="23:24" x14ac:dyDescent="0.3">
      <c r="W1456"/>
      <c r="X1456"/>
    </row>
    <row r="1457" spans="23:24" x14ac:dyDescent="0.3">
      <c r="W1457"/>
      <c r="X1457"/>
    </row>
    <row r="1458" spans="23:24" x14ac:dyDescent="0.3">
      <c r="W1458"/>
      <c r="X1458"/>
    </row>
    <row r="1459" spans="23:24" x14ac:dyDescent="0.3">
      <c r="W1459"/>
      <c r="X1459"/>
    </row>
    <row r="1460" spans="23:24" x14ac:dyDescent="0.3">
      <c r="W1460"/>
      <c r="X1460"/>
    </row>
    <row r="1461" spans="23:24" x14ac:dyDescent="0.3">
      <c r="W1461"/>
      <c r="X1461"/>
    </row>
    <row r="1462" spans="23:24" x14ac:dyDescent="0.3">
      <c r="W1462"/>
      <c r="X1462"/>
    </row>
    <row r="1463" spans="23:24" x14ac:dyDescent="0.3">
      <c r="W1463"/>
      <c r="X1463"/>
    </row>
    <row r="1464" spans="23:24" x14ac:dyDescent="0.3">
      <c r="W1464"/>
      <c r="X1464"/>
    </row>
    <row r="1465" spans="23:24" x14ac:dyDescent="0.3">
      <c r="W1465"/>
      <c r="X1465"/>
    </row>
    <row r="1466" spans="23:24" x14ac:dyDescent="0.3">
      <c r="W1466"/>
      <c r="X1466"/>
    </row>
    <row r="1467" spans="23:24" x14ac:dyDescent="0.3">
      <c r="W1467"/>
      <c r="X1467"/>
    </row>
    <row r="1468" spans="23:24" x14ac:dyDescent="0.3">
      <c r="W1468"/>
      <c r="X1468"/>
    </row>
    <row r="1469" spans="23:24" x14ac:dyDescent="0.3">
      <c r="W1469"/>
      <c r="X1469"/>
    </row>
    <row r="1470" spans="23:24" x14ac:dyDescent="0.3">
      <c r="W1470"/>
      <c r="X1470"/>
    </row>
    <row r="1471" spans="23:24" x14ac:dyDescent="0.3">
      <c r="W1471"/>
      <c r="X1471"/>
    </row>
    <row r="1472" spans="23:24" x14ac:dyDescent="0.3">
      <c r="W1472"/>
      <c r="X1472"/>
    </row>
    <row r="1473" spans="23:24" x14ac:dyDescent="0.3">
      <c r="W1473"/>
      <c r="X1473"/>
    </row>
    <row r="1474" spans="23:24" x14ac:dyDescent="0.3">
      <c r="W1474"/>
      <c r="X1474"/>
    </row>
    <row r="1475" spans="23:24" x14ac:dyDescent="0.3">
      <c r="W1475"/>
      <c r="X1475"/>
    </row>
    <row r="1476" spans="23:24" x14ac:dyDescent="0.3">
      <c r="W1476"/>
      <c r="X1476"/>
    </row>
    <row r="1477" spans="23:24" x14ac:dyDescent="0.3">
      <c r="W1477"/>
      <c r="X1477"/>
    </row>
    <row r="1478" spans="23:24" x14ac:dyDescent="0.3">
      <c r="W1478"/>
      <c r="X1478"/>
    </row>
    <row r="1479" spans="23:24" x14ac:dyDescent="0.3">
      <c r="W1479"/>
      <c r="X1479"/>
    </row>
    <row r="1480" spans="23:24" x14ac:dyDescent="0.3">
      <c r="W1480"/>
      <c r="X1480"/>
    </row>
    <row r="1481" spans="23:24" x14ac:dyDescent="0.3">
      <c r="W1481"/>
      <c r="X1481"/>
    </row>
    <row r="1482" spans="23:24" x14ac:dyDescent="0.3">
      <c r="W1482"/>
      <c r="X1482"/>
    </row>
    <row r="1483" spans="23:24" x14ac:dyDescent="0.3">
      <c r="W1483"/>
      <c r="X1483"/>
    </row>
    <row r="1484" spans="23:24" x14ac:dyDescent="0.3">
      <c r="W1484"/>
      <c r="X1484"/>
    </row>
    <row r="1485" spans="23:24" x14ac:dyDescent="0.3">
      <c r="W1485"/>
      <c r="X1485"/>
    </row>
    <row r="1486" spans="23:24" x14ac:dyDescent="0.3">
      <c r="W1486"/>
      <c r="X1486"/>
    </row>
    <row r="1487" spans="23:24" x14ac:dyDescent="0.3">
      <c r="W1487"/>
      <c r="X1487"/>
    </row>
    <row r="1488" spans="23:24" x14ac:dyDescent="0.3">
      <c r="W1488"/>
      <c r="X1488"/>
    </row>
    <row r="1489" spans="23:24" x14ac:dyDescent="0.3">
      <c r="W1489"/>
      <c r="X1489"/>
    </row>
    <row r="1490" spans="23:24" x14ac:dyDescent="0.3">
      <c r="W1490"/>
      <c r="X1490"/>
    </row>
    <row r="1491" spans="23:24" x14ac:dyDescent="0.3">
      <c r="W1491"/>
      <c r="X1491"/>
    </row>
    <row r="1492" spans="23:24" x14ac:dyDescent="0.3">
      <c r="W1492"/>
      <c r="X1492"/>
    </row>
    <row r="1493" spans="23:24" x14ac:dyDescent="0.3">
      <c r="W1493"/>
      <c r="X1493"/>
    </row>
    <row r="1494" spans="23:24" x14ac:dyDescent="0.3">
      <c r="W1494"/>
      <c r="X1494"/>
    </row>
    <row r="1495" spans="23:24" x14ac:dyDescent="0.3">
      <c r="W1495"/>
      <c r="X1495"/>
    </row>
    <row r="1496" spans="23:24" x14ac:dyDescent="0.3">
      <c r="W1496"/>
      <c r="X1496"/>
    </row>
    <row r="1497" spans="23:24" x14ac:dyDescent="0.3">
      <c r="W1497"/>
      <c r="X1497"/>
    </row>
    <row r="1498" spans="23:24" x14ac:dyDescent="0.3">
      <c r="W1498"/>
      <c r="X1498"/>
    </row>
    <row r="1499" spans="23:24" x14ac:dyDescent="0.3">
      <c r="W1499"/>
      <c r="X1499"/>
    </row>
    <row r="1500" spans="23:24" x14ac:dyDescent="0.3">
      <c r="W1500"/>
      <c r="X1500"/>
    </row>
    <row r="1501" spans="23:24" x14ac:dyDescent="0.3">
      <c r="W1501"/>
      <c r="X1501"/>
    </row>
    <row r="1502" spans="23:24" x14ac:dyDescent="0.3">
      <c r="W1502"/>
      <c r="X1502"/>
    </row>
    <row r="1503" spans="23:24" x14ac:dyDescent="0.3">
      <c r="W1503"/>
      <c r="X1503"/>
    </row>
    <row r="1504" spans="23:24" x14ac:dyDescent="0.3">
      <c r="W1504"/>
      <c r="X1504"/>
    </row>
    <row r="1505" spans="23:24" x14ac:dyDescent="0.3">
      <c r="W1505"/>
      <c r="X1505"/>
    </row>
    <row r="1506" spans="23:24" x14ac:dyDescent="0.3">
      <c r="W1506"/>
      <c r="X1506"/>
    </row>
    <row r="1507" spans="23:24" x14ac:dyDescent="0.3">
      <c r="W1507"/>
      <c r="X1507"/>
    </row>
    <row r="1508" spans="23:24" x14ac:dyDescent="0.3">
      <c r="W1508"/>
      <c r="X1508"/>
    </row>
    <row r="1509" spans="23:24" x14ac:dyDescent="0.3">
      <c r="W1509"/>
      <c r="X1509"/>
    </row>
    <row r="1510" spans="23:24" x14ac:dyDescent="0.3">
      <c r="W1510"/>
      <c r="X1510"/>
    </row>
    <row r="1511" spans="23:24" x14ac:dyDescent="0.3">
      <c r="W1511"/>
      <c r="X1511"/>
    </row>
    <row r="1512" spans="23:24" x14ac:dyDescent="0.3">
      <c r="W1512"/>
      <c r="X1512"/>
    </row>
    <row r="1513" spans="23:24" x14ac:dyDescent="0.3">
      <c r="W1513"/>
      <c r="X1513"/>
    </row>
    <row r="1514" spans="23:24" x14ac:dyDescent="0.3">
      <c r="W1514"/>
      <c r="X1514"/>
    </row>
    <row r="1515" spans="23:24" x14ac:dyDescent="0.3">
      <c r="W1515"/>
      <c r="X1515"/>
    </row>
    <row r="1516" spans="23:24" x14ac:dyDescent="0.3">
      <c r="W1516"/>
      <c r="X1516"/>
    </row>
    <row r="1517" spans="23:24" x14ac:dyDescent="0.3">
      <c r="W1517"/>
      <c r="X1517"/>
    </row>
    <row r="1518" spans="23:24" x14ac:dyDescent="0.3">
      <c r="W1518"/>
      <c r="X1518"/>
    </row>
    <row r="1519" spans="23:24" x14ac:dyDescent="0.3">
      <c r="W1519"/>
      <c r="X1519"/>
    </row>
    <row r="1520" spans="23:24" x14ac:dyDescent="0.3">
      <c r="W1520"/>
      <c r="X1520"/>
    </row>
    <row r="1521" spans="23:24" x14ac:dyDescent="0.3">
      <c r="W1521"/>
      <c r="X1521"/>
    </row>
    <row r="1522" spans="23:24" x14ac:dyDescent="0.3">
      <c r="W1522"/>
      <c r="X1522"/>
    </row>
    <row r="1523" spans="23:24" x14ac:dyDescent="0.3">
      <c r="W1523"/>
      <c r="X1523"/>
    </row>
    <row r="1524" spans="23:24" x14ac:dyDescent="0.3">
      <c r="W1524"/>
      <c r="X1524"/>
    </row>
    <row r="1525" spans="23:24" x14ac:dyDescent="0.3">
      <c r="W1525"/>
      <c r="X1525"/>
    </row>
    <row r="1526" spans="23:24" x14ac:dyDescent="0.3">
      <c r="W1526"/>
      <c r="X1526"/>
    </row>
    <row r="1527" spans="23:24" x14ac:dyDescent="0.3">
      <c r="W1527"/>
      <c r="X1527"/>
    </row>
    <row r="1528" spans="23:24" x14ac:dyDescent="0.3">
      <c r="W1528"/>
      <c r="X1528"/>
    </row>
    <row r="1529" spans="23:24" x14ac:dyDescent="0.3">
      <c r="W1529"/>
      <c r="X1529"/>
    </row>
    <row r="1530" spans="23:24" x14ac:dyDescent="0.3">
      <c r="W1530"/>
      <c r="X1530"/>
    </row>
    <row r="1531" spans="23:24" x14ac:dyDescent="0.3">
      <c r="W1531"/>
      <c r="X1531"/>
    </row>
    <row r="1532" spans="23:24" x14ac:dyDescent="0.3">
      <c r="W1532"/>
      <c r="X1532"/>
    </row>
    <row r="1533" spans="23:24" x14ac:dyDescent="0.3">
      <c r="W1533"/>
      <c r="X1533"/>
    </row>
    <row r="1534" spans="23:24" x14ac:dyDescent="0.3">
      <c r="W1534"/>
      <c r="X1534"/>
    </row>
    <row r="1535" spans="23:24" x14ac:dyDescent="0.3">
      <c r="W1535"/>
      <c r="X1535"/>
    </row>
    <row r="1536" spans="23:24" x14ac:dyDescent="0.3">
      <c r="W1536"/>
      <c r="X1536"/>
    </row>
    <row r="1537" spans="23:24" x14ac:dyDescent="0.3">
      <c r="W1537"/>
      <c r="X1537"/>
    </row>
    <row r="1538" spans="23:24" x14ac:dyDescent="0.3">
      <c r="W1538"/>
      <c r="X1538"/>
    </row>
    <row r="1539" spans="23:24" x14ac:dyDescent="0.3">
      <c r="W1539"/>
      <c r="X1539"/>
    </row>
    <row r="1540" spans="23:24" x14ac:dyDescent="0.3">
      <c r="W1540"/>
      <c r="X1540"/>
    </row>
    <row r="1541" spans="23:24" x14ac:dyDescent="0.3">
      <c r="W1541"/>
      <c r="X1541"/>
    </row>
    <row r="1542" spans="23:24" x14ac:dyDescent="0.3">
      <c r="W1542"/>
      <c r="X1542"/>
    </row>
    <row r="1543" spans="23:24" x14ac:dyDescent="0.3">
      <c r="W1543"/>
      <c r="X1543"/>
    </row>
    <row r="1544" spans="23:24" x14ac:dyDescent="0.3">
      <c r="W1544"/>
      <c r="X1544"/>
    </row>
    <row r="1545" spans="23:24" x14ac:dyDescent="0.3">
      <c r="W1545"/>
      <c r="X1545"/>
    </row>
    <row r="1546" spans="23:24" x14ac:dyDescent="0.3">
      <c r="W1546"/>
      <c r="X1546"/>
    </row>
    <row r="1547" spans="23:24" x14ac:dyDescent="0.3">
      <c r="W1547"/>
      <c r="X1547"/>
    </row>
    <row r="1548" spans="23:24" x14ac:dyDescent="0.3">
      <c r="W1548"/>
      <c r="X1548"/>
    </row>
    <row r="1549" spans="23:24" x14ac:dyDescent="0.3">
      <c r="W1549"/>
      <c r="X1549"/>
    </row>
    <row r="1550" spans="23:24" x14ac:dyDescent="0.3">
      <c r="W1550"/>
      <c r="X1550"/>
    </row>
    <row r="1551" spans="23:24" x14ac:dyDescent="0.3">
      <c r="W1551"/>
      <c r="X1551"/>
    </row>
    <row r="1552" spans="23:24" x14ac:dyDescent="0.3">
      <c r="W1552"/>
      <c r="X1552"/>
    </row>
    <row r="1553" spans="23:24" x14ac:dyDescent="0.3">
      <c r="W1553"/>
      <c r="X1553"/>
    </row>
    <row r="1554" spans="23:24" x14ac:dyDescent="0.3">
      <c r="W1554"/>
      <c r="X1554"/>
    </row>
    <row r="1555" spans="23:24" x14ac:dyDescent="0.3">
      <c r="W1555"/>
      <c r="X1555"/>
    </row>
    <row r="1556" spans="23:24" x14ac:dyDescent="0.3">
      <c r="W1556"/>
      <c r="X1556"/>
    </row>
    <row r="1557" spans="23:24" x14ac:dyDescent="0.3">
      <c r="W1557"/>
      <c r="X1557"/>
    </row>
    <row r="1558" spans="23:24" x14ac:dyDescent="0.3">
      <c r="W1558"/>
      <c r="X1558"/>
    </row>
    <row r="1559" spans="23:24" x14ac:dyDescent="0.3">
      <c r="W1559"/>
      <c r="X1559"/>
    </row>
    <row r="1560" spans="23:24" x14ac:dyDescent="0.3">
      <c r="W1560"/>
      <c r="X1560"/>
    </row>
    <row r="1561" spans="23:24" x14ac:dyDescent="0.3">
      <c r="W1561"/>
      <c r="X1561"/>
    </row>
    <row r="1562" spans="23:24" x14ac:dyDescent="0.3">
      <c r="W1562"/>
      <c r="X1562"/>
    </row>
    <row r="1563" spans="23:24" x14ac:dyDescent="0.3">
      <c r="W1563"/>
      <c r="X1563"/>
    </row>
    <row r="1564" spans="23:24" x14ac:dyDescent="0.3">
      <c r="W1564"/>
      <c r="X1564"/>
    </row>
    <row r="1565" spans="23:24" x14ac:dyDescent="0.3">
      <c r="W1565"/>
      <c r="X1565"/>
    </row>
    <row r="1566" spans="23:24" x14ac:dyDescent="0.3">
      <c r="W1566"/>
      <c r="X1566"/>
    </row>
    <row r="1567" spans="23:24" x14ac:dyDescent="0.3">
      <c r="W1567"/>
      <c r="X1567"/>
    </row>
    <row r="1568" spans="23:24" x14ac:dyDescent="0.3">
      <c r="W1568"/>
      <c r="X1568"/>
    </row>
    <row r="1569" spans="23:24" x14ac:dyDescent="0.3">
      <c r="W1569"/>
      <c r="X1569"/>
    </row>
    <row r="1570" spans="23:24" x14ac:dyDescent="0.3">
      <c r="W1570"/>
      <c r="X1570"/>
    </row>
    <row r="1571" spans="23:24" x14ac:dyDescent="0.3">
      <c r="W1571"/>
      <c r="X1571"/>
    </row>
    <row r="1572" spans="23:24" x14ac:dyDescent="0.3">
      <c r="W1572"/>
      <c r="X1572"/>
    </row>
    <row r="1573" spans="23:24" x14ac:dyDescent="0.3">
      <c r="W1573"/>
      <c r="X1573"/>
    </row>
    <row r="1574" spans="23:24" x14ac:dyDescent="0.3">
      <c r="W1574"/>
      <c r="X1574"/>
    </row>
    <row r="1575" spans="23:24" x14ac:dyDescent="0.3">
      <c r="W1575"/>
      <c r="X1575"/>
    </row>
    <row r="1576" spans="23:24" x14ac:dyDescent="0.3">
      <c r="W1576"/>
      <c r="X1576"/>
    </row>
    <row r="1577" spans="23:24" x14ac:dyDescent="0.3">
      <c r="W1577"/>
      <c r="X1577"/>
    </row>
    <row r="1578" spans="23:24" x14ac:dyDescent="0.3">
      <c r="W1578"/>
      <c r="X1578"/>
    </row>
    <row r="1579" spans="23:24" x14ac:dyDescent="0.3">
      <c r="W1579"/>
      <c r="X1579"/>
    </row>
    <row r="1580" spans="23:24" x14ac:dyDescent="0.3">
      <c r="W1580"/>
      <c r="X1580"/>
    </row>
    <row r="1581" spans="23:24" x14ac:dyDescent="0.3">
      <c r="W1581"/>
      <c r="X1581"/>
    </row>
    <row r="1582" spans="23:24" x14ac:dyDescent="0.3">
      <c r="W1582"/>
      <c r="X1582"/>
    </row>
    <row r="1583" spans="23:24" x14ac:dyDescent="0.3">
      <c r="W1583"/>
      <c r="X1583"/>
    </row>
    <row r="1584" spans="23:24" x14ac:dyDescent="0.3">
      <c r="W1584"/>
      <c r="X1584"/>
    </row>
    <row r="1585" spans="23:24" x14ac:dyDescent="0.3">
      <c r="W1585"/>
      <c r="X1585"/>
    </row>
    <row r="1586" spans="23:24" x14ac:dyDescent="0.3">
      <c r="W1586"/>
      <c r="X1586"/>
    </row>
    <row r="1587" spans="23:24" x14ac:dyDescent="0.3">
      <c r="W1587"/>
      <c r="X1587"/>
    </row>
    <row r="1588" spans="23:24" x14ac:dyDescent="0.3">
      <c r="W1588"/>
      <c r="X1588"/>
    </row>
    <row r="1589" spans="23:24" x14ac:dyDescent="0.3">
      <c r="W1589"/>
      <c r="X1589"/>
    </row>
    <row r="1590" spans="23:24" x14ac:dyDescent="0.3">
      <c r="W1590"/>
      <c r="X1590"/>
    </row>
    <row r="1591" spans="23:24" x14ac:dyDescent="0.3">
      <c r="W1591"/>
      <c r="X1591"/>
    </row>
    <row r="1592" spans="23:24" x14ac:dyDescent="0.3">
      <c r="W1592"/>
      <c r="X1592"/>
    </row>
    <row r="1593" spans="23:24" x14ac:dyDescent="0.3">
      <c r="W1593"/>
      <c r="X1593"/>
    </row>
    <row r="1594" spans="23:24" x14ac:dyDescent="0.3">
      <c r="W1594"/>
      <c r="X1594"/>
    </row>
    <row r="1595" spans="23:24" x14ac:dyDescent="0.3">
      <c r="W1595"/>
      <c r="X1595"/>
    </row>
    <row r="1596" spans="23:24" x14ac:dyDescent="0.3">
      <c r="W1596"/>
      <c r="X1596"/>
    </row>
    <row r="1597" spans="23:24" x14ac:dyDescent="0.3">
      <c r="W1597"/>
      <c r="X1597"/>
    </row>
    <row r="1598" spans="23:24" x14ac:dyDescent="0.3">
      <c r="W1598"/>
      <c r="X1598"/>
    </row>
    <row r="1599" spans="23:24" x14ac:dyDescent="0.3">
      <c r="W1599"/>
      <c r="X1599"/>
    </row>
    <row r="1600" spans="23:24" x14ac:dyDescent="0.3">
      <c r="W1600"/>
      <c r="X1600"/>
    </row>
    <row r="1601" spans="23:24" x14ac:dyDescent="0.3">
      <c r="W1601"/>
      <c r="X1601"/>
    </row>
    <row r="1602" spans="23:24" x14ac:dyDescent="0.3">
      <c r="W1602"/>
      <c r="X1602"/>
    </row>
    <row r="1603" spans="23:24" x14ac:dyDescent="0.3">
      <c r="W1603"/>
      <c r="X1603"/>
    </row>
    <row r="1604" spans="23:24" x14ac:dyDescent="0.3">
      <c r="W1604"/>
      <c r="X1604"/>
    </row>
    <row r="1605" spans="23:24" x14ac:dyDescent="0.3">
      <c r="W1605"/>
      <c r="X1605"/>
    </row>
    <row r="1606" spans="23:24" x14ac:dyDescent="0.3">
      <c r="W1606"/>
      <c r="X1606"/>
    </row>
    <row r="1607" spans="23:24" x14ac:dyDescent="0.3">
      <c r="W1607"/>
      <c r="X1607"/>
    </row>
    <row r="1608" spans="23:24" x14ac:dyDescent="0.3">
      <c r="W1608"/>
      <c r="X1608"/>
    </row>
    <row r="1609" spans="23:24" x14ac:dyDescent="0.3">
      <c r="W1609"/>
      <c r="X1609"/>
    </row>
    <row r="1610" spans="23:24" x14ac:dyDescent="0.3">
      <c r="W1610"/>
      <c r="X1610"/>
    </row>
    <row r="1611" spans="23:24" x14ac:dyDescent="0.3">
      <c r="W1611"/>
      <c r="X1611"/>
    </row>
    <row r="1612" spans="23:24" x14ac:dyDescent="0.3">
      <c r="W1612"/>
      <c r="X1612"/>
    </row>
    <row r="1613" spans="23:24" x14ac:dyDescent="0.3">
      <c r="W1613"/>
      <c r="X1613"/>
    </row>
    <row r="1614" spans="23:24" x14ac:dyDescent="0.3">
      <c r="W1614"/>
      <c r="X1614"/>
    </row>
    <row r="1615" spans="23:24" x14ac:dyDescent="0.3">
      <c r="W1615"/>
      <c r="X1615"/>
    </row>
    <row r="1616" spans="23:24" x14ac:dyDescent="0.3">
      <c r="W1616"/>
      <c r="X1616"/>
    </row>
    <row r="1617" spans="23:24" x14ac:dyDescent="0.3">
      <c r="W1617"/>
      <c r="X1617"/>
    </row>
    <row r="1618" spans="23:24" x14ac:dyDescent="0.3">
      <c r="W1618"/>
      <c r="X1618"/>
    </row>
    <row r="1619" spans="23:24" x14ac:dyDescent="0.3">
      <c r="W1619"/>
      <c r="X1619"/>
    </row>
    <row r="1620" spans="23:24" x14ac:dyDescent="0.3">
      <c r="W1620"/>
      <c r="X1620"/>
    </row>
    <row r="1621" spans="23:24" x14ac:dyDescent="0.3">
      <c r="W1621"/>
      <c r="X1621"/>
    </row>
    <row r="1622" spans="23:24" x14ac:dyDescent="0.3">
      <c r="W1622"/>
      <c r="X1622"/>
    </row>
    <row r="1623" spans="23:24" x14ac:dyDescent="0.3">
      <c r="W1623"/>
      <c r="X1623"/>
    </row>
    <row r="1624" spans="23:24" x14ac:dyDescent="0.3">
      <c r="W1624"/>
      <c r="X1624"/>
    </row>
    <row r="1625" spans="23:24" x14ac:dyDescent="0.3">
      <c r="W1625"/>
      <c r="X1625"/>
    </row>
    <row r="1626" spans="23:24" x14ac:dyDescent="0.3">
      <c r="W1626"/>
      <c r="X1626"/>
    </row>
    <row r="1627" spans="23:24" x14ac:dyDescent="0.3">
      <c r="W1627"/>
      <c r="X1627"/>
    </row>
    <row r="1628" spans="23:24" x14ac:dyDescent="0.3">
      <c r="W1628"/>
      <c r="X1628"/>
    </row>
    <row r="1629" spans="23:24" x14ac:dyDescent="0.3">
      <c r="W1629"/>
      <c r="X1629"/>
    </row>
    <row r="1630" spans="23:24" x14ac:dyDescent="0.3">
      <c r="W1630"/>
      <c r="X1630"/>
    </row>
    <row r="1631" spans="23:24" x14ac:dyDescent="0.3">
      <c r="W1631"/>
      <c r="X1631"/>
    </row>
    <row r="1632" spans="23:24" x14ac:dyDescent="0.3">
      <c r="W1632"/>
      <c r="X1632"/>
    </row>
    <row r="1633" spans="23:24" x14ac:dyDescent="0.3">
      <c r="W1633"/>
      <c r="X1633"/>
    </row>
    <row r="1634" spans="23:24" x14ac:dyDescent="0.3">
      <c r="W1634"/>
      <c r="X1634"/>
    </row>
    <row r="1635" spans="23:24" x14ac:dyDescent="0.3">
      <c r="W1635"/>
      <c r="X1635"/>
    </row>
    <row r="1636" spans="23:24" x14ac:dyDescent="0.3">
      <c r="W1636"/>
      <c r="X1636"/>
    </row>
    <row r="1637" spans="23:24" x14ac:dyDescent="0.3">
      <c r="W1637"/>
      <c r="X1637"/>
    </row>
    <row r="1638" spans="23:24" x14ac:dyDescent="0.3">
      <c r="W1638"/>
      <c r="X1638"/>
    </row>
    <row r="1639" spans="23:24" x14ac:dyDescent="0.3">
      <c r="W1639"/>
      <c r="X1639"/>
    </row>
    <row r="1640" spans="23:24" x14ac:dyDescent="0.3">
      <c r="W1640"/>
      <c r="X1640"/>
    </row>
    <row r="1641" spans="23:24" x14ac:dyDescent="0.3">
      <c r="W1641"/>
      <c r="X1641"/>
    </row>
    <row r="1642" spans="23:24" x14ac:dyDescent="0.3">
      <c r="W1642"/>
      <c r="X1642"/>
    </row>
    <row r="1643" spans="23:24" x14ac:dyDescent="0.3">
      <c r="W1643"/>
      <c r="X1643"/>
    </row>
    <row r="1644" spans="23:24" x14ac:dyDescent="0.3">
      <c r="W1644"/>
      <c r="X1644"/>
    </row>
    <row r="1645" spans="23:24" x14ac:dyDescent="0.3">
      <c r="W1645"/>
      <c r="X1645"/>
    </row>
    <row r="1646" spans="23:24" x14ac:dyDescent="0.3">
      <c r="W1646"/>
      <c r="X1646"/>
    </row>
    <row r="1647" spans="23:24" x14ac:dyDescent="0.3">
      <c r="W1647"/>
      <c r="X1647"/>
    </row>
    <row r="1648" spans="23:24" x14ac:dyDescent="0.3">
      <c r="W1648"/>
      <c r="X1648"/>
    </row>
    <row r="1649" spans="23:24" x14ac:dyDescent="0.3">
      <c r="W1649"/>
      <c r="X1649"/>
    </row>
    <row r="1650" spans="23:24" x14ac:dyDescent="0.3">
      <c r="W1650"/>
      <c r="X1650"/>
    </row>
    <row r="1651" spans="23:24" x14ac:dyDescent="0.3">
      <c r="W1651"/>
      <c r="X1651"/>
    </row>
    <row r="1652" spans="23:24" x14ac:dyDescent="0.3">
      <c r="W1652"/>
      <c r="X1652"/>
    </row>
    <row r="1653" spans="23:24" x14ac:dyDescent="0.3">
      <c r="W1653"/>
      <c r="X1653"/>
    </row>
    <row r="1654" spans="23:24" x14ac:dyDescent="0.3">
      <c r="W1654"/>
      <c r="X1654"/>
    </row>
    <row r="1655" spans="23:24" x14ac:dyDescent="0.3">
      <c r="W1655"/>
      <c r="X1655"/>
    </row>
    <row r="1656" spans="23:24" x14ac:dyDescent="0.3">
      <c r="W1656"/>
      <c r="X1656"/>
    </row>
    <row r="1657" spans="23:24" x14ac:dyDescent="0.3">
      <c r="W1657"/>
      <c r="X1657"/>
    </row>
    <row r="1658" spans="23:24" x14ac:dyDescent="0.3">
      <c r="W1658"/>
      <c r="X1658"/>
    </row>
    <row r="1659" spans="23:24" x14ac:dyDescent="0.3">
      <c r="W1659"/>
      <c r="X1659"/>
    </row>
    <row r="1660" spans="23:24" x14ac:dyDescent="0.3">
      <c r="W1660"/>
      <c r="X1660"/>
    </row>
    <row r="1661" spans="23:24" x14ac:dyDescent="0.3">
      <c r="W1661"/>
      <c r="X1661"/>
    </row>
    <row r="1662" spans="23:24" x14ac:dyDescent="0.3">
      <c r="W1662"/>
      <c r="X1662"/>
    </row>
    <row r="1663" spans="23:24" x14ac:dyDescent="0.3">
      <c r="W1663"/>
      <c r="X1663"/>
    </row>
    <row r="1664" spans="23:24" x14ac:dyDescent="0.3">
      <c r="W1664"/>
      <c r="X1664"/>
    </row>
    <row r="1665" spans="23:24" x14ac:dyDescent="0.3">
      <c r="W1665"/>
      <c r="X1665"/>
    </row>
    <row r="1666" spans="23:24" x14ac:dyDescent="0.3">
      <c r="W1666"/>
      <c r="X1666"/>
    </row>
    <row r="1667" spans="23:24" x14ac:dyDescent="0.3">
      <c r="W1667"/>
      <c r="X1667"/>
    </row>
    <row r="1668" spans="23:24" x14ac:dyDescent="0.3">
      <c r="W1668"/>
      <c r="X1668"/>
    </row>
    <row r="1669" spans="23:24" x14ac:dyDescent="0.3">
      <c r="W1669"/>
      <c r="X1669"/>
    </row>
    <row r="1670" spans="23:24" x14ac:dyDescent="0.3">
      <c r="W1670"/>
      <c r="X1670"/>
    </row>
    <row r="1671" spans="23:24" x14ac:dyDescent="0.3">
      <c r="W1671"/>
      <c r="X1671"/>
    </row>
    <row r="1672" spans="23:24" x14ac:dyDescent="0.3">
      <c r="W1672"/>
      <c r="X1672"/>
    </row>
    <row r="1673" spans="23:24" x14ac:dyDescent="0.3">
      <c r="W1673"/>
      <c r="X1673"/>
    </row>
    <row r="1674" spans="23:24" x14ac:dyDescent="0.3">
      <c r="W1674"/>
      <c r="X1674"/>
    </row>
    <row r="1675" spans="23:24" x14ac:dyDescent="0.3">
      <c r="W1675"/>
      <c r="X1675"/>
    </row>
    <row r="1676" spans="23:24" x14ac:dyDescent="0.3">
      <c r="W1676"/>
      <c r="X1676"/>
    </row>
    <row r="1677" spans="23:24" x14ac:dyDescent="0.3">
      <c r="W1677"/>
      <c r="X1677"/>
    </row>
    <row r="1678" spans="23:24" x14ac:dyDescent="0.3">
      <c r="W1678"/>
      <c r="X1678"/>
    </row>
    <row r="1679" spans="23:24" x14ac:dyDescent="0.3">
      <c r="W1679"/>
      <c r="X1679"/>
    </row>
    <row r="1680" spans="23:24" x14ac:dyDescent="0.3">
      <c r="W1680"/>
      <c r="X1680"/>
    </row>
    <row r="1681" spans="23:24" x14ac:dyDescent="0.3">
      <c r="W1681"/>
      <c r="X1681"/>
    </row>
    <row r="1682" spans="23:24" x14ac:dyDescent="0.3">
      <c r="W1682"/>
      <c r="X1682"/>
    </row>
    <row r="1683" spans="23:24" x14ac:dyDescent="0.3">
      <c r="W1683"/>
      <c r="X1683"/>
    </row>
    <row r="1684" spans="23:24" x14ac:dyDescent="0.3">
      <c r="W1684"/>
      <c r="X1684"/>
    </row>
    <row r="1685" spans="23:24" x14ac:dyDescent="0.3">
      <c r="W1685"/>
      <c r="X1685"/>
    </row>
    <row r="1686" spans="23:24" x14ac:dyDescent="0.3">
      <c r="W1686"/>
      <c r="X1686"/>
    </row>
    <row r="1687" spans="23:24" x14ac:dyDescent="0.3">
      <c r="W1687"/>
      <c r="X1687"/>
    </row>
    <row r="1688" spans="23:24" x14ac:dyDescent="0.3">
      <c r="W1688"/>
      <c r="X1688"/>
    </row>
    <row r="1689" spans="23:24" x14ac:dyDescent="0.3">
      <c r="W1689"/>
      <c r="X1689"/>
    </row>
    <row r="1690" spans="23:24" x14ac:dyDescent="0.3">
      <c r="W1690"/>
      <c r="X1690"/>
    </row>
    <row r="1691" spans="23:24" x14ac:dyDescent="0.3">
      <c r="W1691"/>
      <c r="X1691"/>
    </row>
    <row r="1692" spans="23:24" x14ac:dyDescent="0.3">
      <c r="W1692"/>
      <c r="X1692"/>
    </row>
    <row r="1693" spans="23:24" x14ac:dyDescent="0.3">
      <c r="W1693"/>
      <c r="X1693"/>
    </row>
    <row r="1694" spans="23:24" x14ac:dyDescent="0.3">
      <c r="W1694"/>
      <c r="X1694"/>
    </row>
    <row r="1695" spans="23:24" x14ac:dyDescent="0.3">
      <c r="W1695"/>
      <c r="X1695"/>
    </row>
    <row r="1696" spans="23:24" x14ac:dyDescent="0.3">
      <c r="W1696"/>
      <c r="X1696"/>
    </row>
    <row r="1697" spans="23:24" x14ac:dyDescent="0.3">
      <c r="W1697"/>
      <c r="X1697"/>
    </row>
    <row r="1698" spans="23:24" x14ac:dyDescent="0.3">
      <c r="W1698"/>
      <c r="X1698"/>
    </row>
    <row r="1699" spans="23:24" x14ac:dyDescent="0.3">
      <c r="W1699"/>
      <c r="X1699"/>
    </row>
    <row r="1700" spans="23:24" x14ac:dyDescent="0.3">
      <c r="W1700"/>
      <c r="X1700"/>
    </row>
    <row r="1701" spans="23:24" x14ac:dyDescent="0.3">
      <c r="W1701"/>
      <c r="X1701"/>
    </row>
    <row r="1702" spans="23:24" x14ac:dyDescent="0.3">
      <c r="W1702"/>
      <c r="X1702"/>
    </row>
    <row r="1703" spans="23:24" x14ac:dyDescent="0.3">
      <c r="W1703"/>
      <c r="X1703"/>
    </row>
    <row r="1704" spans="23:24" x14ac:dyDescent="0.3">
      <c r="W1704"/>
      <c r="X1704"/>
    </row>
    <row r="1705" spans="23:24" x14ac:dyDescent="0.3">
      <c r="W1705"/>
      <c r="X1705"/>
    </row>
    <row r="1706" spans="23:24" x14ac:dyDescent="0.3">
      <c r="W1706"/>
      <c r="X1706"/>
    </row>
    <row r="1707" spans="23:24" x14ac:dyDescent="0.3">
      <c r="W1707"/>
      <c r="X1707"/>
    </row>
    <row r="1708" spans="23:24" x14ac:dyDescent="0.3">
      <c r="W1708"/>
      <c r="X1708"/>
    </row>
    <row r="1709" spans="23:24" x14ac:dyDescent="0.3">
      <c r="W1709"/>
      <c r="X1709"/>
    </row>
    <row r="1710" spans="23:24" x14ac:dyDescent="0.3">
      <c r="W1710"/>
      <c r="X1710"/>
    </row>
    <row r="1711" spans="23:24" x14ac:dyDescent="0.3">
      <c r="W1711"/>
      <c r="X1711"/>
    </row>
    <row r="1712" spans="23:24" x14ac:dyDescent="0.3">
      <c r="W1712"/>
      <c r="X1712"/>
    </row>
    <row r="1713" spans="23:24" x14ac:dyDescent="0.3">
      <c r="W1713"/>
      <c r="X1713"/>
    </row>
    <row r="1714" spans="23:24" x14ac:dyDescent="0.3">
      <c r="W1714"/>
      <c r="X1714"/>
    </row>
    <row r="1715" spans="23:24" x14ac:dyDescent="0.3">
      <c r="W1715"/>
      <c r="X1715"/>
    </row>
    <row r="1716" spans="23:24" x14ac:dyDescent="0.3">
      <c r="W1716"/>
      <c r="X1716"/>
    </row>
    <row r="1717" spans="23:24" x14ac:dyDescent="0.3">
      <c r="W1717"/>
      <c r="X1717"/>
    </row>
    <row r="1718" spans="23:24" x14ac:dyDescent="0.3">
      <c r="W1718"/>
      <c r="X1718"/>
    </row>
    <row r="1719" spans="23:24" x14ac:dyDescent="0.3">
      <c r="W1719"/>
      <c r="X1719"/>
    </row>
    <row r="1720" spans="23:24" x14ac:dyDescent="0.3">
      <c r="W1720"/>
      <c r="X1720"/>
    </row>
    <row r="1721" spans="23:24" x14ac:dyDescent="0.3">
      <c r="W1721"/>
      <c r="X1721"/>
    </row>
    <row r="1722" spans="23:24" x14ac:dyDescent="0.3">
      <c r="W1722"/>
      <c r="X1722"/>
    </row>
    <row r="1723" spans="23:24" x14ac:dyDescent="0.3">
      <c r="W1723"/>
      <c r="X1723"/>
    </row>
    <row r="1724" spans="23:24" x14ac:dyDescent="0.3">
      <c r="W1724"/>
      <c r="X1724"/>
    </row>
    <row r="1725" spans="23:24" x14ac:dyDescent="0.3">
      <c r="W1725"/>
      <c r="X1725"/>
    </row>
    <row r="1726" spans="23:24" x14ac:dyDescent="0.3">
      <c r="W1726"/>
      <c r="X1726"/>
    </row>
    <row r="1727" spans="23:24" x14ac:dyDescent="0.3">
      <c r="W1727"/>
      <c r="X1727"/>
    </row>
    <row r="1728" spans="23:24" x14ac:dyDescent="0.3">
      <c r="W1728"/>
      <c r="X1728"/>
    </row>
    <row r="1729" spans="23:24" x14ac:dyDescent="0.3">
      <c r="W1729"/>
      <c r="X1729"/>
    </row>
    <row r="1730" spans="23:24" x14ac:dyDescent="0.3">
      <c r="W1730"/>
      <c r="X1730"/>
    </row>
    <row r="1731" spans="23:24" x14ac:dyDescent="0.3">
      <c r="W1731"/>
      <c r="X1731"/>
    </row>
    <row r="1732" spans="23:24" x14ac:dyDescent="0.3">
      <c r="W1732"/>
      <c r="X1732"/>
    </row>
    <row r="1733" spans="23:24" x14ac:dyDescent="0.3">
      <c r="W1733"/>
      <c r="X1733"/>
    </row>
    <row r="1734" spans="23:24" x14ac:dyDescent="0.3">
      <c r="W1734"/>
      <c r="X1734"/>
    </row>
    <row r="1735" spans="23:24" x14ac:dyDescent="0.3">
      <c r="W1735"/>
      <c r="X1735"/>
    </row>
    <row r="1736" spans="23:24" x14ac:dyDescent="0.3">
      <c r="W1736"/>
      <c r="X1736"/>
    </row>
    <row r="1737" spans="23:24" x14ac:dyDescent="0.3">
      <c r="W1737"/>
      <c r="X1737"/>
    </row>
    <row r="1738" spans="23:24" x14ac:dyDescent="0.3">
      <c r="W1738"/>
      <c r="X1738"/>
    </row>
    <row r="1739" spans="23:24" x14ac:dyDescent="0.3">
      <c r="W1739"/>
      <c r="X1739"/>
    </row>
    <row r="1740" spans="23:24" x14ac:dyDescent="0.3">
      <c r="W1740"/>
      <c r="X1740"/>
    </row>
    <row r="1741" spans="23:24" x14ac:dyDescent="0.3">
      <c r="W1741"/>
      <c r="X1741"/>
    </row>
    <row r="1742" spans="23:24" x14ac:dyDescent="0.3">
      <c r="W1742"/>
      <c r="X1742"/>
    </row>
    <row r="1743" spans="23:24" x14ac:dyDescent="0.3">
      <c r="W1743"/>
      <c r="X1743"/>
    </row>
    <row r="1744" spans="23:24" x14ac:dyDescent="0.3">
      <c r="W1744"/>
      <c r="X1744"/>
    </row>
    <row r="1745" spans="23:24" x14ac:dyDescent="0.3">
      <c r="W1745"/>
      <c r="X1745"/>
    </row>
    <row r="1746" spans="23:24" x14ac:dyDescent="0.3">
      <c r="W1746"/>
      <c r="X1746"/>
    </row>
    <row r="1747" spans="23:24" x14ac:dyDescent="0.3">
      <c r="W1747"/>
      <c r="X1747"/>
    </row>
    <row r="1748" spans="23:24" x14ac:dyDescent="0.3">
      <c r="W1748"/>
      <c r="X1748"/>
    </row>
    <row r="1749" spans="23:24" x14ac:dyDescent="0.3">
      <c r="W1749"/>
      <c r="X1749"/>
    </row>
    <row r="1750" spans="23:24" x14ac:dyDescent="0.3">
      <c r="W1750"/>
      <c r="X1750"/>
    </row>
    <row r="1751" spans="23:24" x14ac:dyDescent="0.3">
      <c r="W1751"/>
      <c r="X1751"/>
    </row>
    <row r="1752" spans="23:24" x14ac:dyDescent="0.3">
      <c r="W1752"/>
      <c r="X1752"/>
    </row>
    <row r="1753" spans="23:24" x14ac:dyDescent="0.3">
      <c r="W1753"/>
      <c r="X1753"/>
    </row>
    <row r="1754" spans="23:24" x14ac:dyDescent="0.3">
      <c r="W1754"/>
      <c r="X1754"/>
    </row>
    <row r="1755" spans="23:24" x14ac:dyDescent="0.3">
      <c r="W1755"/>
      <c r="X1755"/>
    </row>
    <row r="1756" spans="23:24" x14ac:dyDescent="0.3">
      <c r="W1756"/>
      <c r="X1756"/>
    </row>
    <row r="1757" spans="23:24" x14ac:dyDescent="0.3">
      <c r="W1757"/>
      <c r="X1757"/>
    </row>
    <row r="1758" spans="23:24" x14ac:dyDescent="0.3">
      <c r="W1758"/>
      <c r="X1758"/>
    </row>
    <row r="1759" spans="23:24" x14ac:dyDescent="0.3">
      <c r="W1759"/>
      <c r="X1759"/>
    </row>
    <row r="1760" spans="23:24" x14ac:dyDescent="0.3">
      <c r="W1760"/>
      <c r="X1760"/>
    </row>
    <row r="1761" spans="23:24" x14ac:dyDescent="0.3">
      <c r="W1761"/>
      <c r="X1761"/>
    </row>
    <row r="1762" spans="23:24" x14ac:dyDescent="0.3">
      <c r="W1762"/>
      <c r="X1762"/>
    </row>
    <row r="1763" spans="23:24" x14ac:dyDescent="0.3">
      <c r="W1763"/>
      <c r="X1763"/>
    </row>
    <row r="1764" spans="23:24" x14ac:dyDescent="0.3">
      <c r="W1764"/>
      <c r="X1764"/>
    </row>
    <row r="1765" spans="23:24" x14ac:dyDescent="0.3">
      <c r="W1765"/>
      <c r="X1765"/>
    </row>
    <row r="1766" spans="23:24" x14ac:dyDescent="0.3">
      <c r="W1766"/>
      <c r="X1766"/>
    </row>
    <row r="1767" spans="23:24" x14ac:dyDescent="0.3">
      <c r="W1767"/>
      <c r="X1767"/>
    </row>
    <row r="1768" spans="23:24" x14ac:dyDescent="0.3">
      <c r="W1768"/>
      <c r="X1768"/>
    </row>
    <row r="1769" spans="23:24" x14ac:dyDescent="0.3">
      <c r="W1769"/>
      <c r="X1769"/>
    </row>
    <row r="1770" spans="23:24" x14ac:dyDescent="0.3">
      <c r="W1770"/>
      <c r="X1770"/>
    </row>
    <row r="1771" spans="23:24" x14ac:dyDescent="0.3">
      <c r="W1771"/>
      <c r="X1771"/>
    </row>
    <row r="1772" spans="23:24" x14ac:dyDescent="0.3">
      <c r="W1772"/>
      <c r="X1772"/>
    </row>
    <row r="1773" spans="23:24" x14ac:dyDescent="0.3">
      <c r="W1773"/>
      <c r="X1773"/>
    </row>
    <row r="1774" spans="23:24" x14ac:dyDescent="0.3">
      <c r="W1774"/>
      <c r="X1774"/>
    </row>
    <row r="1775" spans="23:24" x14ac:dyDescent="0.3">
      <c r="W1775"/>
      <c r="X1775"/>
    </row>
    <row r="1776" spans="23:24" x14ac:dyDescent="0.3">
      <c r="W1776"/>
      <c r="X1776"/>
    </row>
    <row r="1777" spans="23:24" x14ac:dyDescent="0.3">
      <c r="W1777"/>
      <c r="X1777"/>
    </row>
    <row r="1778" spans="23:24" x14ac:dyDescent="0.3">
      <c r="W1778"/>
      <c r="X1778"/>
    </row>
    <row r="1779" spans="23:24" x14ac:dyDescent="0.3">
      <c r="W1779"/>
      <c r="X1779"/>
    </row>
    <row r="1780" spans="23:24" x14ac:dyDescent="0.3">
      <c r="W1780"/>
      <c r="X1780"/>
    </row>
    <row r="1781" spans="23:24" x14ac:dyDescent="0.3">
      <c r="W1781"/>
      <c r="X1781"/>
    </row>
    <row r="1782" spans="23:24" x14ac:dyDescent="0.3">
      <c r="W1782"/>
      <c r="X1782"/>
    </row>
    <row r="1783" spans="23:24" x14ac:dyDescent="0.3">
      <c r="W1783"/>
      <c r="X1783"/>
    </row>
    <row r="1784" spans="23:24" x14ac:dyDescent="0.3">
      <c r="W1784"/>
      <c r="X1784"/>
    </row>
    <row r="1785" spans="23:24" x14ac:dyDescent="0.3">
      <c r="W1785"/>
      <c r="X1785"/>
    </row>
    <row r="1786" spans="23:24" x14ac:dyDescent="0.3">
      <c r="W1786"/>
      <c r="X1786"/>
    </row>
    <row r="1787" spans="23:24" x14ac:dyDescent="0.3">
      <c r="W1787"/>
      <c r="X1787"/>
    </row>
    <row r="1788" spans="23:24" x14ac:dyDescent="0.3">
      <c r="W1788"/>
      <c r="X1788"/>
    </row>
    <row r="1789" spans="23:24" x14ac:dyDescent="0.3">
      <c r="W1789"/>
      <c r="X1789"/>
    </row>
    <row r="1790" spans="23:24" x14ac:dyDescent="0.3">
      <c r="W1790"/>
      <c r="X1790"/>
    </row>
    <row r="1791" spans="23:24" x14ac:dyDescent="0.3">
      <c r="W1791"/>
      <c r="X1791"/>
    </row>
    <row r="1792" spans="23:24" x14ac:dyDescent="0.3">
      <c r="W1792"/>
      <c r="X1792"/>
    </row>
    <row r="1793" spans="23:24" x14ac:dyDescent="0.3">
      <c r="W1793"/>
      <c r="X1793"/>
    </row>
    <row r="1794" spans="23:24" x14ac:dyDescent="0.3">
      <c r="W1794"/>
      <c r="X1794"/>
    </row>
    <row r="1795" spans="23:24" x14ac:dyDescent="0.3">
      <c r="W1795"/>
      <c r="X1795"/>
    </row>
    <row r="1796" spans="23:24" x14ac:dyDescent="0.3">
      <c r="W1796"/>
      <c r="X1796"/>
    </row>
    <row r="1797" spans="23:24" x14ac:dyDescent="0.3">
      <c r="W1797"/>
      <c r="X1797"/>
    </row>
    <row r="1798" spans="23:24" x14ac:dyDescent="0.3">
      <c r="W1798"/>
      <c r="X1798"/>
    </row>
    <row r="1799" spans="23:24" x14ac:dyDescent="0.3">
      <c r="W1799"/>
      <c r="X1799"/>
    </row>
    <row r="1800" spans="23:24" x14ac:dyDescent="0.3">
      <c r="W1800"/>
      <c r="X1800"/>
    </row>
    <row r="1801" spans="23:24" x14ac:dyDescent="0.3">
      <c r="W1801"/>
      <c r="X1801"/>
    </row>
    <row r="1802" spans="23:24" x14ac:dyDescent="0.3">
      <c r="W1802"/>
      <c r="X1802"/>
    </row>
    <row r="1803" spans="23:24" x14ac:dyDescent="0.3">
      <c r="W1803"/>
      <c r="X1803"/>
    </row>
    <row r="1804" spans="23:24" x14ac:dyDescent="0.3">
      <c r="W1804"/>
      <c r="X1804"/>
    </row>
    <row r="1805" spans="23:24" x14ac:dyDescent="0.3">
      <c r="W1805"/>
      <c r="X1805"/>
    </row>
    <row r="1806" spans="23:24" x14ac:dyDescent="0.3">
      <c r="W1806"/>
      <c r="X1806"/>
    </row>
    <row r="1807" spans="23:24" x14ac:dyDescent="0.3">
      <c r="W1807"/>
      <c r="X1807"/>
    </row>
    <row r="1808" spans="23:24" x14ac:dyDescent="0.3">
      <c r="W1808"/>
      <c r="X1808"/>
    </row>
    <row r="1809" spans="23:24" x14ac:dyDescent="0.3">
      <c r="W1809"/>
      <c r="X1809"/>
    </row>
    <row r="1810" spans="23:24" x14ac:dyDescent="0.3">
      <c r="W1810"/>
      <c r="X1810"/>
    </row>
    <row r="1811" spans="23:24" x14ac:dyDescent="0.3">
      <c r="W1811"/>
      <c r="X1811"/>
    </row>
    <row r="1812" spans="23:24" x14ac:dyDescent="0.3">
      <c r="W1812"/>
      <c r="X1812"/>
    </row>
    <row r="1813" spans="23:24" x14ac:dyDescent="0.3">
      <c r="W1813"/>
      <c r="X1813"/>
    </row>
    <row r="1814" spans="23:24" x14ac:dyDescent="0.3">
      <c r="W1814"/>
      <c r="X1814"/>
    </row>
    <row r="1815" spans="23:24" x14ac:dyDescent="0.3">
      <c r="W1815"/>
      <c r="X1815"/>
    </row>
    <row r="1816" spans="23:24" x14ac:dyDescent="0.3">
      <c r="W1816"/>
      <c r="X1816"/>
    </row>
    <row r="1817" spans="23:24" x14ac:dyDescent="0.3">
      <c r="W1817"/>
      <c r="X1817"/>
    </row>
    <row r="1818" spans="23:24" x14ac:dyDescent="0.3">
      <c r="W1818"/>
      <c r="X1818"/>
    </row>
    <row r="1819" spans="23:24" x14ac:dyDescent="0.3">
      <c r="W1819"/>
      <c r="X1819"/>
    </row>
    <row r="1820" spans="23:24" x14ac:dyDescent="0.3">
      <c r="W1820"/>
      <c r="X1820"/>
    </row>
    <row r="1821" spans="23:24" x14ac:dyDescent="0.3">
      <c r="W1821"/>
      <c r="X1821"/>
    </row>
    <row r="1822" spans="23:24" x14ac:dyDescent="0.3">
      <c r="W1822"/>
      <c r="X1822"/>
    </row>
    <row r="1823" spans="23:24" x14ac:dyDescent="0.3">
      <c r="W1823"/>
      <c r="X1823"/>
    </row>
    <row r="1824" spans="23:24" x14ac:dyDescent="0.3">
      <c r="W1824"/>
      <c r="X1824"/>
    </row>
    <row r="1825" spans="23:24" x14ac:dyDescent="0.3">
      <c r="W1825"/>
      <c r="X1825"/>
    </row>
    <row r="1826" spans="23:24" x14ac:dyDescent="0.3">
      <c r="W1826"/>
      <c r="X1826"/>
    </row>
    <row r="1827" spans="23:24" x14ac:dyDescent="0.3">
      <c r="W1827"/>
      <c r="X1827"/>
    </row>
    <row r="1828" spans="23:24" x14ac:dyDescent="0.3">
      <c r="W1828"/>
      <c r="X1828"/>
    </row>
    <row r="1829" spans="23:24" x14ac:dyDescent="0.3">
      <c r="W1829"/>
      <c r="X1829"/>
    </row>
    <row r="1830" spans="23:24" x14ac:dyDescent="0.3">
      <c r="W1830"/>
      <c r="X1830"/>
    </row>
    <row r="1831" spans="23:24" x14ac:dyDescent="0.3">
      <c r="W1831"/>
      <c r="X1831"/>
    </row>
    <row r="1832" spans="23:24" x14ac:dyDescent="0.3">
      <c r="W1832"/>
      <c r="X1832"/>
    </row>
    <row r="1833" spans="23:24" x14ac:dyDescent="0.3">
      <c r="W1833"/>
      <c r="X1833"/>
    </row>
    <row r="1834" spans="23:24" x14ac:dyDescent="0.3">
      <c r="W1834"/>
      <c r="X1834"/>
    </row>
    <row r="1835" spans="23:24" x14ac:dyDescent="0.3">
      <c r="W1835"/>
      <c r="X1835"/>
    </row>
    <row r="1836" spans="23:24" x14ac:dyDescent="0.3">
      <c r="W1836"/>
      <c r="X1836"/>
    </row>
    <row r="1837" spans="23:24" x14ac:dyDescent="0.3">
      <c r="W1837"/>
      <c r="X1837"/>
    </row>
    <row r="1838" spans="23:24" x14ac:dyDescent="0.3">
      <c r="W1838"/>
      <c r="X1838"/>
    </row>
    <row r="1839" spans="23:24" x14ac:dyDescent="0.3">
      <c r="W1839"/>
      <c r="X1839"/>
    </row>
    <row r="1840" spans="23:24" x14ac:dyDescent="0.3">
      <c r="W1840"/>
      <c r="X1840"/>
    </row>
    <row r="1841" spans="23:24" x14ac:dyDescent="0.3">
      <c r="W1841"/>
      <c r="X1841"/>
    </row>
    <row r="1842" spans="23:24" x14ac:dyDescent="0.3">
      <c r="W1842"/>
      <c r="X1842"/>
    </row>
    <row r="1843" spans="23:24" x14ac:dyDescent="0.3">
      <c r="W1843"/>
      <c r="X1843"/>
    </row>
    <row r="1844" spans="23:24" x14ac:dyDescent="0.3">
      <c r="W1844"/>
      <c r="X1844"/>
    </row>
    <row r="1845" spans="23:24" x14ac:dyDescent="0.3">
      <c r="W1845"/>
      <c r="X1845"/>
    </row>
    <row r="1846" spans="23:24" x14ac:dyDescent="0.3">
      <c r="W1846"/>
      <c r="X1846"/>
    </row>
    <row r="1847" spans="23:24" x14ac:dyDescent="0.3">
      <c r="W1847"/>
      <c r="X1847"/>
    </row>
    <row r="1848" spans="23:24" x14ac:dyDescent="0.3">
      <c r="W1848"/>
      <c r="X1848"/>
    </row>
    <row r="1849" spans="23:24" x14ac:dyDescent="0.3">
      <c r="W1849"/>
      <c r="X1849"/>
    </row>
    <row r="1850" spans="23:24" x14ac:dyDescent="0.3">
      <c r="W1850"/>
      <c r="X1850"/>
    </row>
    <row r="1851" spans="23:24" x14ac:dyDescent="0.3">
      <c r="W1851"/>
      <c r="X1851"/>
    </row>
    <row r="1852" spans="23:24" x14ac:dyDescent="0.3">
      <c r="W1852"/>
      <c r="X1852"/>
    </row>
    <row r="1853" spans="23:24" x14ac:dyDescent="0.3">
      <c r="W1853"/>
      <c r="X1853"/>
    </row>
    <row r="1854" spans="23:24" x14ac:dyDescent="0.3">
      <c r="W1854"/>
      <c r="X1854"/>
    </row>
    <row r="1855" spans="23:24" x14ac:dyDescent="0.3">
      <c r="W1855"/>
      <c r="X1855"/>
    </row>
    <row r="1856" spans="23:24" x14ac:dyDescent="0.3">
      <c r="W1856"/>
      <c r="X1856"/>
    </row>
    <row r="1857" spans="23:24" x14ac:dyDescent="0.3">
      <c r="W1857"/>
      <c r="X1857"/>
    </row>
    <row r="1858" spans="23:24" x14ac:dyDescent="0.3">
      <c r="W1858"/>
      <c r="X1858"/>
    </row>
    <row r="1859" spans="23:24" x14ac:dyDescent="0.3">
      <c r="W1859"/>
      <c r="X1859"/>
    </row>
    <row r="1860" spans="23:24" x14ac:dyDescent="0.3">
      <c r="W1860"/>
      <c r="X1860"/>
    </row>
    <row r="1861" spans="23:24" x14ac:dyDescent="0.3">
      <c r="W1861"/>
      <c r="X1861"/>
    </row>
    <row r="1862" spans="23:24" x14ac:dyDescent="0.3">
      <c r="W1862"/>
      <c r="X1862"/>
    </row>
    <row r="1863" spans="23:24" x14ac:dyDescent="0.3">
      <c r="W1863"/>
      <c r="X1863"/>
    </row>
    <row r="1864" spans="23:24" x14ac:dyDescent="0.3">
      <c r="W1864"/>
      <c r="X1864"/>
    </row>
    <row r="1865" spans="23:24" x14ac:dyDescent="0.3">
      <c r="W1865"/>
      <c r="X1865"/>
    </row>
    <row r="1866" spans="23:24" x14ac:dyDescent="0.3">
      <c r="W1866"/>
      <c r="X1866"/>
    </row>
    <row r="1867" spans="23:24" x14ac:dyDescent="0.3">
      <c r="W1867"/>
      <c r="X1867"/>
    </row>
    <row r="1868" spans="23:24" x14ac:dyDescent="0.3">
      <c r="W1868"/>
      <c r="X1868"/>
    </row>
    <row r="1869" spans="23:24" x14ac:dyDescent="0.3">
      <c r="W1869"/>
      <c r="X1869"/>
    </row>
    <row r="1870" spans="23:24" x14ac:dyDescent="0.3">
      <c r="W1870"/>
      <c r="X1870"/>
    </row>
    <row r="1871" spans="23:24" x14ac:dyDescent="0.3">
      <c r="W1871"/>
      <c r="X1871"/>
    </row>
    <row r="1872" spans="23:24" x14ac:dyDescent="0.3">
      <c r="W1872"/>
      <c r="X1872"/>
    </row>
    <row r="1873" spans="23:24" x14ac:dyDescent="0.3">
      <c r="W1873"/>
      <c r="X1873"/>
    </row>
    <row r="1874" spans="23:24" x14ac:dyDescent="0.3">
      <c r="W1874"/>
      <c r="X1874"/>
    </row>
    <row r="1875" spans="23:24" x14ac:dyDescent="0.3">
      <c r="W1875"/>
      <c r="X1875"/>
    </row>
    <row r="1876" spans="23:24" x14ac:dyDescent="0.3">
      <c r="W1876"/>
      <c r="X1876"/>
    </row>
    <row r="1877" spans="23:24" x14ac:dyDescent="0.3">
      <c r="W1877"/>
      <c r="X1877"/>
    </row>
    <row r="1878" spans="23:24" x14ac:dyDescent="0.3">
      <c r="W1878"/>
      <c r="X1878"/>
    </row>
    <row r="1879" spans="23:24" x14ac:dyDescent="0.3">
      <c r="W1879"/>
      <c r="X1879"/>
    </row>
    <row r="1880" spans="23:24" x14ac:dyDescent="0.3">
      <c r="W1880"/>
      <c r="X1880"/>
    </row>
    <row r="1881" spans="23:24" x14ac:dyDescent="0.3">
      <c r="W1881"/>
      <c r="X1881"/>
    </row>
    <row r="1882" spans="23:24" x14ac:dyDescent="0.3">
      <c r="W1882"/>
      <c r="X1882"/>
    </row>
    <row r="1883" spans="23:24" x14ac:dyDescent="0.3">
      <c r="W1883"/>
      <c r="X1883"/>
    </row>
    <row r="1884" spans="23:24" x14ac:dyDescent="0.3">
      <c r="W1884"/>
      <c r="X1884"/>
    </row>
    <row r="1885" spans="23:24" x14ac:dyDescent="0.3">
      <c r="W1885"/>
      <c r="X1885"/>
    </row>
    <row r="1886" spans="23:24" x14ac:dyDescent="0.3">
      <c r="W1886"/>
      <c r="X1886"/>
    </row>
    <row r="1887" spans="23:24" x14ac:dyDescent="0.3">
      <c r="W1887"/>
      <c r="X1887"/>
    </row>
    <row r="1888" spans="23:24" x14ac:dyDescent="0.3">
      <c r="W1888"/>
      <c r="X1888"/>
    </row>
    <row r="1889" spans="23:24" x14ac:dyDescent="0.3">
      <c r="W1889"/>
      <c r="X1889"/>
    </row>
    <row r="1890" spans="23:24" x14ac:dyDescent="0.3">
      <c r="W1890"/>
      <c r="X1890"/>
    </row>
    <row r="1891" spans="23:24" x14ac:dyDescent="0.3">
      <c r="W1891"/>
      <c r="X1891"/>
    </row>
    <row r="1892" spans="23:24" x14ac:dyDescent="0.3">
      <c r="W1892"/>
      <c r="X1892"/>
    </row>
    <row r="1893" spans="23:24" x14ac:dyDescent="0.3">
      <c r="W1893"/>
      <c r="X1893"/>
    </row>
    <row r="1894" spans="23:24" x14ac:dyDescent="0.3">
      <c r="W1894"/>
      <c r="X1894"/>
    </row>
    <row r="1895" spans="23:24" x14ac:dyDescent="0.3">
      <c r="W1895"/>
      <c r="X1895"/>
    </row>
    <row r="1896" spans="23:24" x14ac:dyDescent="0.3">
      <c r="W1896"/>
      <c r="X1896"/>
    </row>
    <row r="1897" spans="23:24" x14ac:dyDescent="0.3">
      <c r="W1897"/>
      <c r="X1897"/>
    </row>
    <row r="1898" spans="23:24" x14ac:dyDescent="0.3">
      <c r="W1898"/>
      <c r="X1898"/>
    </row>
    <row r="1899" spans="23:24" x14ac:dyDescent="0.3">
      <c r="W1899"/>
      <c r="X1899"/>
    </row>
    <row r="1900" spans="23:24" x14ac:dyDescent="0.3">
      <c r="W1900"/>
      <c r="X1900"/>
    </row>
    <row r="1901" spans="23:24" x14ac:dyDescent="0.3">
      <c r="W1901"/>
      <c r="X1901"/>
    </row>
    <row r="1902" spans="23:24" x14ac:dyDescent="0.3">
      <c r="W1902"/>
      <c r="X1902"/>
    </row>
    <row r="1903" spans="23:24" x14ac:dyDescent="0.3">
      <c r="W1903"/>
      <c r="X1903"/>
    </row>
    <row r="1904" spans="23:24" x14ac:dyDescent="0.3">
      <c r="W1904"/>
      <c r="X1904"/>
    </row>
    <row r="1905" spans="23:24" x14ac:dyDescent="0.3">
      <c r="W1905"/>
      <c r="X1905"/>
    </row>
    <row r="1906" spans="23:24" x14ac:dyDescent="0.3">
      <c r="W1906"/>
      <c r="X1906"/>
    </row>
    <row r="1907" spans="23:24" x14ac:dyDescent="0.3">
      <c r="W1907"/>
      <c r="X1907"/>
    </row>
    <row r="1908" spans="23:24" x14ac:dyDescent="0.3">
      <c r="W1908"/>
      <c r="X1908"/>
    </row>
    <row r="1909" spans="23:24" x14ac:dyDescent="0.3">
      <c r="W1909"/>
      <c r="X1909"/>
    </row>
    <row r="1910" spans="23:24" x14ac:dyDescent="0.3">
      <c r="W1910"/>
      <c r="X1910"/>
    </row>
    <row r="1911" spans="23:24" x14ac:dyDescent="0.3">
      <c r="W1911"/>
      <c r="X1911"/>
    </row>
    <row r="1912" spans="23:24" x14ac:dyDescent="0.3">
      <c r="W1912"/>
      <c r="X1912"/>
    </row>
    <row r="1913" spans="23:24" x14ac:dyDescent="0.3">
      <c r="W1913"/>
      <c r="X1913"/>
    </row>
    <row r="1914" spans="23:24" x14ac:dyDescent="0.3">
      <c r="W1914"/>
      <c r="X1914"/>
    </row>
    <row r="1915" spans="23:24" x14ac:dyDescent="0.3">
      <c r="W1915"/>
      <c r="X1915"/>
    </row>
    <row r="1916" spans="23:24" x14ac:dyDescent="0.3">
      <c r="W1916"/>
      <c r="X1916"/>
    </row>
    <row r="1917" spans="23:24" x14ac:dyDescent="0.3">
      <c r="W1917"/>
      <c r="X1917"/>
    </row>
    <row r="1918" spans="23:24" x14ac:dyDescent="0.3">
      <c r="W1918"/>
      <c r="X1918"/>
    </row>
    <row r="1919" spans="23:24" x14ac:dyDescent="0.3">
      <c r="W1919"/>
      <c r="X1919"/>
    </row>
    <row r="1920" spans="23:24" x14ac:dyDescent="0.3">
      <c r="W1920"/>
      <c r="X1920"/>
    </row>
    <row r="1921" spans="23:24" x14ac:dyDescent="0.3">
      <c r="W1921"/>
      <c r="X1921"/>
    </row>
    <row r="1922" spans="23:24" x14ac:dyDescent="0.3">
      <c r="W1922"/>
      <c r="X1922"/>
    </row>
    <row r="1923" spans="23:24" x14ac:dyDescent="0.3">
      <c r="W1923"/>
      <c r="X1923"/>
    </row>
    <row r="1924" spans="23:24" x14ac:dyDescent="0.3">
      <c r="W1924"/>
      <c r="X1924"/>
    </row>
    <row r="1925" spans="23:24" x14ac:dyDescent="0.3">
      <c r="W1925"/>
      <c r="X1925"/>
    </row>
    <row r="1926" spans="23:24" x14ac:dyDescent="0.3">
      <c r="W1926"/>
      <c r="X1926"/>
    </row>
    <row r="1927" spans="23:24" x14ac:dyDescent="0.3">
      <c r="W1927"/>
      <c r="X1927"/>
    </row>
    <row r="1928" spans="23:24" x14ac:dyDescent="0.3">
      <c r="W1928"/>
      <c r="X1928"/>
    </row>
    <row r="1929" spans="23:24" x14ac:dyDescent="0.3">
      <c r="W1929"/>
      <c r="X1929"/>
    </row>
    <row r="1930" spans="23:24" x14ac:dyDescent="0.3">
      <c r="W1930"/>
      <c r="X1930"/>
    </row>
    <row r="1931" spans="23:24" x14ac:dyDescent="0.3">
      <c r="W1931"/>
      <c r="X1931"/>
    </row>
    <row r="1932" spans="23:24" x14ac:dyDescent="0.3">
      <c r="W1932"/>
      <c r="X1932"/>
    </row>
    <row r="1933" spans="23:24" x14ac:dyDescent="0.3">
      <c r="W1933"/>
      <c r="X1933"/>
    </row>
    <row r="1934" spans="23:24" x14ac:dyDescent="0.3">
      <c r="W1934"/>
      <c r="X1934"/>
    </row>
    <row r="1935" spans="23:24" x14ac:dyDescent="0.3">
      <c r="W1935"/>
      <c r="X1935"/>
    </row>
    <row r="1936" spans="23:24" x14ac:dyDescent="0.3">
      <c r="W1936"/>
      <c r="X1936"/>
    </row>
    <row r="1937" spans="23:24" x14ac:dyDescent="0.3">
      <c r="W1937"/>
      <c r="X1937"/>
    </row>
    <row r="1938" spans="23:24" x14ac:dyDescent="0.3">
      <c r="W1938"/>
      <c r="X1938"/>
    </row>
    <row r="1939" spans="23:24" x14ac:dyDescent="0.3">
      <c r="W1939"/>
      <c r="X1939"/>
    </row>
    <row r="1940" spans="23:24" x14ac:dyDescent="0.3">
      <c r="W1940"/>
      <c r="X1940"/>
    </row>
    <row r="1941" spans="23:24" x14ac:dyDescent="0.3">
      <c r="W1941"/>
      <c r="X1941"/>
    </row>
    <row r="1942" spans="23:24" x14ac:dyDescent="0.3">
      <c r="W1942"/>
      <c r="X1942"/>
    </row>
    <row r="1943" spans="23:24" x14ac:dyDescent="0.3">
      <c r="W1943"/>
      <c r="X1943"/>
    </row>
    <row r="1944" spans="23:24" x14ac:dyDescent="0.3">
      <c r="W1944"/>
      <c r="X1944"/>
    </row>
    <row r="1945" spans="23:24" x14ac:dyDescent="0.3">
      <c r="W1945"/>
      <c r="X1945"/>
    </row>
    <row r="1946" spans="23:24" x14ac:dyDescent="0.3">
      <c r="W1946"/>
      <c r="X1946"/>
    </row>
    <row r="1947" spans="23:24" x14ac:dyDescent="0.3">
      <c r="W1947"/>
      <c r="X1947"/>
    </row>
    <row r="1948" spans="23:24" x14ac:dyDescent="0.3">
      <c r="W1948"/>
      <c r="X1948"/>
    </row>
    <row r="1949" spans="23:24" x14ac:dyDescent="0.3">
      <c r="W1949"/>
      <c r="X1949"/>
    </row>
    <row r="1950" spans="23:24" x14ac:dyDescent="0.3">
      <c r="W1950"/>
      <c r="X1950"/>
    </row>
    <row r="1951" spans="23:24" x14ac:dyDescent="0.3">
      <c r="W1951"/>
      <c r="X1951"/>
    </row>
    <row r="1952" spans="23:24" x14ac:dyDescent="0.3">
      <c r="W1952"/>
      <c r="X1952"/>
    </row>
    <row r="1953" spans="23:24" x14ac:dyDescent="0.3">
      <c r="W1953"/>
      <c r="X1953"/>
    </row>
    <row r="1954" spans="23:24" x14ac:dyDescent="0.3">
      <c r="W1954"/>
      <c r="X1954"/>
    </row>
    <row r="1955" spans="23:24" x14ac:dyDescent="0.3">
      <c r="W1955"/>
      <c r="X1955"/>
    </row>
    <row r="1956" spans="23:24" x14ac:dyDescent="0.3">
      <c r="W1956"/>
      <c r="X1956"/>
    </row>
    <row r="1957" spans="23:24" x14ac:dyDescent="0.3">
      <c r="W1957"/>
      <c r="X1957"/>
    </row>
    <row r="1958" spans="23:24" x14ac:dyDescent="0.3">
      <c r="W1958"/>
      <c r="X1958"/>
    </row>
    <row r="1959" spans="23:24" x14ac:dyDescent="0.3">
      <c r="W1959"/>
      <c r="X1959"/>
    </row>
    <row r="1960" spans="23:24" x14ac:dyDescent="0.3">
      <c r="W1960"/>
      <c r="X1960"/>
    </row>
    <row r="1961" spans="23:24" x14ac:dyDescent="0.3">
      <c r="W1961"/>
      <c r="X1961"/>
    </row>
    <row r="1962" spans="23:24" x14ac:dyDescent="0.3">
      <c r="W1962"/>
      <c r="X1962"/>
    </row>
    <row r="1963" spans="23:24" x14ac:dyDescent="0.3">
      <c r="W1963"/>
      <c r="X1963"/>
    </row>
    <row r="1964" spans="23:24" x14ac:dyDescent="0.3">
      <c r="W1964"/>
      <c r="X1964"/>
    </row>
    <row r="1965" spans="23:24" x14ac:dyDescent="0.3">
      <c r="W1965"/>
      <c r="X1965"/>
    </row>
    <row r="1966" spans="23:24" x14ac:dyDescent="0.3">
      <c r="W1966"/>
      <c r="X1966"/>
    </row>
    <row r="1967" spans="23:24" x14ac:dyDescent="0.3">
      <c r="W1967"/>
      <c r="X1967"/>
    </row>
    <row r="1968" spans="23:24" x14ac:dyDescent="0.3">
      <c r="W1968"/>
      <c r="X1968"/>
    </row>
    <row r="1969" spans="23:24" x14ac:dyDescent="0.3">
      <c r="W1969"/>
      <c r="X1969"/>
    </row>
    <row r="1970" spans="23:24" x14ac:dyDescent="0.3">
      <c r="W1970"/>
      <c r="X1970"/>
    </row>
    <row r="1971" spans="23:24" x14ac:dyDescent="0.3">
      <c r="W1971"/>
      <c r="X1971"/>
    </row>
    <row r="1972" spans="23:24" x14ac:dyDescent="0.3">
      <c r="W1972"/>
      <c r="X1972"/>
    </row>
    <row r="1973" spans="23:24" x14ac:dyDescent="0.3">
      <c r="W1973"/>
      <c r="X1973"/>
    </row>
    <row r="1974" spans="23:24" x14ac:dyDescent="0.3">
      <c r="W1974"/>
      <c r="X1974"/>
    </row>
    <row r="1975" spans="23:24" x14ac:dyDescent="0.3">
      <c r="W1975"/>
      <c r="X1975"/>
    </row>
    <row r="1976" spans="23:24" x14ac:dyDescent="0.3">
      <c r="W1976"/>
      <c r="X1976"/>
    </row>
    <row r="1977" spans="23:24" x14ac:dyDescent="0.3">
      <c r="W1977"/>
      <c r="X1977"/>
    </row>
    <row r="1978" spans="23:24" x14ac:dyDescent="0.3">
      <c r="W1978"/>
      <c r="X1978"/>
    </row>
    <row r="1979" spans="23:24" x14ac:dyDescent="0.3">
      <c r="W1979"/>
      <c r="X1979"/>
    </row>
    <row r="1980" spans="23:24" x14ac:dyDescent="0.3">
      <c r="W1980"/>
      <c r="X1980"/>
    </row>
    <row r="1981" spans="23:24" x14ac:dyDescent="0.3">
      <c r="W1981"/>
      <c r="X1981"/>
    </row>
    <row r="1982" spans="23:24" x14ac:dyDescent="0.3">
      <c r="W1982"/>
      <c r="X1982"/>
    </row>
    <row r="1983" spans="23:24" x14ac:dyDescent="0.3">
      <c r="W1983"/>
      <c r="X1983"/>
    </row>
    <row r="1984" spans="23:24" x14ac:dyDescent="0.3">
      <c r="W1984"/>
      <c r="X1984"/>
    </row>
    <row r="1985" spans="23:24" x14ac:dyDescent="0.3">
      <c r="W1985"/>
      <c r="X1985"/>
    </row>
    <row r="1986" spans="23:24" x14ac:dyDescent="0.3">
      <c r="W1986"/>
      <c r="X1986"/>
    </row>
    <row r="1987" spans="23:24" x14ac:dyDescent="0.3">
      <c r="W1987"/>
      <c r="X1987"/>
    </row>
    <row r="1988" spans="23:24" x14ac:dyDescent="0.3">
      <c r="W1988"/>
      <c r="X1988"/>
    </row>
    <row r="1989" spans="23:24" x14ac:dyDescent="0.3">
      <c r="W1989"/>
      <c r="X1989"/>
    </row>
    <row r="1990" spans="23:24" x14ac:dyDescent="0.3">
      <c r="W1990"/>
      <c r="X1990"/>
    </row>
    <row r="1991" spans="23:24" x14ac:dyDescent="0.3">
      <c r="W1991"/>
      <c r="X1991"/>
    </row>
    <row r="1992" spans="23:24" x14ac:dyDescent="0.3">
      <c r="W1992"/>
      <c r="X1992"/>
    </row>
    <row r="1993" spans="23:24" x14ac:dyDescent="0.3">
      <c r="W1993"/>
      <c r="X1993"/>
    </row>
    <row r="1994" spans="23:24" x14ac:dyDescent="0.3">
      <c r="W1994"/>
      <c r="X1994"/>
    </row>
    <row r="1995" spans="23:24" x14ac:dyDescent="0.3">
      <c r="W1995"/>
      <c r="X1995"/>
    </row>
    <row r="1996" spans="23:24" x14ac:dyDescent="0.3">
      <c r="W1996"/>
      <c r="X1996"/>
    </row>
    <row r="1997" spans="23:24" x14ac:dyDescent="0.3">
      <c r="W1997"/>
      <c r="X1997"/>
    </row>
    <row r="1998" spans="23:24" x14ac:dyDescent="0.3">
      <c r="W1998"/>
      <c r="X1998"/>
    </row>
    <row r="1999" spans="23:24" x14ac:dyDescent="0.3">
      <c r="W1999"/>
      <c r="X1999"/>
    </row>
    <row r="2000" spans="23:24" x14ac:dyDescent="0.3">
      <c r="W2000"/>
      <c r="X2000"/>
    </row>
    <row r="2001" spans="23:24" x14ac:dyDescent="0.3">
      <c r="W2001"/>
      <c r="X2001"/>
    </row>
    <row r="2002" spans="23:24" x14ac:dyDescent="0.3">
      <c r="W2002"/>
      <c r="X2002"/>
    </row>
    <row r="2003" spans="23:24" x14ac:dyDescent="0.3">
      <c r="W2003"/>
      <c r="X2003"/>
    </row>
    <row r="2004" spans="23:24" x14ac:dyDescent="0.3">
      <c r="W2004"/>
      <c r="X2004"/>
    </row>
    <row r="2005" spans="23:24" x14ac:dyDescent="0.3">
      <c r="W2005"/>
      <c r="X2005"/>
    </row>
    <row r="2006" spans="23:24" x14ac:dyDescent="0.3">
      <c r="W2006"/>
      <c r="X2006"/>
    </row>
    <row r="2007" spans="23:24" x14ac:dyDescent="0.3">
      <c r="W2007"/>
      <c r="X2007"/>
    </row>
    <row r="2008" spans="23:24" x14ac:dyDescent="0.3">
      <c r="W2008"/>
      <c r="X2008"/>
    </row>
    <row r="2009" spans="23:24" x14ac:dyDescent="0.3">
      <c r="W2009"/>
      <c r="X2009"/>
    </row>
    <row r="2010" spans="23:24" x14ac:dyDescent="0.3">
      <c r="W2010"/>
      <c r="X2010"/>
    </row>
    <row r="2011" spans="23:24" x14ac:dyDescent="0.3">
      <c r="W2011"/>
      <c r="X2011"/>
    </row>
    <row r="2012" spans="23:24" x14ac:dyDescent="0.3">
      <c r="W2012"/>
      <c r="X2012"/>
    </row>
    <row r="2013" spans="23:24" x14ac:dyDescent="0.3">
      <c r="W2013"/>
      <c r="X2013"/>
    </row>
    <row r="2014" spans="23:24" x14ac:dyDescent="0.3">
      <c r="W2014"/>
      <c r="X2014"/>
    </row>
    <row r="2015" spans="23:24" x14ac:dyDescent="0.3">
      <c r="W2015"/>
      <c r="X2015"/>
    </row>
    <row r="2016" spans="23:24" x14ac:dyDescent="0.3">
      <c r="W2016"/>
      <c r="X2016"/>
    </row>
    <row r="2017" spans="23:24" x14ac:dyDescent="0.3">
      <c r="W2017"/>
      <c r="X2017"/>
    </row>
    <row r="2018" spans="23:24" x14ac:dyDescent="0.3">
      <c r="W2018"/>
      <c r="X2018"/>
    </row>
    <row r="2019" spans="23:24" x14ac:dyDescent="0.3">
      <c r="W2019"/>
      <c r="X2019"/>
    </row>
    <row r="2020" spans="23:24" x14ac:dyDescent="0.3">
      <c r="W2020"/>
      <c r="X2020"/>
    </row>
    <row r="2021" spans="23:24" x14ac:dyDescent="0.3">
      <c r="W2021"/>
      <c r="X2021"/>
    </row>
    <row r="2022" spans="23:24" x14ac:dyDescent="0.3">
      <c r="W2022"/>
      <c r="X2022"/>
    </row>
    <row r="2023" spans="23:24" x14ac:dyDescent="0.3">
      <c r="W2023"/>
      <c r="X2023"/>
    </row>
    <row r="2024" spans="23:24" x14ac:dyDescent="0.3">
      <c r="W2024"/>
      <c r="X2024"/>
    </row>
    <row r="2025" spans="23:24" x14ac:dyDescent="0.3">
      <c r="W2025"/>
      <c r="X2025"/>
    </row>
    <row r="2026" spans="23:24" x14ac:dyDescent="0.3">
      <c r="W2026"/>
      <c r="X2026"/>
    </row>
    <row r="2027" spans="23:24" x14ac:dyDescent="0.3">
      <c r="W2027"/>
      <c r="X2027"/>
    </row>
    <row r="2028" spans="23:24" x14ac:dyDescent="0.3">
      <c r="W2028"/>
      <c r="X2028"/>
    </row>
    <row r="2029" spans="23:24" x14ac:dyDescent="0.3">
      <c r="W2029"/>
      <c r="X2029"/>
    </row>
    <row r="2030" spans="23:24" x14ac:dyDescent="0.3">
      <c r="W2030"/>
      <c r="X2030"/>
    </row>
    <row r="2031" spans="23:24" x14ac:dyDescent="0.3">
      <c r="W2031"/>
      <c r="X2031"/>
    </row>
    <row r="2032" spans="23:24" x14ac:dyDescent="0.3">
      <c r="W2032"/>
      <c r="X2032"/>
    </row>
    <row r="2033" spans="23:24" x14ac:dyDescent="0.3">
      <c r="W2033"/>
      <c r="X2033"/>
    </row>
    <row r="2034" spans="23:24" x14ac:dyDescent="0.3">
      <c r="W2034"/>
      <c r="X2034"/>
    </row>
    <row r="2035" spans="23:24" x14ac:dyDescent="0.3">
      <c r="W2035"/>
      <c r="X2035"/>
    </row>
    <row r="2036" spans="23:24" x14ac:dyDescent="0.3">
      <c r="W2036"/>
      <c r="X2036"/>
    </row>
    <row r="2037" spans="23:24" x14ac:dyDescent="0.3">
      <c r="W2037"/>
      <c r="X2037"/>
    </row>
    <row r="2038" spans="23:24" x14ac:dyDescent="0.3">
      <c r="W2038"/>
      <c r="X2038"/>
    </row>
    <row r="2039" spans="23:24" x14ac:dyDescent="0.3">
      <c r="W2039"/>
      <c r="X2039"/>
    </row>
    <row r="2040" spans="23:24" x14ac:dyDescent="0.3">
      <c r="W2040"/>
      <c r="X2040"/>
    </row>
    <row r="2041" spans="23:24" x14ac:dyDescent="0.3">
      <c r="W2041"/>
      <c r="X2041"/>
    </row>
    <row r="2042" spans="23:24" x14ac:dyDescent="0.3">
      <c r="W2042"/>
      <c r="X2042"/>
    </row>
    <row r="2043" spans="23:24" x14ac:dyDescent="0.3">
      <c r="W2043"/>
      <c r="X2043"/>
    </row>
    <row r="2044" spans="23:24" x14ac:dyDescent="0.3">
      <c r="W2044"/>
      <c r="X2044"/>
    </row>
    <row r="2045" spans="23:24" x14ac:dyDescent="0.3">
      <c r="W2045"/>
      <c r="X2045"/>
    </row>
    <row r="2046" spans="23:24" x14ac:dyDescent="0.3">
      <c r="W2046"/>
      <c r="X2046"/>
    </row>
    <row r="2047" spans="23:24" x14ac:dyDescent="0.3">
      <c r="W2047"/>
      <c r="X2047"/>
    </row>
    <row r="2048" spans="23:24" x14ac:dyDescent="0.3">
      <c r="W2048"/>
      <c r="X2048"/>
    </row>
    <row r="2049" spans="23:24" x14ac:dyDescent="0.3">
      <c r="W2049"/>
      <c r="X2049"/>
    </row>
    <row r="2050" spans="23:24" x14ac:dyDescent="0.3">
      <c r="W2050"/>
      <c r="X2050"/>
    </row>
    <row r="2051" spans="23:24" x14ac:dyDescent="0.3">
      <c r="W2051"/>
      <c r="X2051"/>
    </row>
    <row r="2052" spans="23:24" x14ac:dyDescent="0.3">
      <c r="W2052"/>
      <c r="X2052"/>
    </row>
    <row r="2053" spans="23:24" x14ac:dyDescent="0.3">
      <c r="W2053"/>
      <c r="X2053"/>
    </row>
    <row r="2054" spans="23:24" x14ac:dyDescent="0.3">
      <c r="W2054"/>
      <c r="X2054"/>
    </row>
    <row r="2055" spans="23:24" x14ac:dyDescent="0.3">
      <c r="W2055"/>
      <c r="X2055"/>
    </row>
    <row r="2056" spans="23:24" x14ac:dyDescent="0.3">
      <c r="W2056"/>
      <c r="X2056"/>
    </row>
    <row r="2057" spans="23:24" x14ac:dyDescent="0.3">
      <c r="W2057"/>
      <c r="X2057"/>
    </row>
    <row r="2058" spans="23:24" x14ac:dyDescent="0.3">
      <c r="W2058"/>
      <c r="X2058"/>
    </row>
    <row r="2059" spans="23:24" x14ac:dyDescent="0.3">
      <c r="W2059"/>
      <c r="X2059"/>
    </row>
    <row r="2060" spans="23:24" x14ac:dyDescent="0.3">
      <c r="W2060"/>
      <c r="X2060"/>
    </row>
    <row r="2061" spans="23:24" x14ac:dyDescent="0.3">
      <c r="W2061"/>
      <c r="X2061"/>
    </row>
    <row r="2062" spans="23:24" x14ac:dyDescent="0.3">
      <c r="W2062"/>
      <c r="X2062"/>
    </row>
    <row r="2063" spans="23:24" x14ac:dyDescent="0.3">
      <c r="W2063"/>
      <c r="X2063"/>
    </row>
    <row r="2064" spans="23:24" x14ac:dyDescent="0.3">
      <c r="W2064"/>
      <c r="X2064"/>
    </row>
    <row r="2065" spans="23:24" x14ac:dyDescent="0.3">
      <c r="W2065"/>
      <c r="X2065"/>
    </row>
    <row r="2066" spans="23:24" x14ac:dyDescent="0.3">
      <c r="W2066"/>
      <c r="X2066"/>
    </row>
    <row r="2067" spans="23:24" x14ac:dyDescent="0.3">
      <c r="W2067"/>
      <c r="X2067"/>
    </row>
    <row r="2068" spans="23:24" x14ac:dyDescent="0.3">
      <c r="W2068"/>
      <c r="X2068"/>
    </row>
    <row r="2069" spans="23:24" x14ac:dyDescent="0.3">
      <c r="W2069"/>
      <c r="X2069"/>
    </row>
    <row r="2070" spans="23:24" x14ac:dyDescent="0.3">
      <c r="W2070"/>
      <c r="X2070"/>
    </row>
    <row r="2071" spans="23:24" x14ac:dyDescent="0.3">
      <c r="W2071"/>
      <c r="X2071"/>
    </row>
    <row r="2072" spans="23:24" x14ac:dyDescent="0.3">
      <c r="W2072"/>
      <c r="X2072"/>
    </row>
    <row r="2073" spans="23:24" x14ac:dyDescent="0.3">
      <c r="W2073"/>
      <c r="X2073"/>
    </row>
    <row r="2074" spans="23:24" x14ac:dyDescent="0.3">
      <c r="W2074"/>
      <c r="X2074"/>
    </row>
    <row r="2075" spans="23:24" x14ac:dyDescent="0.3">
      <c r="W2075"/>
      <c r="X2075"/>
    </row>
    <row r="2076" spans="23:24" x14ac:dyDescent="0.3">
      <c r="W2076"/>
      <c r="X2076"/>
    </row>
    <row r="2077" spans="23:24" x14ac:dyDescent="0.3">
      <c r="W2077"/>
      <c r="X2077"/>
    </row>
    <row r="2078" spans="23:24" x14ac:dyDescent="0.3">
      <c r="W2078"/>
      <c r="X2078"/>
    </row>
    <row r="2079" spans="23:24" x14ac:dyDescent="0.3">
      <c r="W2079"/>
      <c r="X2079"/>
    </row>
    <row r="2080" spans="23:24" x14ac:dyDescent="0.3">
      <c r="W2080"/>
      <c r="X2080"/>
    </row>
    <row r="2081" spans="23:24" x14ac:dyDescent="0.3">
      <c r="W2081"/>
      <c r="X2081"/>
    </row>
    <row r="2082" spans="23:24" x14ac:dyDescent="0.3">
      <c r="W2082"/>
      <c r="X2082"/>
    </row>
    <row r="2083" spans="23:24" x14ac:dyDescent="0.3">
      <c r="W2083"/>
      <c r="X2083"/>
    </row>
    <row r="2084" spans="23:24" x14ac:dyDescent="0.3">
      <c r="W2084"/>
      <c r="X2084"/>
    </row>
    <row r="2085" spans="23:24" x14ac:dyDescent="0.3">
      <c r="W2085"/>
      <c r="X2085"/>
    </row>
    <row r="2086" spans="23:24" x14ac:dyDescent="0.3">
      <c r="W2086"/>
      <c r="X2086"/>
    </row>
    <row r="2087" spans="23:24" x14ac:dyDescent="0.3">
      <c r="W2087"/>
      <c r="X2087"/>
    </row>
    <row r="2088" spans="23:24" x14ac:dyDescent="0.3">
      <c r="W2088"/>
      <c r="X2088"/>
    </row>
    <row r="2089" spans="23:24" x14ac:dyDescent="0.3">
      <c r="W2089"/>
      <c r="X2089"/>
    </row>
    <row r="2090" spans="23:24" x14ac:dyDescent="0.3">
      <c r="W2090"/>
      <c r="X2090"/>
    </row>
    <row r="2091" spans="23:24" x14ac:dyDescent="0.3">
      <c r="W2091"/>
      <c r="X2091"/>
    </row>
    <row r="2092" spans="23:24" x14ac:dyDescent="0.3">
      <c r="W2092"/>
      <c r="X2092"/>
    </row>
    <row r="2093" spans="23:24" x14ac:dyDescent="0.3">
      <c r="W2093"/>
      <c r="X2093"/>
    </row>
    <row r="2094" spans="23:24" x14ac:dyDescent="0.3">
      <c r="W2094"/>
      <c r="X2094"/>
    </row>
    <row r="2095" spans="23:24" x14ac:dyDescent="0.3">
      <c r="W2095"/>
      <c r="X2095"/>
    </row>
    <row r="2096" spans="23:24" x14ac:dyDescent="0.3">
      <c r="W2096"/>
      <c r="X2096"/>
    </row>
    <row r="2097" spans="23:24" x14ac:dyDescent="0.3">
      <c r="W2097"/>
      <c r="X2097"/>
    </row>
    <row r="2098" spans="23:24" x14ac:dyDescent="0.3">
      <c r="W2098"/>
      <c r="X2098"/>
    </row>
    <row r="2099" spans="23:24" x14ac:dyDescent="0.3">
      <c r="W2099"/>
      <c r="X2099"/>
    </row>
    <row r="2100" spans="23:24" x14ac:dyDescent="0.3">
      <c r="W2100"/>
      <c r="X2100"/>
    </row>
    <row r="2101" spans="23:24" x14ac:dyDescent="0.3">
      <c r="W2101"/>
      <c r="X2101"/>
    </row>
    <row r="2102" spans="23:24" x14ac:dyDescent="0.3">
      <c r="W2102"/>
      <c r="X2102"/>
    </row>
    <row r="2103" spans="23:24" x14ac:dyDescent="0.3">
      <c r="W2103"/>
      <c r="X2103"/>
    </row>
    <row r="2104" spans="23:24" x14ac:dyDescent="0.3">
      <c r="W2104"/>
      <c r="X2104"/>
    </row>
    <row r="2105" spans="23:24" x14ac:dyDescent="0.3">
      <c r="W2105"/>
      <c r="X2105"/>
    </row>
    <row r="2106" spans="23:24" x14ac:dyDescent="0.3">
      <c r="W2106"/>
      <c r="X2106"/>
    </row>
    <row r="2107" spans="23:24" x14ac:dyDescent="0.3">
      <c r="W2107"/>
      <c r="X2107"/>
    </row>
    <row r="2108" spans="23:24" x14ac:dyDescent="0.3">
      <c r="W2108"/>
      <c r="X2108"/>
    </row>
    <row r="2109" spans="23:24" x14ac:dyDescent="0.3">
      <c r="W2109"/>
      <c r="X2109"/>
    </row>
    <row r="2110" spans="23:24" x14ac:dyDescent="0.3">
      <c r="W2110"/>
      <c r="X2110"/>
    </row>
    <row r="2111" spans="23:24" x14ac:dyDescent="0.3">
      <c r="W2111"/>
      <c r="X2111"/>
    </row>
    <row r="2112" spans="23:24" x14ac:dyDescent="0.3">
      <c r="W2112"/>
      <c r="X2112"/>
    </row>
    <row r="2113" spans="23:24" x14ac:dyDescent="0.3">
      <c r="W2113"/>
      <c r="X2113"/>
    </row>
    <row r="2114" spans="23:24" x14ac:dyDescent="0.3">
      <c r="W2114"/>
      <c r="X2114"/>
    </row>
    <row r="2115" spans="23:24" x14ac:dyDescent="0.3">
      <c r="W2115"/>
      <c r="X2115"/>
    </row>
    <row r="2116" spans="23:24" x14ac:dyDescent="0.3">
      <c r="W2116"/>
      <c r="X2116"/>
    </row>
    <row r="2117" spans="23:24" x14ac:dyDescent="0.3">
      <c r="W2117"/>
      <c r="X2117"/>
    </row>
    <row r="2118" spans="23:24" x14ac:dyDescent="0.3">
      <c r="W2118"/>
      <c r="X2118"/>
    </row>
    <row r="2119" spans="23:24" x14ac:dyDescent="0.3">
      <c r="W2119"/>
      <c r="X2119"/>
    </row>
    <row r="2120" spans="23:24" x14ac:dyDescent="0.3">
      <c r="W2120"/>
      <c r="X2120"/>
    </row>
    <row r="2121" spans="23:24" x14ac:dyDescent="0.3">
      <c r="W2121"/>
      <c r="X2121"/>
    </row>
    <row r="2122" spans="23:24" x14ac:dyDescent="0.3">
      <c r="W2122"/>
      <c r="X2122"/>
    </row>
    <row r="2123" spans="23:24" x14ac:dyDescent="0.3">
      <c r="W2123"/>
      <c r="X2123"/>
    </row>
    <row r="2124" spans="23:24" x14ac:dyDescent="0.3">
      <c r="W2124"/>
      <c r="X2124"/>
    </row>
    <row r="2125" spans="23:24" x14ac:dyDescent="0.3">
      <c r="W2125"/>
      <c r="X2125"/>
    </row>
    <row r="2126" spans="23:24" x14ac:dyDescent="0.3">
      <c r="W2126"/>
      <c r="X2126"/>
    </row>
    <row r="2127" spans="23:24" x14ac:dyDescent="0.3">
      <c r="W2127"/>
      <c r="X2127"/>
    </row>
    <row r="2128" spans="23:24" x14ac:dyDescent="0.3">
      <c r="W2128"/>
      <c r="X2128"/>
    </row>
    <row r="2129" spans="23:24" x14ac:dyDescent="0.3">
      <c r="W2129"/>
      <c r="X2129"/>
    </row>
    <row r="2130" spans="23:24" x14ac:dyDescent="0.3">
      <c r="W2130"/>
      <c r="X2130"/>
    </row>
    <row r="2131" spans="23:24" x14ac:dyDescent="0.3">
      <c r="W2131"/>
      <c r="X2131"/>
    </row>
    <row r="2132" spans="23:24" x14ac:dyDescent="0.3">
      <c r="W2132"/>
      <c r="X2132"/>
    </row>
    <row r="2133" spans="23:24" x14ac:dyDescent="0.3">
      <c r="W2133"/>
      <c r="X2133"/>
    </row>
    <row r="2134" spans="23:24" x14ac:dyDescent="0.3">
      <c r="W2134"/>
      <c r="X2134"/>
    </row>
    <row r="2135" spans="23:24" x14ac:dyDescent="0.3">
      <c r="W2135"/>
      <c r="X2135"/>
    </row>
    <row r="2136" spans="23:24" x14ac:dyDescent="0.3">
      <c r="W2136"/>
      <c r="X2136"/>
    </row>
    <row r="2137" spans="23:24" x14ac:dyDescent="0.3">
      <c r="W2137"/>
      <c r="X2137"/>
    </row>
    <row r="2138" spans="23:24" x14ac:dyDescent="0.3">
      <c r="W2138"/>
      <c r="X2138"/>
    </row>
    <row r="2139" spans="23:24" x14ac:dyDescent="0.3">
      <c r="W2139"/>
      <c r="X2139"/>
    </row>
    <row r="2140" spans="23:24" x14ac:dyDescent="0.3">
      <c r="W2140"/>
      <c r="X2140"/>
    </row>
    <row r="2141" spans="23:24" x14ac:dyDescent="0.3">
      <c r="W2141"/>
      <c r="X2141"/>
    </row>
    <row r="2142" spans="23:24" x14ac:dyDescent="0.3">
      <c r="W2142"/>
      <c r="X2142"/>
    </row>
    <row r="2143" spans="23:24" x14ac:dyDescent="0.3">
      <c r="W2143"/>
      <c r="X2143"/>
    </row>
    <row r="2144" spans="23:24" x14ac:dyDescent="0.3">
      <c r="W2144"/>
      <c r="X2144"/>
    </row>
    <row r="2145" spans="23:24" x14ac:dyDescent="0.3">
      <c r="W2145"/>
      <c r="X2145"/>
    </row>
    <row r="2146" spans="23:24" x14ac:dyDescent="0.3">
      <c r="W2146"/>
      <c r="X2146"/>
    </row>
    <row r="2147" spans="23:24" x14ac:dyDescent="0.3">
      <c r="W2147"/>
      <c r="X2147"/>
    </row>
    <row r="2148" spans="23:24" x14ac:dyDescent="0.3">
      <c r="W2148"/>
      <c r="X2148"/>
    </row>
    <row r="2149" spans="23:24" x14ac:dyDescent="0.3">
      <c r="W2149"/>
      <c r="X2149"/>
    </row>
    <row r="2150" spans="23:24" x14ac:dyDescent="0.3">
      <c r="W2150"/>
      <c r="X2150"/>
    </row>
    <row r="2151" spans="23:24" x14ac:dyDescent="0.3">
      <c r="W2151"/>
      <c r="X2151"/>
    </row>
    <row r="2152" spans="23:24" x14ac:dyDescent="0.3">
      <c r="W2152"/>
      <c r="X2152"/>
    </row>
    <row r="2153" spans="23:24" x14ac:dyDescent="0.3">
      <c r="W2153"/>
      <c r="X2153"/>
    </row>
    <row r="2154" spans="23:24" x14ac:dyDescent="0.3">
      <c r="W2154"/>
      <c r="X2154"/>
    </row>
    <row r="2155" spans="23:24" x14ac:dyDescent="0.3">
      <c r="W2155"/>
      <c r="X2155"/>
    </row>
    <row r="2156" spans="23:24" x14ac:dyDescent="0.3">
      <c r="W2156"/>
      <c r="X2156"/>
    </row>
    <row r="2157" spans="23:24" x14ac:dyDescent="0.3">
      <c r="W2157"/>
      <c r="X2157"/>
    </row>
    <row r="2158" spans="23:24" x14ac:dyDescent="0.3">
      <c r="W2158"/>
      <c r="X2158"/>
    </row>
    <row r="2159" spans="23:24" x14ac:dyDescent="0.3">
      <c r="W2159"/>
      <c r="X2159"/>
    </row>
    <row r="2160" spans="23:24" x14ac:dyDescent="0.3">
      <c r="W2160"/>
      <c r="X2160"/>
    </row>
    <row r="2161" spans="23:24" x14ac:dyDescent="0.3">
      <c r="W2161"/>
      <c r="X2161"/>
    </row>
    <row r="2162" spans="23:24" x14ac:dyDescent="0.3">
      <c r="W2162"/>
      <c r="X2162"/>
    </row>
    <row r="2163" spans="23:24" x14ac:dyDescent="0.3">
      <c r="W2163"/>
      <c r="X2163"/>
    </row>
    <row r="2164" spans="23:24" x14ac:dyDescent="0.3">
      <c r="W2164"/>
      <c r="X2164"/>
    </row>
    <row r="2165" spans="23:24" x14ac:dyDescent="0.3">
      <c r="W2165"/>
      <c r="X2165"/>
    </row>
    <row r="2166" spans="23:24" x14ac:dyDescent="0.3">
      <c r="W2166"/>
      <c r="X2166"/>
    </row>
    <row r="2167" spans="23:24" x14ac:dyDescent="0.3">
      <c r="W2167"/>
      <c r="X2167"/>
    </row>
    <row r="2168" spans="23:24" x14ac:dyDescent="0.3">
      <c r="W2168"/>
      <c r="X2168"/>
    </row>
    <row r="2169" spans="23:24" x14ac:dyDescent="0.3">
      <c r="W2169"/>
      <c r="X2169"/>
    </row>
    <row r="2170" spans="23:24" x14ac:dyDescent="0.3">
      <c r="W2170"/>
      <c r="X2170"/>
    </row>
    <row r="2171" spans="23:24" x14ac:dyDescent="0.3">
      <c r="W2171"/>
      <c r="X2171"/>
    </row>
    <row r="2172" spans="23:24" x14ac:dyDescent="0.3">
      <c r="W2172"/>
      <c r="X2172"/>
    </row>
    <row r="2173" spans="23:24" x14ac:dyDescent="0.3">
      <c r="W2173"/>
      <c r="X2173"/>
    </row>
    <row r="2174" spans="23:24" x14ac:dyDescent="0.3">
      <c r="W2174"/>
      <c r="X2174"/>
    </row>
    <row r="2175" spans="23:24" x14ac:dyDescent="0.3">
      <c r="W2175"/>
      <c r="X2175"/>
    </row>
    <row r="2176" spans="23:24" x14ac:dyDescent="0.3">
      <c r="W2176"/>
      <c r="X2176"/>
    </row>
    <row r="2177" spans="23:24" x14ac:dyDescent="0.3">
      <c r="W2177"/>
      <c r="X2177"/>
    </row>
    <row r="2178" spans="23:24" x14ac:dyDescent="0.3">
      <c r="W2178"/>
      <c r="X2178"/>
    </row>
    <row r="2179" spans="23:24" x14ac:dyDescent="0.3">
      <c r="W2179"/>
      <c r="X2179"/>
    </row>
    <row r="2180" spans="23:24" x14ac:dyDescent="0.3">
      <c r="W2180"/>
      <c r="X2180"/>
    </row>
    <row r="2181" spans="23:24" x14ac:dyDescent="0.3">
      <c r="W2181"/>
      <c r="X2181"/>
    </row>
    <row r="2182" spans="23:24" x14ac:dyDescent="0.3">
      <c r="W2182"/>
      <c r="X2182"/>
    </row>
    <row r="2183" spans="23:24" x14ac:dyDescent="0.3">
      <c r="W2183"/>
      <c r="X2183"/>
    </row>
    <row r="2184" spans="23:24" x14ac:dyDescent="0.3">
      <c r="W2184"/>
      <c r="X2184"/>
    </row>
    <row r="2185" spans="23:24" x14ac:dyDescent="0.3">
      <c r="W2185"/>
      <c r="X2185"/>
    </row>
    <row r="2186" spans="23:24" x14ac:dyDescent="0.3">
      <c r="W2186"/>
      <c r="X2186"/>
    </row>
    <row r="2187" spans="23:24" x14ac:dyDescent="0.3">
      <c r="W2187"/>
      <c r="X2187"/>
    </row>
    <row r="2188" spans="23:24" x14ac:dyDescent="0.3">
      <c r="W2188"/>
      <c r="X2188"/>
    </row>
    <row r="2189" spans="23:24" x14ac:dyDescent="0.3">
      <c r="W2189"/>
      <c r="X2189"/>
    </row>
    <row r="2190" spans="23:24" x14ac:dyDescent="0.3">
      <c r="W2190"/>
      <c r="X2190"/>
    </row>
    <row r="2191" spans="23:24" x14ac:dyDescent="0.3">
      <c r="W2191"/>
      <c r="X2191"/>
    </row>
    <row r="2192" spans="23:24" x14ac:dyDescent="0.3">
      <c r="W2192"/>
      <c r="X2192"/>
    </row>
    <row r="2193" spans="23:24" x14ac:dyDescent="0.3">
      <c r="W2193"/>
      <c r="X2193"/>
    </row>
    <row r="2194" spans="23:24" x14ac:dyDescent="0.3">
      <c r="W2194"/>
      <c r="X2194"/>
    </row>
    <row r="2195" spans="23:24" x14ac:dyDescent="0.3">
      <c r="W2195"/>
      <c r="X2195"/>
    </row>
    <row r="2196" spans="23:24" x14ac:dyDescent="0.3">
      <c r="W2196"/>
      <c r="X2196"/>
    </row>
    <row r="2197" spans="23:24" x14ac:dyDescent="0.3">
      <c r="W2197"/>
      <c r="X2197"/>
    </row>
    <row r="2198" spans="23:24" x14ac:dyDescent="0.3">
      <c r="W2198"/>
      <c r="X2198"/>
    </row>
    <row r="2199" spans="23:24" x14ac:dyDescent="0.3">
      <c r="W2199"/>
      <c r="X2199"/>
    </row>
    <row r="2200" spans="23:24" x14ac:dyDescent="0.3">
      <c r="W2200"/>
      <c r="X2200"/>
    </row>
    <row r="2201" spans="23:24" x14ac:dyDescent="0.3">
      <c r="W2201"/>
      <c r="X2201"/>
    </row>
    <row r="2202" spans="23:24" x14ac:dyDescent="0.3">
      <c r="W2202"/>
      <c r="X2202"/>
    </row>
    <row r="2203" spans="23:24" x14ac:dyDescent="0.3">
      <c r="W2203"/>
      <c r="X2203"/>
    </row>
    <row r="2204" spans="23:24" x14ac:dyDescent="0.3">
      <c r="W2204"/>
      <c r="X2204"/>
    </row>
    <row r="2205" spans="23:24" x14ac:dyDescent="0.3">
      <c r="W2205"/>
      <c r="X2205"/>
    </row>
    <row r="2206" spans="23:24" x14ac:dyDescent="0.3">
      <c r="W2206"/>
      <c r="X2206"/>
    </row>
    <row r="2207" spans="23:24" x14ac:dyDescent="0.3">
      <c r="W2207"/>
      <c r="X2207"/>
    </row>
    <row r="2208" spans="23:24" x14ac:dyDescent="0.3">
      <c r="W2208"/>
      <c r="X2208"/>
    </row>
    <row r="2209" spans="23:24" x14ac:dyDescent="0.3">
      <c r="W2209"/>
      <c r="X2209"/>
    </row>
    <row r="2210" spans="23:24" x14ac:dyDescent="0.3">
      <c r="W2210"/>
      <c r="X2210"/>
    </row>
    <row r="2211" spans="23:24" x14ac:dyDescent="0.3">
      <c r="W2211"/>
      <c r="X2211"/>
    </row>
    <row r="2212" spans="23:24" x14ac:dyDescent="0.3">
      <c r="W2212"/>
      <c r="X2212"/>
    </row>
    <row r="2213" spans="23:24" x14ac:dyDescent="0.3">
      <c r="W2213"/>
      <c r="X2213"/>
    </row>
    <row r="2214" spans="23:24" x14ac:dyDescent="0.3">
      <c r="W2214"/>
      <c r="X2214"/>
    </row>
    <row r="2215" spans="23:24" x14ac:dyDescent="0.3">
      <c r="W2215"/>
      <c r="X2215"/>
    </row>
    <row r="2216" spans="23:24" x14ac:dyDescent="0.3">
      <c r="W2216"/>
      <c r="X2216"/>
    </row>
    <row r="2217" spans="23:24" x14ac:dyDescent="0.3">
      <c r="W2217"/>
      <c r="X2217"/>
    </row>
    <row r="2218" spans="23:24" x14ac:dyDescent="0.3">
      <c r="W2218"/>
      <c r="X2218"/>
    </row>
    <row r="2219" spans="23:24" x14ac:dyDescent="0.3">
      <c r="W2219"/>
      <c r="X2219"/>
    </row>
    <row r="2220" spans="23:24" x14ac:dyDescent="0.3">
      <c r="W2220"/>
      <c r="X2220"/>
    </row>
    <row r="2221" spans="23:24" x14ac:dyDescent="0.3">
      <c r="W2221"/>
      <c r="X2221"/>
    </row>
    <row r="2222" spans="23:24" x14ac:dyDescent="0.3">
      <c r="W2222"/>
      <c r="X2222"/>
    </row>
    <row r="2223" spans="23:24" x14ac:dyDescent="0.3">
      <c r="W2223"/>
      <c r="X2223"/>
    </row>
    <row r="2224" spans="23:24" x14ac:dyDescent="0.3">
      <c r="W2224"/>
      <c r="X2224"/>
    </row>
    <row r="2225" spans="23:24" x14ac:dyDescent="0.3">
      <c r="W2225"/>
      <c r="X2225"/>
    </row>
    <row r="2226" spans="23:24" x14ac:dyDescent="0.3">
      <c r="W2226"/>
      <c r="X2226"/>
    </row>
    <row r="2227" spans="23:24" x14ac:dyDescent="0.3">
      <c r="W2227"/>
      <c r="X2227"/>
    </row>
    <row r="2228" spans="23:24" x14ac:dyDescent="0.3">
      <c r="W2228"/>
      <c r="X2228"/>
    </row>
    <row r="2229" spans="23:24" x14ac:dyDescent="0.3">
      <c r="W2229"/>
      <c r="X2229"/>
    </row>
    <row r="2230" spans="23:24" x14ac:dyDescent="0.3">
      <c r="W2230"/>
      <c r="X2230"/>
    </row>
    <row r="2231" spans="23:24" x14ac:dyDescent="0.3">
      <c r="W2231"/>
      <c r="X2231"/>
    </row>
    <row r="2232" spans="23:24" x14ac:dyDescent="0.3">
      <c r="W2232"/>
      <c r="X2232"/>
    </row>
    <row r="2233" spans="23:24" x14ac:dyDescent="0.3">
      <c r="W2233"/>
      <c r="X2233"/>
    </row>
    <row r="2234" spans="23:24" x14ac:dyDescent="0.3">
      <c r="W2234"/>
      <c r="X2234"/>
    </row>
    <row r="2235" spans="23:24" x14ac:dyDescent="0.3">
      <c r="W2235"/>
      <c r="X2235"/>
    </row>
    <row r="2236" spans="23:24" x14ac:dyDescent="0.3">
      <c r="W2236"/>
      <c r="X2236"/>
    </row>
    <row r="2237" spans="23:24" x14ac:dyDescent="0.3">
      <c r="W2237"/>
      <c r="X2237"/>
    </row>
    <row r="2238" spans="23:24" x14ac:dyDescent="0.3">
      <c r="W2238"/>
      <c r="X2238"/>
    </row>
    <row r="2239" spans="23:24" x14ac:dyDescent="0.3">
      <c r="W2239"/>
      <c r="X2239"/>
    </row>
    <row r="2240" spans="23:24" x14ac:dyDescent="0.3">
      <c r="W2240"/>
      <c r="X2240"/>
    </row>
    <row r="2241" spans="23:24" x14ac:dyDescent="0.3">
      <c r="W2241"/>
      <c r="X2241"/>
    </row>
    <row r="2242" spans="23:24" x14ac:dyDescent="0.3">
      <c r="W2242"/>
      <c r="X2242"/>
    </row>
    <row r="2243" spans="23:24" x14ac:dyDescent="0.3">
      <c r="W2243"/>
      <c r="X2243"/>
    </row>
    <row r="2244" spans="23:24" x14ac:dyDescent="0.3">
      <c r="W2244"/>
      <c r="X2244"/>
    </row>
    <row r="2245" spans="23:24" x14ac:dyDescent="0.3">
      <c r="W2245"/>
      <c r="X2245"/>
    </row>
    <row r="2246" spans="23:24" x14ac:dyDescent="0.3">
      <c r="W2246"/>
      <c r="X2246"/>
    </row>
    <row r="2247" spans="23:24" x14ac:dyDescent="0.3">
      <c r="W2247"/>
      <c r="X2247"/>
    </row>
    <row r="2248" spans="23:24" x14ac:dyDescent="0.3">
      <c r="W2248"/>
      <c r="X2248"/>
    </row>
    <row r="2249" spans="23:24" x14ac:dyDescent="0.3">
      <c r="W2249"/>
      <c r="X2249"/>
    </row>
    <row r="2250" spans="23:24" x14ac:dyDescent="0.3">
      <c r="W2250"/>
      <c r="X2250"/>
    </row>
    <row r="2251" spans="23:24" x14ac:dyDescent="0.3">
      <c r="W2251"/>
      <c r="X2251"/>
    </row>
    <row r="2252" spans="23:24" x14ac:dyDescent="0.3">
      <c r="W2252"/>
      <c r="X2252"/>
    </row>
    <row r="2253" spans="23:24" x14ac:dyDescent="0.3">
      <c r="W2253"/>
      <c r="X2253"/>
    </row>
    <row r="2254" spans="23:24" x14ac:dyDescent="0.3">
      <c r="W2254"/>
      <c r="X2254"/>
    </row>
    <row r="2255" spans="23:24" x14ac:dyDescent="0.3">
      <c r="W2255"/>
      <c r="X2255"/>
    </row>
    <row r="2256" spans="23:24" x14ac:dyDescent="0.3">
      <c r="W2256"/>
      <c r="X2256"/>
    </row>
    <row r="2257" spans="23:24" x14ac:dyDescent="0.3">
      <c r="W2257"/>
      <c r="X2257"/>
    </row>
    <row r="2258" spans="23:24" x14ac:dyDescent="0.3">
      <c r="W2258"/>
      <c r="X2258"/>
    </row>
    <row r="2259" spans="23:24" x14ac:dyDescent="0.3">
      <c r="W2259"/>
      <c r="X2259"/>
    </row>
    <row r="2260" spans="23:24" x14ac:dyDescent="0.3">
      <c r="W2260"/>
      <c r="X2260"/>
    </row>
    <row r="2261" spans="23:24" x14ac:dyDescent="0.3">
      <c r="W2261"/>
      <c r="X2261"/>
    </row>
    <row r="2262" spans="23:24" x14ac:dyDescent="0.3">
      <c r="W2262"/>
      <c r="X2262"/>
    </row>
    <row r="2263" spans="23:24" x14ac:dyDescent="0.3">
      <c r="W2263"/>
      <c r="X2263"/>
    </row>
    <row r="2264" spans="23:24" x14ac:dyDescent="0.3">
      <c r="W2264"/>
      <c r="X2264"/>
    </row>
    <row r="2265" spans="23:24" x14ac:dyDescent="0.3">
      <c r="W2265"/>
      <c r="X2265"/>
    </row>
    <row r="2266" spans="23:24" x14ac:dyDescent="0.3">
      <c r="W2266"/>
      <c r="X2266"/>
    </row>
    <row r="2267" spans="23:24" x14ac:dyDescent="0.3">
      <c r="W2267"/>
      <c r="X2267"/>
    </row>
    <row r="2268" spans="23:24" x14ac:dyDescent="0.3">
      <c r="W2268"/>
      <c r="X2268"/>
    </row>
    <row r="2269" spans="23:24" x14ac:dyDescent="0.3">
      <c r="W2269"/>
      <c r="X2269"/>
    </row>
    <row r="2270" spans="23:24" x14ac:dyDescent="0.3">
      <c r="W2270"/>
      <c r="X2270"/>
    </row>
    <row r="2271" spans="23:24" x14ac:dyDescent="0.3">
      <c r="W2271"/>
      <c r="X2271"/>
    </row>
    <row r="2272" spans="23:24" x14ac:dyDescent="0.3">
      <c r="W2272"/>
      <c r="X2272"/>
    </row>
    <row r="2273" spans="23:24" x14ac:dyDescent="0.3">
      <c r="W2273"/>
      <c r="X2273"/>
    </row>
    <row r="2274" spans="23:24" x14ac:dyDescent="0.3">
      <c r="W2274"/>
      <c r="X2274"/>
    </row>
    <row r="2275" spans="23:24" x14ac:dyDescent="0.3">
      <c r="W2275"/>
      <c r="X2275"/>
    </row>
    <row r="2276" spans="23:24" x14ac:dyDescent="0.3">
      <c r="W2276"/>
      <c r="X2276"/>
    </row>
    <row r="2277" spans="23:24" x14ac:dyDescent="0.3">
      <c r="W2277"/>
      <c r="X2277"/>
    </row>
    <row r="2278" spans="23:24" x14ac:dyDescent="0.3">
      <c r="W2278"/>
      <c r="X2278"/>
    </row>
    <row r="2279" spans="23:24" x14ac:dyDescent="0.3">
      <c r="W2279"/>
      <c r="X2279"/>
    </row>
    <row r="2280" spans="23:24" x14ac:dyDescent="0.3">
      <c r="W2280"/>
      <c r="X2280"/>
    </row>
    <row r="2281" spans="23:24" x14ac:dyDescent="0.3">
      <c r="W2281"/>
      <c r="X2281"/>
    </row>
    <row r="2282" spans="23:24" x14ac:dyDescent="0.3">
      <c r="W2282"/>
      <c r="X2282"/>
    </row>
    <row r="2283" spans="23:24" x14ac:dyDescent="0.3">
      <c r="W2283"/>
      <c r="X2283"/>
    </row>
    <row r="2284" spans="23:24" x14ac:dyDescent="0.3">
      <c r="W2284"/>
      <c r="X2284"/>
    </row>
    <row r="2285" spans="23:24" x14ac:dyDescent="0.3">
      <c r="W2285"/>
      <c r="X2285"/>
    </row>
    <row r="2286" spans="23:24" x14ac:dyDescent="0.3">
      <c r="W2286"/>
      <c r="X2286"/>
    </row>
    <row r="2287" spans="23:24" x14ac:dyDescent="0.3">
      <c r="W2287"/>
      <c r="X2287"/>
    </row>
    <row r="2288" spans="23:24" x14ac:dyDescent="0.3">
      <c r="W2288"/>
      <c r="X2288"/>
    </row>
    <row r="2289" spans="23:24" x14ac:dyDescent="0.3">
      <c r="W2289"/>
      <c r="X2289"/>
    </row>
    <row r="2290" spans="23:24" x14ac:dyDescent="0.3">
      <c r="W2290"/>
      <c r="X2290"/>
    </row>
    <row r="2291" spans="23:24" x14ac:dyDescent="0.3">
      <c r="W2291"/>
      <c r="X2291"/>
    </row>
    <row r="2292" spans="23:24" x14ac:dyDescent="0.3">
      <c r="W2292"/>
      <c r="X2292"/>
    </row>
    <row r="2293" spans="23:24" x14ac:dyDescent="0.3">
      <c r="W2293"/>
      <c r="X2293"/>
    </row>
    <row r="2294" spans="23:24" x14ac:dyDescent="0.3">
      <c r="W2294"/>
      <c r="X2294"/>
    </row>
    <row r="2295" spans="23:24" x14ac:dyDescent="0.3">
      <c r="W2295"/>
      <c r="X2295"/>
    </row>
    <row r="2296" spans="23:24" x14ac:dyDescent="0.3">
      <c r="W2296"/>
      <c r="X2296"/>
    </row>
    <row r="2297" spans="23:24" x14ac:dyDescent="0.3">
      <c r="W2297"/>
      <c r="X2297"/>
    </row>
    <row r="2298" spans="23:24" x14ac:dyDescent="0.3">
      <c r="W2298"/>
      <c r="X2298"/>
    </row>
    <row r="2299" spans="23:24" x14ac:dyDescent="0.3">
      <c r="W2299"/>
      <c r="X2299"/>
    </row>
    <row r="2300" spans="23:24" x14ac:dyDescent="0.3">
      <c r="W2300"/>
      <c r="X2300"/>
    </row>
    <row r="2301" spans="23:24" x14ac:dyDescent="0.3">
      <c r="W2301"/>
      <c r="X2301"/>
    </row>
    <row r="2302" spans="23:24" x14ac:dyDescent="0.3">
      <c r="W2302"/>
      <c r="X2302"/>
    </row>
    <row r="2303" spans="23:24" x14ac:dyDescent="0.3">
      <c r="W2303"/>
      <c r="X2303"/>
    </row>
    <row r="2304" spans="23:24" x14ac:dyDescent="0.3">
      <c r="W2304"/>
      <c r="X2304"/>
    </row>
    <row r="2305" spans="23:24" x14ac:dyDescent="0.3">
      <c r="W2305"/>
      <c r="X2305"/>
    </row>
    <row r="2306" spans="23:24" x14ac:dyDescent="0.3">
      <c r="W2306"/>
      <c r="X2306"/>
    </row>
    <row r="2307" spans="23:24" x14ac:dyDescent="0.3">
      <c r="W2307"/>
      <c r="X2307"/>
    </row>
    <row r="2308" spans="23:24" x14ac:dyDescent="0.3">
      <c r="W2308"/>
      <c r="X2308"/>
    </row>
    <row r="2309" spans="23:24" x14ac:dyDescent="0.3">
      <c r="W2309"/>
      <c r="X2309"/>
    </row>
    <row r="2310" spans="23:24" x14ac:dyDescent="0.3">
      <c r="W2310"/>
      <c r="X2310"/>
    </row>
    <row r="2311" spans="23:24" x14ac:dyDescent="0.3">
      <c r="W2311"/>
      <c r="X2311"/>
    </row>
    <row r="2312" spans="23:24" x14ac:dyDescent="0.3">
      <c r="W2312"/>
      <c r="X2312"/>
    </row>
    <row r="2313" spans="23:24" x14ac:dyDescent="0.3">
      <c r="W2313"/>
      <c r="X2313"/>
    </row>
    <row r="2314" spans="23:24" x14ac:dyDescent="0.3">
      <c r="W2314"/>
      <c r="X2314"/>
    </row>
    <row r="2315" spans="23:24" x14ac:dyDescent="0.3">
      <c r="W2315"/>
      <c r="X2315"/>
    </row>
    <row r="2316" spans="23:24" x14ac:dyDescent="0.3">
      <c r="W2316"/>
      <c r="X2316"/>
    </row>
    <row r="2317" spans="23:24" x14ac:dyDescent="0.3">
      <c r="W2317"/>
      <c r="X2317"/>
    </row>
    <row r="2318" spans="23:24" x14ac:dyDescent="0.3">
      <c r="W2318"/>
      <c r="X2318"/>
    </row>
    <row r="2319" spans="23:24" x14ac:dyDescent="0.3">
      <c r="W2319"/>
      <c r="X2319"/>
    </row>
    <row r="2320" spans="23:24" x14ac:dyDescent="0.3">
      <c r="W2320"/>
      <c r="X2320"/>
    </row>
    <row r="2321" spans="23:24" x14ac:dyDescent="0.3">
      <c r="W2321"/>
      <c r="X2321"/>
    </row>
    <row r="2322" spans="23:24" x14ac:dyDescent="0.3">
      <c r="W2322"/>
      <c r="X2322"/>
    </row>
    <row r="2323" spans="23:24" x14ac:dyDescent="0.3">
      <c r="W2323"/>
      <c r="X2323"/>
    </row>
    <row r="2324" spans="23:24" x14ac:dyDescent="0.3">
      <c r="W2324"/>
      <c r="X2324"/>
    </row>
    <row r="2325" spans="23:24" x14ac:dyDescent="0.3">
      <c r="W2325"/>
      <c r="X2325"/>
    </row>
    <row r="2326" spans="23:24" x14ac:dyDescent="0.3">
      <c r="W2326"/>
      <c r="X2326"/>
    </row>
    <row r="2327" spans="23:24" x14ac:dyDescent="0.3">
      <c r="W2327"/>
      <c r="X2327"/>
    </row>
    <row r="2328" spans="23:24" x14ac:dyDescent="0.3">
      <c r="W2328"/>
      <c r="X2328"/>
    </row>
    <row r="2329" spans="23:24" x14ac:dyDescent="0.3">
      <c r="W2329"/>
      <c r="X2329"/>
    </row>
    <row r="2330" spans="23:24" x14ac:dyDescent="0.3">
      <c r="W2330"/>
      <c r="X2330"/>
    </row>
    <row r="2331" spans="23:24" x14ac:dyDescent="0.3">
      <c r="W2331"/>
      <c r="X2331"/>
    </row>
    <row r="2332" spans="23:24" x14ac:dyDescent="0.3">
      <c r="W2332"/>
      <c r="X2332"/>
    </row>
    <row r="2333" spans="23:24" x14ac:dyDescent="0.3">
      <c r="W2333"/>
      <c r="X2333"/>
    </row>
    <row r="2334" spans="23:24" x14ac:dyDescent="0.3">
      <c r="W2334"/>
      <c r="X2334"/>
    </row>
    <row r="2335" spans="23:24" x14ac:dyDescent="0.3">
      <c r="W2335"/>
      <c r="X2335"/>
    </row>
    <row r="2336" spans="23:24" x14ac:dyDescent="0.3">
      <c r="W2336"/>
      <c r="X2336"/>
    </row>
    <row r="2337" spans="23:24" x14ac:dyDescent="0.3">
      <c r="W2337"/>
      <c r="X2337"/>
    </row>
    <row r="2338" spans="23:24" x14ac:dyDescent="0.3">
      <c r="W2338"/>
      <c r="X2338"/>
    </row>
    <row r="2339" spans="23:24" x14ac:dyDescent="0.3">
      <c r="W2339"/>
      <c r="X2339"/>
    </row>
    <row r="2340" spans="23:24" x14ac:dyDescent="0.3">
      <c r="W2340"/>
      <c r="X2340"/>
    </row>
    <row r="2341" spans="23:24" x14ac:dyDescent="0.3">
      <c r="W2341"/>
      <c r="X2341"/>
    </row>
    <row r="2342" spans="23:24" x14ac:dyDescent="0.3">
      <c r="W2342"/>
      <c r="X2342"/>
    </row>
    <row r="2343" spans="23:24" x14ac:dyDescent="0.3">
      <c r="W2343"/>
      <c r="X2343"/>
    </row>
    <row r="2344" spans="23:24" x14ac:dyDescent="0.3">
      <c r="W2344"/>
      <c r="X2344"/>
    </row>
    <row r="2345" spans="23:24" x14ac:dyDescent="0.3">
      <c r="W2345"/>
      <c r="X2345"/>
    </row>
    <row r="2346" spans="23:24" x14ac:dyDescent="0.3">
      <c r="W2346"/>
      <c r="X2346"/>
    </row>
    <row r="2347" spans="23:24" x14ac:dyDescent="0.3">
      <c r="W2347"/>
      <c r="X2347"/>
    </row>
    <row r="2348" spans="23:24" x14ac:dyDescent="0.3">
      <c r="W2348"/>
      <c r="X2348"/>
    </row>
    <row r="2349" spans="23:24" x14ac:dyDescent="0.3">
      <c r="W2349"/>
      <c r="X2349"/>
    </row>
    <row r="2350" spans="23:24" x14ac:dyDescent="0.3">
      <c r="W2350"/>
      <c r="X2350"/>
    </row>
    <row r="2351" spans="23:24" x14ac:dyDescent="0.3">
      <c r="W2351"/>
      <c r="X2351"/>
    </row>
    <row r="2352" spans="23:24" x14ac:dyDescent="0.3">
      <c r="W2352"/>
      <c r="X2352"/>
    </row>
    <row r="2353" spans="23:24" x14ac:dyDescent="0.3">
      <c r="W2353"/>
      <c r="X2353"/>
    </row>
    <row r="2354" spans="23:24" x14ac:dyDescent="0.3">
      <c r="W2354"/>
      <c r="X2354"/>
    </row>
    <row r="2355" spans="23:24" x14ac:dyDescent="0.3">
      <c r="W2355"/>
      <c r="X2355"/>
    </row>
    <row r="2356" spans="23:24" x14ac:dyDescent="0.3">
      <c r="W2356"/>
      <c r="X2356"/>
    </row>
    <row r="2357" spans="23:24" x14ac:dyDescent="0.3">
      <c r="W2357"/>
      <c r="X2357"/>
    </row>
    <row r="2358" spans="23:24" x14ac:dyDescent="0.3">
      <c r="W2358"/>
      <c r="X2358"/>
    </row>
    <row r="2359" spans="23:24" x14ac:dyDescent="0.3">
      <c r="W2359"/>
      <c r="X2359"/>
    </row>
    <row r="2360" spans="23:24" x14ac:dyDescent="0.3">
      <c r="W2360"/>
      <c r="X2360"/>
    </row>
    <row r="2361" spans="23:24" x14ac:dyDescent="0.3">
      <c r="W2361"/>
      <c r="X2361"/>
    </row>
    <row r="2362" spans="23:24" x14ac:dyDescent="0.3">
      <c r="W2362"/>
      <c r="X2362"/>
    </row>
    <row r="2363" spans="23:24" x14ac:dyDescent="0.3">
      <c r="W2363"/>
      <c r="X2363"/>
    </row>
    <row r="2364" spans="23:24" x14ac:dyDescent="0.3">
      <c r="W2364"/>
      <c r="X2364"/>
    </row>
    <row r="2365" spans="23:24" x14ac:dyDescent="0.3">
      <c r="W2365"/>
      <c r="X2365"/>
    </row>
    <row r="2366" spans="23:24" x14ac:dyDescent="0.3">
      <c r="W2366"/>
      <c r="X2366"/>
    </row>
    <row r="2367" spans="23:24" x14ac:dyDescent="0.3">
      <c r="W2367"/>
      <c r="X2367"/>
    </row>
    <row r="2368" spans="23:24" x14ac:dyDescent="0.3">
      <c r="W2368"/>
      <c r="X2368"/>
    </row>
    <row r="2369" spans="23:24" x14ac:dyDescent="0.3">
      <c r="W2369"/>
      <c r="X2369"/>
    </row>
    <row r="2370" spans="23:24" x14ac:dyDescent="0.3">
      <c r="W2370"/>
      <c r="X2370"/>
    </row>
    <row r="2371" spans="23:24" x14ac:dyDescent="0.3">
      <c r="W2371"/>
      <c r="X2371"/>
    </row>
    <row r="2372" spans="23:24" x14ac:dyDescent="0.3">
      <c r="W2372"/>
      <c r="X2372"/>
    </row>
    <row r="2373" spans="23:24" x14ac:dyDescent="0.3">
      <c r="W2373"/>
      <c r="X2373"/>
    </row>
    <row r="2374" spans="23:24" x14ac:dyDescent="0.3">
      <c r="W2374"/>
      <c r="X2374"/>
    </row>
    <row r="2375" spans="23:24" x14ac:dyDescent="0.3">
      <c r="W2375"/>
      <c r="X2375"/>
    </row>
    <row r="2376" spans="23:24" x14ac:dyDescent="0.3">
      <c r="W2376"/>
      <c r="X2376"/>
    </row>
    <row r="2377" spans="23:24" x14ac:dyDescent="0.3">
      <c r="W2377"/>
      <c r="X2377"/>
    </row>
    <row r="2378" spans="23:24" x14ac:dyDescent="0.3">
      <c r="W2378"/>
      <c r="X2378"/>
    </row>
    <row r="2379" spans="23:24" x14ac:dyDescent="0.3">
      <c r="W2379"/>
      <c r="X2379"/>
    </row>
    <row r="2380" spans="23:24" x14ac:dyDescent="0.3">
      <c r="W2380"/>
      <c r="X2380"/>
    </row>
    <row r="2381" spans="23:24" x14ac:dyDescent="0.3">
      <c r="W2381"/>
      <c r="X2381"/>
    </row>
    <row r="2382" spans="23:24" x14ac:dyDescent="0.3">
      <c r="W2382"/>
      <c r="X2382"/>
    </row>
    <row r="2383" spans="23:24" x14ac:dyDescent="0.3">
      <c r="W2383"/>
      <c r="X2383"/>
    </row>
    <row r="2384" spans="23:24" x14ac:dyDescent="0.3">
      <c r="W2384"/>
      <c r="X2384"/>
    </row>
    <row r="2385" spans="23:24" x14ac:dyDescent="0.3">
      <c r="W2385"/>
      <c r="X2385"/>
    </row>
    <row r="2386" spans="23:24" x14ac:dyDescent="0.3">
      <c r="W2386"/>
      <c r="X2386"/>
    </row>
    <row r="2387" spans="23:24" x14ac:dyDescent="0.3">
      <c r="W2387"/>
      <c r="X2387"/>
    </row>
    <row r="2388" spans="23:24" x14ac:dyDescent="0.3">
      <c r="W2388"/>
      <c r="X2388"/>
    </row>
    <row r="2389" spans="23:24" x14ac:dyDescent="0.3">
      <c r="W2389"/>
      <c r="X2389"/>
    </row>
    <row r="2390" spans="23:24" x14ac:dyDescent="0.3">
      <c r="W2390"/>
      <c r="X2390"/>
    </row>
    <row r="2391" spans="23:24" x14ac:dyDescent="0.3">
      <c r="W2391"/>
      <c r="X2391"/>
    </row>
    <row r="2392" spans="23:24" x14ac:dyDescent="0.3">
      <c r="W2392"/>
      <c r="X2392"/>
    </row>
    <row r="2393" spans="23:24" x14ac:dyDescent="0.3">
      <c r="W2393"/>
      <c r="X2393"/>
    </row>
    <row r="2394" spans="23:24" x14ac:dyDescent="0.3">
      <c r="W2394"/>
      <c r="X2394"/>
    </row>
    <row r="2395" spans="23:24" x14ac:dyDescent="0.3">
      <c r="W2395"/>
      <c r="X2395"/>
    </row>
    <row r="2396" spans="23:24" x14ac:dyDescent="0.3">
      <c r="W2396"/>
      <c r="X2396"/>
    </row>
    <row r="2397" spans="23:24" x14ac:dyDescent="0.3">
      <c r="W2397"/>
      <c r="X2397"/>
    </row>
    <row r="2398" spans="23:24" x14ac:dyDescent="0.3">
      <c r="W2398"/>
      <c r="X2398"/>
    </row>
    <row r="2399" spans="23:24" x14ac:dyDescent="0.3">
      <c r="W2399"/>
      <c r="X2399"/>
    </row>
    <row r="2400" spans="23:24" x14ac:dyDescent="0.3">
      <c r="W2400"/>
      <c r="X2400"/>
    </row>
    <row r="2401" spans="23:24" x14ac:dyDescent="0.3">
      <c r="W2401"/>
      <c r="X2401"/>
    </row>
    <row r="2402" spans="23:24" x14ac:dyDescent="0.3">
      <c r="W2402"/>
      <c r="X2402"/>
    </row>
    <row r="2403" spans="23:24" x14ac:dyDescent="0.3">
      <c r="W2403"/>
      <c r="X2403"/>
    </row>
    <row r="2404" spans="23:24" x14ac:dyDescent="0.3">
      <c r="W2404"/>
      <c r="X2404"/>
    </row>
    <row r="2405" spans="23:24" x14ac:dyDescent="0.3">
      <c r="W2405"/>
      <c r="X2405"/>
    </row>
    <row r="2406" spans="23:24" x14ac:dyDescent="0.3">
      <c r="W2406"/>
      <c r="X2406"/>
    </row>
    <row r="2407" spans="23:24" x14ac:dyDescent="0.3">
      <c r="W2407"/>
      <c r="X2407"/>
    </row>
    <row r="2408" spans="23:24" x14ac:dyDescent="0.3">
      <c r="W2408"/>
      <c r="X2408"/>
    </row>
    <row r="2409" spans="23:24" x14ac:dyDescent="0.3">
      <c r="W2409"/>
      <c r="X2409"/>
    </row>
    <row r="2410" spans="23:24" x14ac:dyDescent="0.3">
      <c r="W2410"/>
      <c r="X2410"/>
    </row>
    <row r="2411" spans="23:24" x14ac:dyDescent="0.3">
      <c r="W2411"/>
      <c r="X2411"/>
    </row>
    <row r="2412" spans="23:24" x14ac:dyDescent="0.3">
      <c r="W2412"/>
      <c r="X2412"/>
    </row>
    <row r="2413" spans="23:24" x14ac:dyDescent="0.3">
      <c r="W2413"/>
      <c r="X2413"/>
    </row>
    <row r="2414" spans="23:24" x14ac:dyDescent="0.3">
      <c r="W2414"/>
      <c r="X2414"/>
    </row>
    <row r="2415" spans="23:24" x14ac:dyDescent="0.3">
      <c r="W2415"/>
      <c r="X2415"/>
    </row>
    <row r="2416" spans="23:24" x14ac:dyDescent="0.3">
      <c r="W2416"/>
      <c r="X2416"/>
    </row>
    <row r="2417" spans="23:24" x14ac:dyDescent="0.3">
      <c r="W2417"/>
      <c r="X2417"/>
    </row>
    <row r="2418" spans="23:24" x14ac:dyDescent="0.3">
      <c r="W2418"/>
      <c r="X2418"/>
    </row>
    <row r="2419" spans="23:24" x14ac:dyDescent="0.3">
      <c r="W2419"/>
      <c r="X2419"/>
    </row>
    <row r="2420" spans="23:24" x14ac:dyDescent="0.3">
      <c r="W2420"/>
      <c r="X2420"/>
    </row>
    <row r="2421" spans="23:24" x14ac:dyDescent="0.3">
      <c r="W2421"/>
      <c r="X2421"/>
    </row>
    <row r="2422" spans="23:24" x14ac:dyDescent="0.3">
      <c r="W2422"/>
      <c r="X2422"/>
    </row>
    <row r="2423" spans="23:24" x14ac:dyDescent="0.3">
      <c r="W2423"/>
      <c r="X2423"/>
    </row>
    <row r="2424" spans="23:24" x14ac:dyDescent="0.3">
      <c r="W2424"/>
      <c r="X2424"/>
    </row>
    <row r="2425" spans="23:24" x14ac:dyDescent="0.3">
      <c r="W2425"/>
      <c r="X2425"/>
    </row>
    <row r="2426" spans="23:24" x14ac:dyDescent="0.3">
      <c r="W2426"/>
      <c r="X2426"/>
    </row>
    <row r="2427" spans="23:24" x14ac:dyDescent="0.3">
      <c r="W2427"/>
      <c r="X2427"/>
    </row>
    <row r="2428" spans="23:24" x14ac:dyDescent="0.3">
      <c r="W2428"/>
      <c r="X2428"/>
    </row>
    <row r="2429" spans="23:24" x14ac:dyDescent="0.3">
      <c r="W2429"/>
      <c r="X2429"/>
    </row>
    <row r="2430" spans="23:24" x14ac:dyDescent="0.3">
      <c r="W2430"/>
      <c r="X2430"/>
    </row>
    <row r="2431" spans="23:24" x14ac:dyDescent="0.3">
      <c r="W2431"/>
      <c r="X2431"/>
    </row>
    <row r="2432" spans="23:24" x14ac:dyDescent="0.3">
      <c r="W2432"/>
      <c r="X2432"/>
    </row>
    <row r="2433" spans="23:24" x14ac:dyDescent="0.3">
      <c r="W2433"/>
      <c r="X2433"/>
    </row>
    <row r="2434" spans="23:24" x14ac:dyDescent="0.3">
      <c r="W2434"/>
      <c r="X2434"/>
    </row>
    <row r="2435" spans="23:24" x14ac:dyDescent="0.3">
      <c r="W2435"/>
      <c r="X2435"/>
    </row>
    <row r="2436" spans="23:24" x14ac:dyDescent="0.3">
      <c r="W2436"/>
      <c r="X2436"/>
    </row>
    <row r="2437" spans="23:24" x14ac:dyDescent="0.3">
      <c r="W2437"/>
      <c r="X2437"/>
    </row>
    <row r="2438" spans="23:24" x14ac:dyDescent="0.3">
      <c r="W2438"/>
      <c r="X2438"/>
    </row>
    <row r="2439" spans="23:24" x14ac:dyDescent="0.3">
      <c r="W2439"/>
      <c r="X2439"/>
    </row>
    <row r="2440" spans="23:24" x14ac:dyDescent="0.3">
      <c r="W2440"/>
      <c r="X2440"/>
    </row>
    <row r="2441" spans="23:24" x14ac:dyDescent="0.3">
      <c r="W2441"/>
      <c r="X2441"/>
    </row>
    <row r="2442" spans="23:24" x14ac:dyDescent="0.3">
      <c r="W2442"/>
      <c r="X2442"/>
    </row>
    <row r="2443" spans="23:24" x14ac:dyDescent="0.3">
      <c r="W2443"/>
      <c r="X2443"/>
    </row>
    <row r="2444" spans="23:24" x14ac:dyDescent="0.3">
      <c r="W2444"/>
      <c r="X2444"/>
    </row>
    <row r="2445" spans="23:24" x14ac:dyDescent="0.3">
      <c r="W2445"/>
      <c r="X2445"/>
    </row>
    <row r="2446" spans="23:24" x14ac:dyDescent="0.3">
      <c r="W2446"/>
      <c r="X2446"/>
    </row>
    <row r="2447" spans="23:24" x14ac:dyDescent="0.3">
      <c r="W2447"/>
      <c r="X2447"/>
    </row>
    <row r="2448" spans="23:24" x14ac:dyDescent="0.3">
      <c r="W2448"/>
      <c r="X2448"/>
    </row>
    <row r="2449" spans="23:24" x14ac:dyDescent="0.3">
      <c r="W2449"/>
      <c r="X2449"/>
    </row>
    <row r="2450" spans="23:24" x14ac:dyDescent="0.3">
      <c r="W2450"/>
      <c r="X2450"/>
    </row>
    <row r="2451" spans="23:24" x14ac:dyDescent="0.3">
      <c r="W2451"/>
      <c r="X2451"/>
    </row>
    <row r="2452" spans="23:24" x14ac:dyDescent="0.3">
      <c r="W2452"/>
      <c r="X2452"/>
    </row>
    <row r="2453" spans="23:24" x14ac:dyDescent="0.3">
      <c r="W2453"/>
      <c r="X2453"/>
    </row>
    <row r="2454" spans="23:24" x14ac:dyDescent="0.3">
      <c r="W2454"/>
      <c r="X2454"/>
    </row>
    <row r="2455" spans="23:24" x14ac:dyDescent="0.3">
      <c r="W2455"/>
      <c r="X2455"/>
    </row>
    <row r="2456" spans="23:24" x14ac:dyDescent="0.3">
      <c r="W2456"/>
      <c r="X2456"/>
    </row>
    <row r="2457" spans="23:24" x14ac:dyDescent="0.3">
      <c r="W2457"/>
      <c r="X2457"/>
    </row>
    <row r="2458" spans="23:24" x14ac:dyDescent="0.3">
      <c r="W2458"/>
      <c r="X2458"/>
    </row>
    <row r="2459" spans="23:24" x14ac:dyDescent="0.3">
      <c r="W2459"/>
      <c r="X2459"/>
    </row>
    <row r="2460" spans="23:24" x14ac:dyDescent="0.3">
      <c r="W2460"/>
      <c r="X2460"/>
    </row>
    <row r="2461" spans="23:24" x14ac:dyDescent="0.3">
      <c r="W2461"/>
      <c r="X2461"/>
    </row>
    <row r="2462" spans="23:24" x14ac:dyDescent="0.3">
      <c r="W2462"/>
      <c r="X2462"/>
    </row>
    <row r="2463" spans="23:24" x14ac:dyDescent="0.3">
      <c r="W2463"/>
      <c r="X2463"/>
    </row>
    <row r="2464" spans="23:24" x14ac:dyDescent="0.3">
      <c r="W2464"/>
      <c r="X2464"/>
    </row>
    <row r="2465" spans="23:24" x14ac:dyDescent="0.3">
      <c r="W2465"/>
      <c r="X2465"/>
    </row>
    <row r="2466" spans="23:24" x14ac:dyDescent="0.3">
      <c r="W2466"/>
      <c r="X2466"/>
    </row>
    <row r="2467" spans="23:24" x14ac:dyDescent="0.3">
      <c r="W2467"/>
      <c r="X2467"/>
    </row>
    <row r="2468" spans="23:24" x14ac:dyDescent="0.3">
      <c r="W2468"/>
      <c r="X2468"/>
    </row>
    <row r="2469" spans="23:24" x14ac:dyDescent="0.3">
      <c r="W2469"/>
      <c r="X2469"/>
    </row>
    <row r="2470" spans="23:24" x14ac:dyDescent="0.3">
      <c r="W2470"/>
      <c r="X2470"/>
    </row>
    <row r="2471" spans="23:24" x14ac:dyDescent="0.3">
      <c r="W2471"/>
      <c r="X2471"/>
    </row>
    <row r="2472" spans="23:24" x14ac:dyDescent="0.3">
      <c r="W2472"/>
      <c r="X2472"/>
    </row>
    <row r="2473" spans="23:24" x14ac:dyDescent="0.3">
      <c r="W2473"/>
      <c r="X2473"/>
    </row>
    <row r="2474" spans="23:24" x14ac:dyDescent="0.3">
      <c r="W2474"/>
      <c r="X2474"/>
    </row>
    <row r="2475" spans="23:24" x14ac:dyDescent="0.3">
      <c r="W2475"/>
      <c r="X2475"/>
    </row>
    <row r="2476" spans="23:24" x14ac:dyDescent="0.3">
      <c r="W2476"/>
      <c r="X2476"/>
    </row>
    <row r="2477" spans="23:24" x14ac:dyDescent="0.3">
      <c r="W2477"/>
      <c r="X2477"/>
    </row>
    <row r="2478" spans="23:24" x14ac:dyDescent="0.3">
      <c r="W2478"/>
      <c r="X2478"/>
    </row>
    <row r="2479" spans="23:24" x14ac:dyDescent="0.3">
      <c r="W2479"/>
      <c r="X2479"/>
    </row>
    <row r="2480" spans="23:24" x14ac:dyDescent="0.3">
      <c r="W2480"/>
      <c r="X2480"/>
    </row>
    <row r="2481" spans="23:24" x14ac:dyDescent="0.3">
      <c r="W2481"/>
      <c r="X2481"/>
    </row>
    <row r="2482" spans="23:24" x14ac:dyDescent="0.3">
      <c r="W2482"/>
      <c r="X2482"/>
    </row>
    <row r="2483" spans="23:24" x14ac:dyDescent="0.3">
      <c r="W2483"/>
      <c r="X2483"/>
    </row>
    <row r="2484" spans="23:24" x14ac:dyDescent="0.3">
      <c r="W2484"/>
      <c r="X2484"/>
    </row>
    <row r="2485" spans="23:24" x14ac:dyDescent="0.3">
      <c r="W2485"/>
      <c r="X2485"/>
    </row>
    <row r="2486" spans="23:24" x14ac:dyDescent="0.3">
      <c r="W2486"/>
      <c r="X2486"/>
    </row>
    <row r="2487" spans="23:24" x14ac:dyDescent="0.3">
      <c r="W2487"/>
      <c r="X2487"/>
    </row>
    <row r="2488" spans="23:24" x14ac:dyDescent="0.3">
      <c r="W2488"/>
      <c r="X2488"/>
    </row>
    <row r="2489" spans="23:24" x14ac:dyDescent="0.3">
      <c r="W2489"/>
      <c r="X2489"/>
    </row>
    <row r="2490" spans="23:24" x14ac:dyDescent="0.3">
      <c r="W2490"/>
      <c r="X2490"/>
    </row>
    <row r="2491" spans="23:24" x14ac:dyDescent="0.3">
      <c r="W2491"/>
      <c r="X2491"/>
    </row>
    <row r="2492" spans="23:24" x14ac:dyDescent="0.3">
      <c r="W2492"/>
      <c r="X2492"/>
    </row>
    <row r="2493" spans="23:24" x14ac:dyDescent="0.3">
      <c r="W2493"/>
      <c r="X2493"/>
    </row>
    <row r="2494" spans="23:24" x14ac:dyDescent="0.3">
      <c r="W2494"/>
      <c r="X2494"/>
    </row>
    <row r="2495" spans="23:24" x14ac:dyDescent="0.3">
      <c r="W2495"/>
      <c r="X2495"/>
    </row>
    <row r="2496" spans="23:24" x14ac:dyDescent="0.3">
      <c r="W2496"/>
      <c r="X2496"/>
    </row>
    <row r="2497" spans="23:24" x14ac:dyDescent="0.3">
      <c r="W2497"/>
      <c r="X2497"/>
    </row>
    <row r="2498" spans="23:24" x14ac:dyDescent="0.3">
      <c r="W2498"/>
      <c r="X2498"/>
    </row>
    <row r="2499" spans="23:24" x14ac:dyDescent="0.3">
      <c r="W2499"/>
      <c r="X2499"/>
    </row>
    <row r="2500" spans="23:24" x14ac:dyDescent="0.3">
      <c r="W2500"/>
      <c r="X2500"/>
    </row>
    <row r="2501" spans="23:24" x14ac:dyDescent="0.3">
      <c r="W2501"/>
      <c r="X2501"/>
    </row>
    <row r="2502" spans="23:24" x14ac:dyDescent="0.3">
      <c r="W2502"/>
      <c r="X2502"/>
    </row>
    <row r="2503" spans="23:24" x14ac:dyDescent="0.3">
      <c r="W2503"/>
      <c r="X2503"/>
    </row>
    <row r="2504" spans="23:24" x14ac:dyDescent="0.3">
      <c r="W2504"/>
      <c r="X2504"/>
    </row>
    <row r="2505" spans="23:24" x14ac:dyDescent="0.3">
      <c r="W2505"/>
      <c r="X2505"/>
    </row>
    <row r="2506" spans="23:24" x14ac:dyDescent="0.3">
      <c r="W2506"/>
      <c r="X2506"/>
    </row>
    <row r="2507" spans="23:24" x14ac:dyDescent="0.3">
      <c r="W2507"/>
      <c r="X2507"/>
    </row>
    <row r="2508" spans="23:24" x14ac:dyDescent="0.3">
      <c r="W2508"/>
      <c r="X2508"/>
    </row>
    <row r="2509" spans="23:24" x14ac:dyDescent="0.3">
      <c r="W2509"/>
      <c r="X2509"/>
    </row>
    <row r="2510" spans="23:24" x14ac:dyDescent="0.3">
      <c r="W2510"/>
      <c r="X2510"/>
    </row>
    <row r="2511" spans="23:24" x14ac:dyDescent="0.3">
      <c r="W2511"/>
      <c r="X2511"/>
    </row>
    <row r="2512" spans="23:24" x14ac:dyDescent="0.3">
      <c r="W2512"/>
      <c r="X2512"/>
    </row>
    <row r="2513" spans="23:24" x14ac:dyDescent="0.3">
      <c r="W2513"/>
      <c r="X2513"/>
    </row>
    <row r="2514" spans="23:24" x14ac:dyDescent="0.3">
      <c r="W2514"/>
      <c r="X2514"/>
    </row>
    <row r="2515" spans="23:24" x14ac:dyDescent="0.3">
      <c r="W2515"/>
      <c r="X2515"/>
    </row>
    <row r="2516" spans="23:24" x14ac:dyDescent="0.3">
      <c r="W2516"/>
      <c r="X2516"/>
    </row>
    <row r="2517" spans="23:24" x14ac:dyDescent="0.3">
      <c r="W2517"/>
      <c r="X2517"/>
    </row>
    <row r="2518" spans="23:24" x14ac:dyDescent="0.3">
      <c r="W2518"/>
      <c r="X2518"/>
    </row>
    <row r="2519" spans="23:24" x14ac:dyDescent="0.3">
      <c r="W2519"/>
      <c r="X2519"/>
    </row>
    <row r="2520" spans="23:24" x14ac:dyDescent="0.3">
      <c r="W2520"/>
      <c r="X2520"/>
    </row>
    <row r="2521" spans="23:24" x14ac:dyDescent="0.3">
      <c r="W2521"/>
      <c r="X2521"/>
    </row>
    <row r="2522" spans="23:24" x14ac:dyDescent="0.3">
      <c r="W2522"/>
      <c r="X2522"/>
    </row>
    <row r="2523" spans="23:24" x14ac:dyDescent="0.3">
      <c r="W2523"/>
      <c r="X2523"/>
    </row>
    <row r="2524" spans="23:24" x14ac:dyDescent="0.3">
      <c r="W2524"/>
      <c r="X2524"/>
    </row>
    <row r="2525" spans="23:24" x14ac:dyDescent="0.3">
      <c r="W2525"/>
      <c r="X2525"/>
    </row>
    <row r="2526" spans="23:24" x14ac:dyDescent="0.3">
      <c r="W2526"/>
      <c r="X2526"/>
    </row>
    <row r="2527" spans="23:24" x14ac:dyDescent="0.3">
      <c r="W2527"/>
      <c r="X2527"/>
    </row>
    <row r="2528" spans="23:24" x14ac:dyDescent="0.3">
      <c r="W2528"/>
      <c r="X2528"/>
    </row>
    <row r="2529" spans="23:24" x14ac:dyDescent="0.3">
      <c r="W2529"/>
      <c r="X2529"/>
    </row>
    <row r="2530" spans="23:24" x14ac:dyDescent="0.3">
      <c r="W2530"/>
      <c r="X2530"/>
    </row>
    <row r="2531" spans="23:24" x14ac:dyDescent="0.3">
      <c r="W2531"/>
      <c r="X2531"/>
    </row>
    <row r="2532" spans="23:24" x14ac:dyDescent="0.3">
      <c r="W2532"/>
      <c r="X2532"/>
    </row>
    <row r="2533" spans="23:24" x14ac:dyDescent="0.3">
      <c r="W2533"/>
      <c r="X2533"/>
    </row>
    <row r="2534" spans="23:24" x14ac:dyDescent="0.3">
      <c r="W2534"/>
      <c r="X2534"/>
    </row>
    <row r="2535" spans="23:24" x14ac:dyDescent="0.3">
      <c r="W2535"/>
      <c r="X2535"/>
    </row>
    <row r="2536" spans="23:24" x14ac:dyDescent="0.3">
      <c r="W2536"/>
      <c r="X2536"/>
    </row>
    <row r="2537" spans="23:24" x14ac:dyDescent="0.3">
      <c r="W2537"/>
      <c r="X2537"/>
    </row>
    <row r="2538" spans="23:24" x14ac:dyDescent="0.3">
      <c r="W2538"/>
      <c r="X2538"/>
    </row>
    <row r="2539" spans="23:24" x14ac:dyDescent="0.3">
      <c r="W2539"/>
      <c r="X2539"/>
    </row>
    <row r="2540" spans="23:24" x14ac:dyDescent="0.3">
      <c r="W2540"/>
      <c r="X2540"/>
    </row>
    <row r="2541" spans="23:24" x14ac:dyDescent="0.3">
      <c r="W2541"/>
      <c r="X2541"/>
    </row>
    <row r="2542" spans="23:24" x14ac:dyDescent="0.3">
      <c r="W2542"/>
      <c r="X2542"/>
    </row>
    <row r="2543" spans="23:24" x14ac:dyDescent="0.3">
      <c r="W2543"/>
      <c r="X2543"/>
    </row>
    <row r="2544" spans="23:24" x14ac:dyDescent="0.3">
      <c r="W2544"/>
      <c r="X2544"/>
    </row>
    <row r="2545" spans="23:24" x14ac:dyDescent="0.3">
      <c r="W2545"/>
      <c r="X2545"/>
    </row>
    <row r="2546" spans="23:24" x14ac:dyDescent="0.3">
      <c r="W2546"/>
      <c r="X2546"/>
    </row>
    <row r="2547" spans="23:24" x14ac:dyDescent="0.3">
      <c r="W2547"/>
      <c r="X2547"/>
    </row>
    <row r="2548" spans="23:24" x14ac:dyDescent="0.3">
      <c r="W2548"/>
      <c r="X2548"/>
    </row>
    <row r="2549" spans="23:24" x14ac:dyDescent="0.3">
      <c r="W2549"/>
      <c r="X2549"/>
    </row>
    <row r="2550" spans="23:24" x14ac:dyDescent="0.3">
      <c r="W2550"/>
      <c r="X2550"/>
    </row>
    <row r="2551" spans="23:24" x14ac:dyDescent="0.3">
      <c r="W2551"/>
      <c r="X2551"/>
    </row>
    <row r="2552" spans="23:24" x14ac:dyDescent="0.3">
      <c r="W2552"/>
      <c r="X2552"/>
    </row>
    <row r="2553" spans="23:24" x14ac:dyDescent="0.3">
      <c r="W2553"/>
      <c r="X2553"/>
    </row>
    <row r="2554" spans="23:24" x14ac:dyDescent="0.3">
      <c r="W2554"/>
      <c r="X2554"/>
    </row>
    <row r="2555" spans="23:24" x14ac:dyDescent="0.3">
      <c r="W2555"/>
      <c r="X2555"/>
    </row>
    <row r="2556" spans="23:24" x14ac:dyDescent="0.3">
      <c r="W2556"/>
      <c r="X2556"/>
    </row>
    <row r="2557" spans="23:24" x14ac:dyDescent="0.3">
      <c r="W2557"/>
      <c r="X2557"/>
    </row>
    <row r="2558" spans="23:24" x14ac:dyDescent="0.3">
      <c r="W2558"/>
      <c r="X2558"/>
    </row>
    <row r="2559" spans="23:24" x14ac:dyDescent="0.3">
      <c r="W2559"/>
      <c r="X2559"/>
    </row>
    <row r="2560" spans="23:24" x14ac:dyDescent="0.3">
      <c r="W2560"/>
      <c r="X2560"/>
    </row>
    <row r="2561" spans="23:24" x14ac:dyDescent="0.3">
      <c r="W2561"/>
      <c r="X2561"/>
    </row>
    <row r="2562" spans="23:24" x14ac:dyDescent="0.3">
      <c r="W2562"/>
      <c r="X2562"/>
    </row>
    <row r="2563" spans="23:24" x14ac:dyDescent="0.3">
      <c r="W2563"/>
      <c r="X2563"/>
    </row>
    <row r="2564" spans="23:24" x14ac:dyDescent="0.3">
      <c r="W2564"/>
      <c r="X2564"/>
    </row>
    <row r="2565" spans="23:24" x14ac:dyDescent="0.3">
      <c r="W2565"/>
      <c r="X2565"/>
    </row>
    <row r="2566" spans="23:24" x14ac:dyDescent="0.3">
      <c r="W2566"/>
      <c r="X2566"/>
    </row>
    <row r="2567" spans="23:24" x14ac:dyDescent="0.3">
      <c r="W2567"/>
      <c r="X2567"/>
    </row>
    <row r="2568" spans="23:24" x14ac:dyDescent="0.3">
      <c r="W2568"/>
      <c r="X2568"/>
    </row>
    <row r="2569" spans="23:24" x14ac:dyDescent="0.3">
      <c r="W2569"/>
      <c r="X2569"/>
    </row>
    <row r="2570" spans="23:24" x14ac:dyDescent="0.3">
      <c r="W2570"/>
      <c r="X2570"/>
    </row>
    <row r="2571" spans="23:24" x14ac:dyDescent="0.3">
      <c r="W2571"/>
      <c r="X2571"/>
    </row>
    <row r="2572" spans="23:24" x14ac:dyDescent="0.3">
      <c r="W2572"/>
      <c r="X2572"/>
    </row>
    <row r="2573" spans="23:24" x14ac:dyDescent="0.3">
      <c r="W2573"/>
      <c r="X2573"/>
    </row>
    <row r="2574" spans="23:24" x14ac:dyDescent="0.3">
      <c r="W2574"/>
      <c r="X2574"/>
    </row>
    <row r="2575" spans="23:24" x14ac:dyDescent="0.3">
      <c r="W2575"/>
      <c r="X2575"/>
    </row>
    <row r="2576" spans="23:24" x14ac:dyDescent="0.3">
      <c r="W2576"/>
      <c r="X2576"/>
    </row>
    <row r="2577" spans="23:24" x14ac:dyDescent="0.3">
      <c r="W2577"/>
      <c r="X2577"/>
    </row>
    <row r="2578" spans="23:24" x14ac:dyDescent="0.3">
      <c r="W2578"/>
      <c r="X2578"/>
    </row>
    <row r="2579" spans="23:24" x14ac:dyDescent="0.3">
      <c r="W2579"/>
      <c r="X2579"/>
    </row>
    <row r="2580" spans="23:24" x14ac:dyDescent="0.3">
      <c r="W2580"/>
      <c r="X2580"/>
    </row>
    <row r="2581" spans="23:24" x14ac:dyDescent="0.3">
      <c r="W2581"/>
      <c r="X2581"/>
    </row>
    <row r="2582" spans="23:24" x14ac:dyDescent="0.3">
      <c r="W2582"/>
      <c r="X2582"/>
    </row>
    <row r="2583" spans="23:24" x14ac:dyDescent="0.3">
      <c r="W2583"/>
      <c r="X2583"/>
    </row>
    <row r="2584" spans="23:24" x14ac:dyDescent="0.3">
      <c r="W2584"/>
      <c r="X2584"/>
    </row>
    <row r="2585" spans="23:24" x14ac:dyDescent="0.3">
      <c r="W2585"/>
      <c r="X2585"/>
    </row>
    <row r="2586" spans="23:24" x14ac:dyDescent="0.3">
      <c r="W2586"/>
      <c r="X2586"/>
    </row>
    <row r="2587" spans="23:24" x14ac:dyDescent="0.3">
      <c r="W2587"/>
      <c r="X2587"/>
    </row>
    <row r="2588" spans="23:24" x14ac:dyDescent="0.3">
      <c r="W2588"/>
      <c r="X2588"/>
    </row>
    <row r="2589" spans="23:24" x14ac:dyDescent="0.3">
      <c r="W2589"/>
      <c r="X2589"/>
    </row>
    <row r="2590" spans="23:24" x14ac:dyDescent="0.3">
      <c r="W2590"/>
      <c r="X2590"/>
    </row>
    <row r="2591" spans="23:24" x14ac:dyDescent="0.3">
      <c r="W2591"/>
      <c r="X2591"/>
    </row>
    <row r="2592" spans="23:24" x14ac:dyDescent="0.3">
      <c r="W2592"/>
      <c r="X2592"/>
    </row>
    <row r="2593" spans="23:24" x14ac:dyDescent="0.3">
      <c r="W2593"/>
      <c r="X2593"/>
    </row>
    <row r="2594" spans="23:24" x14ac:dyDescent="0.3">
      <c r="W2594"/>
      <c r="X2594"/>
    </row>
    <row r="2595" spans="23:24" x14ac:dyDescent="0.3">
      <c r="W2595"/>
      <c r="X2595"/>
    </row>
    <row r="2596" spans="23:24" x14ac:dyDescent="0.3">
      <c r="W2596"/>
      <c r="X2596"/>
    </row>
    <row r="2597" spans="23:24" x14ac:dyDescent="0.3">
      <c r="W2597"/>
      <c r="X2597"/>
    </row>
    <row r="2598" spans="23:24" x14ac:dyDescent="0.3">
      <c r="W2598"/>
      <c r="X2598"/>
    </row>
    <row r="2599" spans="23:24" x14ac:dyDescent="0.3">
      <c r="W2599"/>
      <c r="X2599"/>
    </row>
    <row r="2600" spans="23:24" x14ac:dyDescent="0.3">
      <c r="W2600"/>
      <c r="X2600"/>
    </row>
    <row r="2601" spans="23:24" x14ac:dyDescent="0.3">
      <c r="W2601"/>
      <c r="X2601"/>
    </row>
    <row r="2602" spans="23:24" x14ac:dyDescent="0.3">
      <c r="W2602"/>
      <c r="X2602"/>
    </row>
    <row r="2603" spans="23:24" x14ac:dyDescent="0.3">
      <c r="W2603"/>
      <c r="X2603"/>
    </row>
    <row r="2604" spans="23:24" x14ac:dyDescent="0.3">
      <c r="W2604"/>
      <c r="X2604"/>
    </row>
    <row r="2605" spans="23:24" x14ac:dyDescent="0.3">
      <c r="W2605"/>
      <c r="X2605"/>
    </row>
    <row r="2606" spans="23:24" x14ac:dyDescent="0.3">
      <c r="W2606"/>
      <c r="X2606"/>
    </row>
    <row r="2607" spans="23:24" x14ac:dyDescent="0.3">
      <c r="W2607"/>
      <c r="X2607"/>
    </row>
    <row r="2608" spans="23:24" x14ac:dyDescent="0.3">
      <c r="W2608"/>
      <c r="X2608"/>
    </row>
    <row r="2609" spans="23:24" x14ac:dyDescent="0.3">
      <c r="W2609"/>
      <c r="X2609"/>
    </row>
    <row r="2610" spans="23:24" x14ac:dyDescent="0.3">
      <c r="W2610"/>
      <c r="X2610"/>
    </row>
    <row r="2611" spans="23:24" x14ac:dyDescent="0.3">
      <c r="W2611"/>
      <c r="X2611"/>
    </row>
    <row r="2612" spans="23:24" x14ac:dyDescent="0.3">
      <c r="W2612"/>
      <c r="X2612"/>
    </row>
    <row r="2613" spans="23:24" x14ac:dyDescent="0.3">
      <c r="W2613"/>
      <c r="X2613"/>
    </row>
    <row r="2614" spans="23:24" x14ac:dyDescent="0.3">
      <c r="W2614"/>
      <c r="X2614"/>
    </row>
    <row r="2615" spans="23:24" x14ac:dyDescent="0.3">
      <c r="W2615"/>
      <c r="X2615"/>
    </row>
    <row r="2616" spans="23:24" x14ac:dyDescent="0.3">
      <c r="W2616"/>
      <c r="X2616"/>
    </row>
    <row r="2617" spans="23:24" x14ac:dyDescent="0.3">
      <c r="W2617"/>
      <c r="X2617"/>
    </row>
    <row r="2618" spans="23:24" x14ac:dyDescent="0.3">
      <c r="W2618"/>
      <c r="X2618"/>
    </row>
    <row r="2619" spans="23:24" x14ac:dyDescent="0.3">
      <c r="W2619"/>
      <c r="X2619"/>
    </row>
    <row r="2620" spans="23:24" x14ac:dyDescent="0.3">
      <c r="W2620"/>
      <c r="X2620"/>
    </row>
    <row r="2621" spans="23:24" x14ac:dyDescent="0.3">
      <c r="W2621"/>
      <c r="X2621"/>
    </row>
    <row r="2622" spans="23:24" x14ac:dyDescent="0.3">
      <c r="W2622"/>
      <c r="X2622"/>
    </row>
    <row r="2623" spans="23:24" x14ac:dyDescent="0.3">
      <c r="W2623"/>
      <c r="X2623"/>
    </row>
    <row r="2624" spans="23:24" x14ac:dyDescent="0.3">
      <c r="W2624"/>
      <c r="X2624"/>
    </row>
    <row r="2625" spans="23:24" x14ac:dyDescent="0.3">
      <c r="W2625"/>
      <c r="X2625"/>
    </row>
    <row r="2626" spans="23:24" x14ac:dyDescent="0.3">
      <c r="W2626"/>
      <c r="X2626"/>
    </row>
    <row r="2627" spans="23:24" x14ac:dyDescent="0.3">
      <c r="W2627"/>
      <c r="X2627"/>
    </row>
    <row r="2628" spans="23:24" x14ac:dyDescent="0.3">
      <c r="W2628"/>
      <c r="X2628"/>
    </row>
    <row r="2629" spans="23:24" x14ac:dyDescent="0.3">
      <c r="W2629"/>
      <c r="X2629"/>
    </row>
    <row r="2630" spans="23:24" x14ac:dyDescent="0.3">
      <c r="W2630"/>
      <c r="X2630"/>
    </row>
    <row r="2631" spans="23:24" x14ac:dyDescent="0.3">
      <c r="W2631"/>
      <c r="X2631"/>
    </row>
    <row r="2632" spans="23:24" x14ac:dyDescent="0.3">
      <c r="W2632"/>
      <c r="X2632"/>
    </row>
    <row r="2633" spans="23:24" x14ac:dyDescent="0.3">
      <c r="W2633"/>
      <c r="X2633"/>
    </row>
    <row r="2634" spans="23:24" x14ac:dyDescent="0.3">
      <c r="W2634"/>
      <c r="X2634"/>
    </row>
    <row r="2635" spans="23:24" x14ac:dyDescent="0.3">
      <c r="W2635"/>
      <c r="X2635"/>
    </row>
    <row r="2636" spans="23:24" x14ac:dyDescent="0.3">
      <c r="W2636"/>
      <c r="X2636"/>
    </row>
    <row r="2637" spans="23:24" x14ac:dyDescent="0.3">
      <c r="W2637"/>
      <c r="X2637"/>
    </row>
    <row r="2638" spans="23:24" x14ac:dyDescent="0.3">
      <c r="W2638"/>
      <c r="X2638"/>
    </row>
    <row r="2639" spans="23:24" x14ac:dyDescent="0.3">
      <c r="W2639"/>
      <c r="X2639"/>
    </row>
    <row r="2640" spans="23:24" x14ac:dyDescent="0.3">
      <c r="W2640"/>
      <c r="X2640"/>
    </row>
    <row r="2641" spans="23:24" x14ac:dyDescent="0.3">
      <c r="W2641"/>
      <c r="X2641"/>
    </row>
    <row r="2642" spans="23:24" x14ac:dyDescent="0.3">
      <c r="W2642"/>
      <c r="X2642"/>
    </row>
    <row r="2643" spans="23:24" x14ac:dyDescent="0.3">
      <c r="W2643"/>
      <c r="X2643"/>
    </row>
    <row r="2644" spans="23:24" x14ac:dyDescent="0.3">
      <c r="W2644"/>
      <c r="X2644"/>
    </row>
    <row r="2645" spans="23:24" x14ac:dyDescent="0.3">
      <c r="W2645"/>
      <c r="X2645"/>
    </row>
    <row r="2646" spans="23:24" x14ac:dyDescent="0.3">
      <c r="W2646"/>
      <c r="X2646"/>
    </row>
    <row r="2647" spans="23:24" x14ac:dyDescent="0.3">
      <c r="W2647"/>
      <c r="X2647"/>
    </row>
    <row r="2648" spans="23:24" x14ac:dyDescent="0.3">
      <c r="W2648"/>
      <c r="X2648"/>
    </row>
    <row r="2649" spans="23:24" x14ac:dyDescent="0.3">
      <c r="W2649"/>
      <c r="X2649"/>
    </row>
    <row r="2650" spans="23:24" x14ac:dyDescent="0.3">
      <c r="W2650"/>
      <c r="X2650"/>
    </row>
    <row r="2651" spans="23:24" x14ac:dyDescent="0.3">
      <c r="W2651"/>
      <c r="X2651"/>
    </row>
    <row r="2652" spans="23:24" x14ac:dyDescent="0.3">
      <c r="W2652"/>
      <c r="X2652"/>
    </row>
    <row r="2653" spans="23:24" x14ac:dyDescent="0.3">
      <c r="W2653"/>
      <c r="X2653"/>
    </row>
    <row r="2654" spans="23:24" x14ac:dyDescent="0.3">
      <c r="W2654"/>
      <c r="X2654"/>
    </row>
    <row r="2655" spans="23:24" x14ac:dyDescent="0.3">
      <c r="W2655"/>
      <c r="X2655"/>
    </row>
    <row r="2656" spans="23:24" x14ac:dyDescent="0.3">
      <c r="W2656"/>
      <c r="X2656"/>
    </row>
    <row r="2657" spans="23:24" x14ac:dyDescent="0.3">
      <c r="W2657"/>
      <c r="X2657"/>
    </row>
    <row r="2658" spans="23:24" x14ac:dyDescent="0.3">
      <c r="W2658"/>
      <c r="X2658"/>
    </row>
    <row r="2659" spans="23:24" x14ac:dyDescent="0.3">
      <c r="W2659"/>
      <c r="X2659"/>
    </row>
    <row r="2660" spans="23:24" x14ac:dyDescent="0.3">
      <c r="W2660"/>
      <c r="X2660"/>
    </row>
    <row r="2661" spans="23:24" x14ac:dyDescent="0.3">
      <c r="W2661"/>
      <c r="X2661"/>
    </row>
    <row r="2662" spans="23:24" x14ac:dyDescent="0.3">
      <c r="W2662"/>
      <c r="X2662"/>
    </row>
    <row r="2663" spans="23:24" x14ac:dyDescent="0.3">
      <c r="W2663"/>
      <c r="X2663"/>
    </row>
    <row r="2664" spans="23:24" x14ac:dyDescent="0.3">
      <c r="W2664"/>
      <c r="X2664"/>
    </row>
    <row r="2665" spans="23:24" x14ac:dyDescent="0.3">
      <c r="W2665"/>
      <c r="X2665"/>
    </row>
    <row r="2666" spans="23:24" x14ac:dyDescent="0.3">
      <c r="W2666"/>
      <c r="X2666"/>
    </row>
    <row r="2667" spans="23:24" x14ac:dyDescent="0.3">
      <c r="W2667"/>
      <c r="X2667"/>
    </row>
    <row r="2668" spans="23:24" x14ac:dyDescent="0.3">
      <c r="W2668"/>
      <c r="X2668"/>
    </row>
    <row r="2669" spans="23:24" x14ac:dyDescent="0.3">
      <c r="W2669"/>
      <c r="X2669"/>
    </row>
    <row r="2670" spans="23:24" x14ac:dyDescent="0.3">
      <c r="W2670"/>
      <c r="X2670"/>
    </row>
    <row r="2671" spans="23:24" x14ac:dyDescent="0.3">
      <c r="W2671"/>
      <c r="X2671"/>
    </row>
    <row r="2672" spans="23:24" x14ac:dyDescent="0.3">
      <c r="W2672"/>
      <c r="X2672"/>
    </row>
    <row r="2673" spans="23:24" x14ac:dyDescent="0.3">
      <c r="W2673"/>
      <c r="X2673"/>
    </row>
    <row r="2674" spans="23:24" x14ac:dyDescent="0.3">
      <c r="W2674"/>
      <c r="X2674"/>
    </row>
    <row r="2675" spans="23:24" x14ac:dyDescent="0.3">
      <c r="W2675"/>
      <c r="X2675"/>
    </row>
    <row r="2676" spans="23:24" x14ac:dyDescent="0.3">
      <c r="W2676"/>
      <c r="X2676"/>
    </row>
    <row r="2677" spans="23:24" x14ac:dyDescent="0.3">
      <c r="W2677"/>
      <c r="X2677"/>
    </row>
    <row r="2678" spans="23:24" x14ac:dyDescent="0.3">
      <c r="W2678"/>
      <c r="X2678"/>
    </row>
    <row r="2679" spans="23:24" x14ac:dyDescent="0.3">
      <c r="W2679"/>
      <c r="X2679"/>
    </row>
    <row r="2680" spans="23:24" x14ac:dyDescent="0.3">
      <c r="W2680"/>
      <c r="X2680"/>
    </row>
    <row r="2681" spans="23:24" x14ac:dyDescent="0.3">
      <c r="W2681"/>
      <c r="X2681"/>
    </row>
    <row r="2682" spans="23:24" x14ac:dyDescent="0.3">
      <c r="W2682"/>
      <c r="X2682"/>
    </row>
    <row r="2683" spans="23:24" x14ac:dyDescent="0.3">
      <c r="W2683"/>
      <c r="X2683"/>
    </row>
    <row r="2684" spans="23:24" x14ac:dyDescent="0.3">
      <c r="W2684"/>
      <c r="X2684"/>
    </row>
    <row r="2685" spans="23:24" x14ac:dyDescent="0.3">
      <c r="W2685"/>
      <c r="X2685"/>
    </row>
    <row r="2686" spans="23:24" x14ac:dyDescent="0.3">
      <c r="W2686"/>
      <c r="X2686"/>
    </row>
    <row r="2687" spans="23:24" x14ac:dyDescent="0.3">
      <c r="W2687"/>
      <c r="X2687"/>
    </row>
    <row r="2688" spans="23:24" x14ac:dyDescent="0.3">
      <c r="W2688"/>
      <c r="X2688"/>
    </row>
    <row r="2689" spans="23:24" x14ac:dyDescent="0.3">
      <c r="W2689"/>
      <c r="X2689"/>
    </row>
    <row r="2690" spans="23:24" x14ac:dyDescent="0.3">
      <c r="W2690"/>
      <c r="X2690"/>
    </row>
    <row r="2691" spans="23:24" x14ac:dyDescent="0.3">
      <c r="W2691"/>
      <c r="X2691"/>
    </row>
    <row r="2692" spans="23:24" x14ac:dyDescent="0.3">
      <c r="W2692"/>
      <c r="X2692"/>
    </row>
    <row r="2693" spans="23:24" x14ac:dyDescent="0.3">
      <c r="W2693"/>
      <c r="X2693"/>
    </row>
    <row r="2694" spans="23:24" x14ac:dyDescent="0.3">
      <c r="W2694"/>
      <c r="X2694"/>
    </row>
    <row r="2695" spans="23:24" x14ac:dyDescent="0.3">
      <c r="W2695"/>
      <c r="X2695"/>
    </row>
    <row r="2696" spans="23:24" x14ac:dyDescent="0.3">
      <c r="W2696"/>
      <c r="X2696"/>
    </row>
    <row r="2697" spans="23:24" x14ac:dyDescent="0.3">
      <c r="W2697"/>
      <c r="X2697"/>
    </row>
    <row r="2698" spans="23:24" x14ac:dyDescent="0.3">
      <c r="W2698"/>
      <c r="X2698"/>
    </row>
    <row r="2699" spans="23:24" x14ac:dyDescent="0.3">
      <c r="W2699"/>
      <c r="X2699"/>
    </row>
    <row r="2700" spans="23:24" x14ac:dyDescent="0.3">
      <c r="W2700"/>
      <c r="X2700"/>
    </row>
    <row r="2701" spans="23:24" x14ac:dyDescent="0.3">
      <c r="W2701"/>
      <c r="X2701"/>
    </row>
    <row r="2702" spans="23:24" x14ac:dyDescent="0.3">
      <c r="W2702"/>
      <c r="X2702"/>
    </row>
    <row r="2703" spans="23:24" x14ac:dyDescent="0.3">
      <c r="W2703"/>
      <c r="X2703"/>
    </row>
    <row r="2704" spans="23:24" x14ac:dyDescent="0.3">
      <c r="W2704"/>
      <c r="X2704"/>
    </row>
    <row r="2705" spans="23:24" x14ac:dyDescent="0.3">
      <c r="W2705"/>
      <c r="X2705"/>
    </row>
    <row r="2706" spans="23:24" x14ac:dyDescent="0.3">
      <c r="W2706"/>
      <c r="X2706"/>
    </row>
    <row r="2707" spans="23:24" x14ac:dyDescent="0.3">
      <c r="W2707"/>
      <c r="X2707"/>
    </row>
    <row r="2708" spans="23:24" x14ac:dyDescent="0.3">
      <c r="W2708"/>
      <c r="X2708"/>
    </row>
    <row r="2709" spans="23:24" x14ac:dyDescent="0.3">
      <c r="W2709"/>
      <c r="X2709"/>
    </row>
    <row r="2710" spans="23:24" x14ac:dyDescent="0.3">
      <c r="W2710"/>
      <c r="X2710"/>
    </row>
    <row r="2711" spans="23:24" x14ac:dyDescent="0.3">
      <c r="W2711"/>
      <c r="X2711"/>
    </row>
    <row r="2712" spans="23:24" x14ac:dyDescent="0.3">
      <c r="W2712"/>
      <c r="X2712"/>
    </row>
    <row r="2713" spans="23:24" x14ac:dyDescent="0.3">
      <c r="W2713"/>
      <c r="X2713"/>
    </row>
    <row r="2714" spans="23:24" x14ac:dyDescent="0.3">
      <c r="W2714"/>
      <c r="X2714"/>
    </row>
    <row r="2715" spans="23:24" x14ac:dyDescent="0.3">
      <c r="W2715"/>
      <c r="X2715"/>
    </row>
    <row r="2716" spans="23:24" x14ac:dyDescent="0.3">
      <c r="W2716"/>
      <c r="X2716"/>
    </row>
    <row r="2717" spans="23:24" x14ac:dyDescent="0.3">
      <c r="W2717"/>
      <c r="X2717"/>
    </row>
    <row r="2718" spans="23:24" x14ac:dyDescent="0.3">
      <c r="W2718"/>
      <c r="X2718"/>
    </row>
    <row r="2719" spans="23:24" x14ac:dyDescent="0.3">
      <c r="W2719"/>
      <c r="X2719"/>
    </row>
    <row r="2720" spans="23:24" x14ac:dyDescent="0.3">
      <c r="W2720"/>
      <c r="X2720"/>
    </row>
    <row r="2721" spans="23:24" x14ac:dyDescent="0.3">
      <c r="W2721"/>
      <c r="X2721"/>
    </row>
    <row r="2722" spans="23:24" x14ac:dyDescent="0.3">
      <c r="W2722"/>
      <c r="X2722"/>
    </row>
    <row r="2723" spans="23:24" x14ac:dyDescent="0.3">
      <c r="W2723"/>
      <c r="X2723"/>
    </row>
    <row r="2724" spans="23:24" x14ac:dyDescent="0.3">
      <c r="W2724"/>
      <c r="X2724"/>
    </row>
    <row r="2725" spans="23:24" x14ac:dyDescent="0.3">
      <c r="W2725"/>
      <c r="X2725"/>
    </row>
    <row r="2726" spans="23:24" x14ac:dyDescent="0.3">
      <c r="W2726"/>
      <c r="X2726"/>
    </row>
    <row r="2727" spans="23:24" x14ac:dyDescent="0.3">
      <c r="W2727"/>
      <c r="X2727"/>
    </row>
    <row r="2728" spans="23:24" x14ac:dyDescent="0.3">
      <c r="W2728"/>
      <c r="X2728"/>
    </row>
    <row r="2729" spans="23:24" x14ac:dyDescent="0.3">
      <c r="W2729"/>
      <c r="X2729"/>
    </row>
    <row r="2730" spans="23:24" x14ac:dyDescent="0.3">
      <c r="W2730"/>
      <c r="X2730"/>
    </row>
    <row r="2731" spans="23:24" x14ac:dyDescent="0.3">
      <c r="W2731"/>
      <c r="X2731"/>
    </row>
    <row r="2732" spans="23:24" x14ac:dyDescent="0.3">
      <c r="W2732"/>
      <c r="X2732"/>
    </row>
    <row r="2733" spans="23:24" x14ac:dyDescent="0.3">
      <c r="W2733"/>
      <c r="X2733"/>
    </row>
    <row r="2734" spans="23:24" x14ac:dyDescent="0.3">
      <c r="W2734"/>
      <c r="X2734"/>
    </row>
    <row r="2735" spans="23:24" x14ac:dyDescent="0.3">
      <c r="W2735"/>
      <c r="X2735"/>
    </row>
    <row r="2736" spans="23:24" x14ac:dyDescent="0.3">
      <c r="W2736"/>
      <c r="X2736"/>
    </row>
    <row r="2737" spans="23:24" x14ac:dyDescent="0.3">
      <c r="W2737"/>
      <c r="X2737"/>
    </row>
    <row r="2738" spans="23:24" x14ac:dyDescent="0.3">
      <c r="W2738"/>
      <c r="X2738"/>
    </row>
    <row r="2739" spans="23:24" x14ac:dyDescent="0.3">
      <c r="W2739"/>
      <c r="X2739"/>
    </row>
    <row r="2740" spans="23:24" x14ac:dyDescent="0.3">
      <c r="W2740"/>
      <c r="X2740"/>
    </row>
    <row r="2741" spans="23:24" x14ac:dyDescent="0.3">
      <c r="W2741"/>
      <c r="X2741"/>
    </row>
    <row r="2742" spans="23:24" x14ac:dyDescent="0.3">
      <c r="W2742"/>
      <c r="X2742"/>
    </row>
    <row r="2743" spans="23:24" x14ac:dyDescent="0.3">
      <c r="W2743"/>
      <c r="X2743"/>
    </row>
    <row r="2744" spans="23:24" x14ac:dyDescent="0.3">
      <c r="W2744"/>
      <c r="X2744"/>
    </row>
    <row r="2745" spans="23:24" x14ac:dyDescent="0.3">
      <c r="W2745"/>
      <c r="X2745"/>
    </row>
    <row r="2746" spans="23:24" x14ac:dyDescent="0.3">
      <c r="W2746"/>
      <c r="X2746"/>
    </row>
    <row r="2747" spans="23:24" x14ac:dyDescent="0.3">
      <c r="W2747"/>
      <c r="X2747"/>
    </row>
    <row r="2748" spans="23:24" x14ac:dyDescent="0.3">
      <c r="W2748"/>
      <c r="X2748"/>
    </row>
    <row r="2749" spans="23:24" x14ac:dyDescent="0.3">
      <c r="W2749"/>
      <c r="X2749"/>
    </row>
    <row r="2750" spans="23:24" x14ac:dyDescent="0.3">
      <c r="W2750"/>
      <c r="X2750"/>
    </row>
    <row r="2751" spans="23:24" x14ac:dyDescent="0.3">
      <c r="W2751"/>
      <c r="X2751"/>
    </row>
    <row r="2752" spans="23:24" x14ac:dyDescent="0.3">
      <c r="W2752"/>
      <c r="X2752"/>
    </row>
    <row r="2753" spans="23:24" x14ac:dyDescent="0.3">
      <c r="W2753"/>
      <c r="X2753"/>
    </row>
    <row r="2754" spans="23:24" x14ac:dyDescent="0.3">
      <c r="W2754"/>
      <c r="X2754"/>
    </row>
    <row r="2755" spans="23:24" x14ac:dyDescent="0.3">
      <c r="W2755"/>
      <c r="X2755"/>
    </row>
    <row r="2756" spans="23:24" x14ac:dyDescent="0.3">
      <c r="W2756"/>
      <c r="X2756"/>
    </row>
    <row r="2757" spans="23:24" x14ac:dyDescent="0.3">
      <c r="W2757"/>
      <c r="X2757"/>
    </row>
    <row r="2758" spans="23:24" x14ac:dyDescent="0.3">
      <c r="W2758"/>
      <c r="X2758"/>
    </row>
    <row r="2759" spans="23:24" x14ac:dyDescent="0.3">
      <c r="W2759"/>
      <c r="X2759"/>
    </row>
    <row r="2760" spans="23:24" x14ac:dyDescent="0.3">
      <c r="W2760"/>
      <c r="X2760"/>
    </row>
    <row r="2761" spans="23:24" x14ac:dyDescent="0.3">
      <c r="W2761"/>
      <c r="X2761"/>
    </row>
    <row r="2762" spans="23:24" x14ac:dyDescent="0.3">
      <c r="W2762"/>
      <c r="X2762"/>
    </row>
    <row r="2763" spans="23:24" x14ac:dyDescent="0.3">
      <c r="W2763"/>
      <c r="X2763"/>
    </row>
    <row r="2764" spans="23:24" x14ac:dyDescent="0.3">
      <c r="W2764"/>
      <c r="X2764"/>
    </row>
    <row r="2765" spans="23:24" x14ac:dyDescent="0.3">
      <c r="W2765"/>
      <c r="X2765"/>
    </row>
    <row r="2766" spans="23:24" x14ac:dyDescent="0.3">
      <c r="W2766"/>
      <c r="X2766"/>
    </row>
    <row r="2767" spans="23:24" x14ac:dyDescent="0.3">
      <c r="W2767"/>
      <c r="X2767"/>
    </row>
    <row r="2768" spans="23:24" x14ac:dyDescent="0.3">
      <c r="W2768"/>
      <c r="X2768"/>
    </row>
    <row r="2769" spans="23:24" x14ac:dyDescent="0.3">
      <c r="W2769"/>
      <c r="X2769"/>
    </row>
    <row r="2770" spans="23:24" x14ac:dyDescent="0.3">
      <c r="W2770"/>
      <c r="X2770"/>
    </row>
    <row r="2771" spans="23:24" x14ac:dyDescent="0.3">
      <c r="W2771"/>
      <c r="X2771"/>
    </row>
    <row r="2772" spans="23:24" x14ac:dyDescent="0.3">
      <c r="W2772"/>
      <c r="X2772"/>
    </row>
    <row r="2773" spans="23:24" x14ac:dyDescent="0.3">
      <c r="W2773"/>
      <c r="X2773"/>
    </row>
    <row r="2774" spans="23:24" x14ac:dyDescent="0.3">
      <c r="W2774"/>
      <c r="X2774"/>
    </row>
    <row r="2775" spans="23:24" x14ac:dyDescent="0.3">
      <c r="W2775"/>
      <c r="X2775"/>
    </row>
    <row r="2776" spans="23:24" x14ac:dyDescent="0.3">
      <c r="W2776"/>
      <c r="X2776"/>
    </row>
    <row r="2777" spans="23:24" x14ac:dyDescent="0.3">
      <c r="W2777"/>
      <c r="X2777"/>
    </row>
    <row r="2778" spans="23:24" x14ac:dyDescent="0.3">
      <c r="W2778"/>
      <c r="X2778"/>
    </row>
    <row r="2779" spans="23:24" x14ac:dyDescent="0.3">
      <c r="W2779"/>
      <c r="X2779"/>
    </row>
    <row r="2780" spans="23:24" x14ac:dyDescent="0.3">
      <c r="W2780"/>
      <c r="X2780"/>
    </row>
    <row r="2781" spans="23:24" x14ac:dyDescent="0.3">
      <c r="W2781"/>
      <c r="X2781"/>
    </row>
    <row r="2782" spans="23:24" x14ac:dyDescent="0.3">
      <c r="W2782"/>
      <c r="X2782"/>
    </row>
    <row r="2783" spans="23:24" x14ac:dyDescent="0.3">
      <c r="W2783"/>
      <c r="X2783"/>
    </row>
    <row r="2784" spans="23:24" x14ac:dyDescent="0.3">
      <c r="W2784"/>
      <c r="X2784"/>
    </row>
    <row r="2785" spans="23:24" x14ac:dyDescent="0.3">
      <c r="W2785"/>
      <c r="X2785"/>
    </row>
    <row r="2786" spans="23:24" x14ac:dyDescent="0.3">
      <c r="W2786"/>
      <c r="X2786"/>
    </row>
    <row r="2787" spans="23:24" x14ac:dyDescent="0.3">
      <c r="W2787"/>
      <c r="X2787"/>
    </row>
    <row r="2788" spans="23:24" x14ac:dyDescent="0.3">
      <c r="W2788"/>
      <c r="X2788"/>
    </row>
    <row r="2789" spans="23:24" x14ac:dyDescent="0.3">
      <c r="W2789"/>
      <c r="X2789"/>
    </row>
    <row r="2790" spans="23:24" x14ac:dyDescent="0.3">
      <c r="W2790"/>
      <c r="X2790"/>
    </row>
    <row r="2791" spans="23:24" x14ac:dyDescent="0.3">
      <c r="W2791"/>
      <c r="X2791"/>
    </row>
    <row r="2792" spans="23:24" x14ac:dyDescent="0.3">
      <c r="W2792"/>
      <c r="X2792"/>
    </row>
    <row r="2793" spans="23:24" x14ac:dyDescent="0.3">
      <c r="W2793"/>
      <c r="X2793"/>
    </row>
    <row r="2794" spans="23:24" x14ac:dyDescent="0.3">
      <c r="W2794"/>
      <c r="X2794"/>
    </row>
    <row r="2795" spans="23:24" x14ac:dyDescent="0.3">
      <c r="W2795"/>
      <c r="X2795"/>
    </row>
    <row r="2796" spans="23:24" x14ac:dyDescent="0.3">
      <c r="W2796"/>
      <c r="X2796"/>
    </row>
    <row r="2797" spans="23:24" x14ac:dyDescent="0.3">
      <c r="W2797"/>
      <c r="X2797"/>
    </row>
    <row r="2798" spans="23:24" x14ac:dyDescent="0.3">
      <c r="W2798"/>
      <c r="X2798"/>
    </row>
    <row r="2799" spans="23:24" x14ac:dyDescent="0.3">
      <c r="W2799"/>
      <c r="X2799"/>
    </row>
    <row r="2800" spans="23:24" x14ac:dyDescent="0.3">
      <c r="W2800"/>
      <c r="X2800"/>
    </row>
    <row r="2801" spans="23:24" x14ac:dyDescent="0.3">
      <c r="W2801"/>
      <c r="X2801"/>
    </row>
    <row r="2802" spans="23:24" x14ac:dyDescent="0.3">
      <c r="W2802"/>
      <c r="X2802"/>
    </row>
    <row r="2803" spans="23:24" x14ac:dyDescent="0.3">
      <c r="W2803"/>
      <c r="X2803"/>
    </row>
    <row r="2804" spans="23:24" x14ac:dyDescent="0.3">
      <c r="W2804"/>
      <c r="X2804"/>
    </row>
    <row r="2805" spans="23:24" x14ac:dyDescent="0.3">
      <c r="W2805"/>
      <c r="X2805"/>
    </row>
    <row r="2806" spans="23:24" x14ac:dyDescent="0.3">
      <c r="W2806"/>
      <c r="X2806"/>
    </row>
    <row r="2807" spans="23:24" x14ac:dyDescent="0.3">
      <c r="W2807"/>
      <c r="X2807"/>
    </row>
    <row r="2808" spans="23:24" x14ac:dyDescent="0.3">
      <c r="W2808"/>
      <c r="X2808"/>
    </row>
    <row r="2809" spans="23:24" x14ac:dyDescent="0.3">
      <c r="W2809"/>
      <c r="X2809"/>
    </row>
    <row r="2810" spans="23:24" x14ac:dyDescent="0.3">
      <c r="W2810"/>
      <c r="X2810"/>
    </row>
    <row r="2811" spans="23:24" x14ac:dyDescent="0.3">
      <c r="W2811"/>
      <c r="X2811"/>
    </row>
    <row r="2812" spans="23:24" x14ac:dyDescent="0.3">
      <c r="W2812"/>
      <c r="X2812"/>
    </row>
    <row r="2813" spans="23:24" x14ac:dyDescent="0.3">
      <c r="W2813"/>
      <c r="X2813"/>
    </row>
    <row r="2814" spans="23:24" x14ac:dyDescent="0.3">
      <c r="W2814"/>
      <c r="X2814"/>
    </row>
    <row r="2815" spans="23:24" x14ac:dyDescent="0.3">
      <c r="W2815"/>
      <c r="X2815"/>
    </row>
    <row r="2816" spans="23:24" x14ac:dyDescent="0.3">
      <c r="W2816"/>
      <c r="X2816"/>
    </row>
    <row r="2817" spans="23:24" x14ac:dyDescent="0.3">
      <c r="W2817"/>
      <c r="X2817"/>
    </row>
    <row r="2818" spans="23:24" x14ac:dyDescent="0.3">
      <c r="W2818"/>
      <c r="X2818"/>
    </row>
    <row r="2819" spans="23:24" x14ac:dyDescent="0.3">
      <c r="W2819"/>
      <c r="X2819"/>
    </row>
    <row r="2820" spans="23:24" x14ac:dyDescent="0.3">
      <c r="W2820"/>
      <c r="X2820"/>
    </row>
    <row r="2821" spans="23:24" x14ac:dyDescent="0.3">
      <c r="W2821"/>
      <c r="X2821"/>
    </row>
    <row r="2822" spans="23:24" x14ac:dyDescent="0.3">
      <c r="W2822"/>
      <c r="X2822"/>
    </row>
    <row r="2823" spans="23:24" x14ac:dyDescent="0.3">
      <c r="W2823"/>
      <c r="X2823"/>
    </row>
    <row r="2824" spans="23:24" x14ac:dyDescent="0.3">
      <c r="W2824"/>
      <c r="X2824"/>
    </row>
    <row r="2825" spans="23:24" x14ac:dyDescent="0.3">
      <c r="W2825"/>
      <c r="X2825"/>
    </row>
    <row r="2826" spans="23:24" x14ac:dyDescent="0.3">
      <c r="W2826"/>
      <c r="X2826"/>
    </row>
    <row r="2827" spans="23:24" x14ac:dyDescent="0.3">
      <c r="W2827"/>
      <c r="X2827"/>
    </row>
    <row r="2828" spans="23:24" x14ac:dyDescent="0.3">
      <c r="W2828"/>
      <c r="X2828"/>
    </row>
    <row r="2829" spans="23:24" x14ac:dyDescent="0.3">
      <c r="W2829"/>
      <c r="X2829"/>
    </row>
    <row r="2830" spans="23:24" x14ac:dyDescent="0.3">
      <c r="W2830"/>
      <c r="X2830"/>
    </row>
    <row r="2831" spans="23:24" x14ac:dyDescent="0.3">
      <c r="W2831"/>
      <c r="X2831"/>
    </row>
    <row r="2832" spans="23:24" x14ac:dyDescent="0.3">
      <c r="W2832"/>
      <c r="X2832"/>
    </row>
    <row r="2833" spans="23:24" x14ac:dyDescent="0.3">
      <c r="W2833"/>
      <c r="X2833"/>
    </row>
    <row r="2834" spans="23:24" x14ac:dyDescent="0.3">
      <c r="W2834"/>
      <c r="X2834"/>
    </row>
    <row r="2835" spans="23:24" x14ac:dyDescent="0.3">
      <c r="W2835"/>
      <c r="X2835"/>
    </row>
    <row r="2836" spans="23:24" x14ac:dyDescent="0.3">
      <c r="W2836"/>
      <c r="X2836"/>
    </row>
    <row r="2837" spans="23:24" x14ac:dyDescent="0.3">
      <c r="W2837"/>
      <c r="X2837"/>
    </row>
    <row r="2838" spans="23:24" x14ac:dyDescent="0.3">
      <c r="W2838"/>
      <c r="X2838"/>
    </row>
    <row r="2839" spans="23:24" x14ac:dyDescent="0.3">
      <c r="W2839"/>
      <c r="X2839"/>
    </row>
    <row r="2840" spans="23:24" x14ac:dyDescent="0.3">
      <c r="W2840"/>
      <c r="X2840"/>
    </row>
    <row r="2841" spans="23:24" x14ac:dyDescent="0.3">
      <c r="W2841"/>
      <c r="X2841"/>
    </row>
    <row r="2842" spans="23:24" x14ac:dyDescent="0.3">
      <c r="W2842"/>
      <c r="X2842"/>
    </row>
    <row r="2843" spans="23:24" x14ac:dyDescent="0.3">
      <c r="W2843"/>
      <c r="X2843"/>
    </row>
    <row r="2844" spans="23:24" x14ac:dyDescent="0.3">
      <c r="W2844"/>
      <c r="X2844"/>
    </row>
    <row r="2845" spans="23:24" x14ac:dyDescent="0.3">
      <c r="W2845"/>
      <c r="X2845"/>
    </row>
    <row r="2846" spans="23:24" x14ac:dyDescent="0.3">
      <c r="W2846"/>
      <c r="X2846"/>
    </row>
    <row r="2847" spans="23:24" x14ac:dyDescent="0.3">
      <c r="W2847"/>
      <c r="X2847"/>
    </row>
    <row r="2848" spans="23:24" x14ac:dyDescent="0.3">
      <c r="W2848"/>
      <c r="X2848"/>
    </row>
    <row r="2849" spans="23:24" x14ac:dyDescent="0.3">
      <c r="W2849"/>
      <c r="X2849"/>
    </row>
    <row r="2850" spans="23:24" x14ac:dyDescent="0.3">
      <c r="W2850"/>
      <c r="X2850"/>
    </row>
    <row r="2851" spans="23:24" x14ac:dyDescent="0.3">
      <c r="W2851"/>
      <c r="X2851"/>
    </row>
    <row r="2852" spans="23:24" x14ac:dyDescent="0.3">
      <c r="W2852"/>
      <c r="X2852"/>
    </row>
    <row r="2853" spans="23:24" x14ac:dyDescent="0.3">
      <c r="W2853"/>
      <c r="X2853"/>
    </row>
    <row r="2854" spans="23:24" x14ac:dyDescent="0.3">
      <c r="W2854"/>
      <c r="X2854"/>
    </row>
    <row r="2855" spans="23:24" x14ac:dyDescent="0.3">
      <c r="W2855"/>
      <c r="X2855"/>
    </row>
    <row r="2856" spans="23:24" x14ac:dyDescent="0.3">
      <c r="W2856"/>
      <c r="X2856"/>
    </row>
    <row r="2857" spans="23:24" x14ac:dyDescent="0.3">
      <c r="W2857"/>
      <c r="X2857"/>
    </row>
    <row r="2858" spans="23:24" x14ac:dyDescent="0.3">
      <c r="W2858"/>
      <c r="X2858"/>
    </row>
    <row r="2859" spans="23:24" x14ac:dyDescent="0.3">
      <c r="W2859"/>
      <c r="X2859"/>
    </row>
    <row r="2860" spans="23:24" x14ac:dyDescent="0.3">
      <c r="W2860"/>
      <c r="X2860"/>
    </row>
    <row r="2861" spans="23:24" x14ac:dyDescent="0.3">
      <c r="W2861"/>
      <c r="X2861"/>
    </row>
    <row r="2862" spans="23:24" x14ac:dyDescent="0.3">
      <c r="W2862"/>
      <c r="X2862"/>
    </row>
    <row r="2863" spans="23:24" x14ac:dyDescent="0.3">
      <c r="W2863"/>
      <c r="X2863"/>
    </row>
    <row r="2864" spans="23:24" x14ac:dyDescent="0.3">
      <c r="W2864"/>
      <c r="X2864"/>
    </row>
    <row r="2865" spans="23:24" x14ac:dyDescent="0.3">
      <c r="W2865"/>
      <c r="X2865"/>
    </row>
    <row r="2866" spans="23:24" x14ac:dyDescent="0.3">
      <c r="W2866"/>
      <c r="X2866"/>
    </row>
    <row r="2867" spans="23:24" x14ac:dyDescent="0.3">
      <c r="W2867"/>
      <c r="X2867"/>
    </row>
    <row r="2868" spans="23:24" x14ac:dyDescent="0.3">
      <c r="W2868"/>
      <c r="X2868"/>
    </row>
    <row r="2869" spans="23:24" x14ac:dyDescent="0.3">
      <c r="W2869"/>
      <c r="X2869"/>
    </row>
    <row r="2870" spans="23:24" x14ac:dyDescent="0.3">
      <c r="W2870"/>
      <c r="X2870"/>
    </row>
    <row r="2871" spans="23:24" x14ac:dyDescent="0.3">
      <c r="W2871"/>
      <c r="X2871"/>
    </row>
    <row r="2872" spans="23:24" x14ac:dyDescent="0.3">
      <c r="W2872"/>
      <c r="X2872"/>
    </row>
    <row r="2873" spans="23:24" x14ac:dyDescent="0.3">
      <c r="W2873"/>
      <c r="X2873"/>
    </row>
    <row r="2874" spans="23:24" x14ac:dyDescent="0.3">
      <c r="W2874"/>
      <c r="X2874"/>
    </row>
    <row r="2875" spans="23:24" x14ac:dyDescent="0.3">
      <c r="W2875"/>
      <c r="X2875"/>
    </row>
    <row r="2876" spans="23:24" x14ac:dyDescent="0.3">
      <c r="W2876"/>
      <c r="X2876"/>
    </row>
    <row r="2877" spans="23:24" x14ac:dyDescent="0.3">
      <c r="W2877"/>
      <c r="X2877"/>
    </row>
    <row r="2878" spans="23:24" x14ac:dyDescent="0.3">
      <c r="W2878"/>
      <c r="X2878"/>
    </row>
    <row r="2879" spans="23:24" x14ac:dyDescent="0.3">
      <c r="W2879"/>
      <c r="X2879"/>
    </row>
    <row r="2880" spans="23:24" x14ac:dyDescent="0.3">
      <c r="W2880"/>
      <c r="X2880"/>
    </row>
    <row r="2881" spans="23:24" x14ac:dyDescent="0.3">
      <c r="W2881"/>
      <c r="X2881"/>
    </row>
    <row r="2882" spans="23:24" x14ac:dyDescent="0.3">
      <c r="W2882"/>
      <c r="X2882"/>
    </row>
    <row r="2883" spans="23:24" x14ac:dyDescent="0.3">
      <c r="W2883"/>
      <c r="X2883"/>
    </row>
    <row r="2884" spans="23:24" x14ac:dyDescent="0.3">
      <c r="W2884"/>
      <c r="X2884"/>
    </row>
    <row r="2885" spans="23:24" x14ac:dyDescent="0.3">
      <c r="W2885"/>
      <c r="X2885"/>
    </row>
    <row r="2886" spans="23:24" x14ac:dyDescent="0.3">
      <c r="W2886"/>
      <c r="X2886"/>
    </row>
    <row r="2887" spans="23:24" x14ac:dyDescent="0.3">
      <c r="W2887"/>
      <c r="X2887"/>
    </row>
    <row r="2888" spans="23:24" x14ac:dyDescent="0.3">
      <c r="W2888"/>
      <c r="X2888"/>
    </row>
    <row r="2889" spans="23:24" x14ac:dyDescent="0.3">
      <c r="W2889"/>
      <c r="X2889"/>
    </row>
    <row r="2890" spans="23:24" x14ac:dyDescent="0.3">
      <c r="W2890"/>
      <c r="X2890"/>
    </row>
    <row r="2891" spans="23:24" x14ac:dyDescent="0.3">
      <c r="W2891"/>
      <c r="X2891"/>
    </row>
    <row r="2892" spans="23:24" x14ac:dyDescent="0.3">
      <c r="W2892"/>
      <c r="X2892"/>
    </row>
    <row r="2893" spans="23:24" x14ac:dyDescent="0.3">
      <c r="W2893"/>
      <c r="X2893"/>
    </row>
    <row r="2894" spans="23:24" x14ac:dyDescent="0.3">
      <c r="W2894"/>
      <c r="X2894"/>
    </row>
    <row r="2895" spans="23:24" x14ac:dyDescent="0.3">
      <c r="W2895"/>
      <c r="X2895"/>
    </row>
    <row r="2896" spans="23:24" x14ac:dyDescent="0.3">
      <c r="W2896"/>
      <c r="X2896"/>
    </row>
    <row r="2897" spans="23:24" x14ac:dyDescent="0.3">
      <c r="W2897"/>
      <c r="X2897"/>
    </row>
    <row r="2898" spans="23:24" x14ac:dyDescent="0.3">
      <c r="W2898"/>
      <c r="X2898"/>
    </row>
    <row r="2899" spans="23:24" x14ac:dyDescent="0.3">
      <c r="W2899"/>
      <c r="X2899"/>
    </row>
    <row r="2900" spans="23:24" x14ac:dyDescent="0.3">
      <c r="W2900"/>
      <c r="X2900"/>
    </row>
    <row r="2901" spans="23:24" x14ac:dyDescent="0.3">
      <c r="W2901"/>
      <c r="X2901"/>
    </row>
    <row r="2902" spans="23:24" x14ac:dyDescent="0.3">
      <c r="W2902"/>
      <c r="X2902"/>
    </row>
    <row r="2903" spans="23:24" x14ac:dyDescent="0.3">
      <c r="W2903"/>
      <c r="X2903"/>
    </row>
    <row r="2904" spans="23:24" x14ac:dyDescent="0.3">
      <c r="W2904"/>
      <c r="X2904"/>
    </row>
    <row r="2905" spans="23:24" x14ac:dyDescent="0.3">
      <c r="W2905"/>
      <c r="X2905"/>
    </row>
    <row r="2906" spans="23:24" x14ac:dyDescent="0.3">
      <c r="W2906"/>
      <c r="X2906"/>
    </row>
    <row r="2907" spans="23:24" x14ac:dyDescent="0.3">
      <c r="W2907"/>
      <c r="X2907"/>
    </row>
    <row r="2908" spans="23:24" x14ac:dyDescent="0.3">
      <c r="W2908"/>
      <c r="X2908"/>
    </row>
    <row r="2909" spans="23:24" x14ac:dyDescent="0.3">
      <c r="W2909"/>
      <c r="X2909"/>
    </row>
    <row r="2910" spans="23:24" x14ac:dyDescent="0.3">
      <c r="W2910"/>
      <c r="X2910"/>
    </row>
    <row r="2911" spans="23:24" x14ac:dyDescent="0.3">
      <c r="W2911"/>
      <c r="X2911"/>
    </row>
    <row r="2912" spans="23:24" x14ac:dyDescent="0.3">
      <c r="W2912"/>
      <c r="X2912"/>
    </row>
    <row r="2913" spans="23:24" x14ac:dyDescent="0.3">
      <c r="W2913"/>
      <c r="X2913"/>
    </row>
    <row r="2914" spans="23:24" x14ac:dyDescent="0.3">
      <c r="W2914"/>
      <c r="X2914"/>
    </row>
    <row r="2915" spans="23:24" x14ac:dyDescent="0.3">
      <c r="W2915"/>
      <c r="X2915"/>
    </row>
    <row r="2916" spans="23:24" x14ac:dyDescent="0.3">
      <c r="W2916"/>
      <c r="X2916"/>
    </row>
    <row r="2917" spans="23:24" x14ac:dyDescent="0.3">
      <c r="W2917"/>
      <c r="X2917"/>
    </row>
    <row r="2918" spans="23:24" x14ac:dyDescent="0.3">
      <c r="W2918"/>
      <c r="X2918"/>
    </row>
    <row r="2919" spans="23:24" x14ac:dyDescent="0.3">
      <c r="W2919"/>
      <c r="X2919"/>
    </row>
    <row r="2920" spans="23:24" x14ac:dyDescent="0.3">
      <c r="W2920"/>
      <c r="X2920"/>
    </row>
    <row r="2921" spans="23:24" x14ac:dyDescent="0.3">
      <c r="W2921"/>
      <c r="X2921"/>
    </row>
    <row r="2922" spans="23:24" x14ac:dyDescent="0.3">
      <c r="W2922"/>
      <c r="X2922"/>
    </row>
    <row r="2923" spans="23:24" x14ac:dyDescent="0.3">
      <c r="W2923"/>
      <c r="X2923"/>
    </row>
    <row r="2924" spans="23:24" x14ac:dyDescent="0.3">
      <c r="W2924"/>
      <c r="X2924"/>
    </row>
    <row r="2925" spans="23:24" x14ac:dyDescent="0.3">
      <c r="W2925"/>
      <c r="X2925"/>
    </row>
    <row r="2926" spans="23:24" x14ac:dyDescent="0.3">
      <c r="W2926"/>
      <c r="X2926"/>
    </row>
    <row r="2927" spans="23:24" x14ac:dyDescent="0.3">
      <c r="W2927"/>
      <c r="X2927"/>
    </row>
    <row r="2928" spans="23:24" x14ac:dyDescent="0.3">
      <c r="W2928"/>
      <c r="X2928"/>
    </row>
    <row r="2929" spans="23:24" x14ac:dyDescent="0.3">
      <c r="W2929"/>
      <c r="X2929"/>
    </row>
    <row r="2930" spans="23:24" x14ac:dyDescent="0.3">
      <c r="W2930"/>
      <c r="X2930"/>
    </row>
    <row r="2931" spans="23:24" x14ac:dyDescent="0.3">
      <c r="W2931"/>
      <c r="X2931"/>
    </row>
    <row r="2932" spans="23:24" x14ac:dyDescent="0.3">
      <c r="W2932"/>
      <c r="X2932"/>
    </row>
    <row r="2933" spans="23:24" x14ac:dyDescent="0.3">
      <c r="W2933"/>
      <c r="X2933"/>
    </row>
    <row r="2934" spans="23:24" x14ac:dyDescent="0.3">
      <c r="W2934"/>
      <c r="X2934"/>
    </row>
    <row r="2935" spans="23:24" x14ac:dyDescent="0.3">
      <c r="W2935"/>
      <c r="X2935"/>
    </row>
    <row r="2936" spans="23:24" x14ac:dyDescent="0.3">
      <c r="W2936"/>
      <c r="X2936"/>
    </row>
    <row r="2937" spans="23:24" x14ac:dyDescent="0.3">
      <c r="W2937"/>
      <c r="X2937"/>
    </row>
    <row r="2938" spans="23:24" x14ac:dyDescent="0.3">
      <c r="W2938"/>
      <c r="X2938"/>
    </row>
    <row r="2939" spans="23:24" x14ac:dyDescent="0.3">
      <c r="W2939"/>
      <c r="X2939"/>
    </row>
    <row r="2940" spans="23:24" x14ac:dyDescent="0.3">
      <c r="W2940"/>
      <c r="X2940"/>
    </row>
    <row r="2941" spans="23:24" x14ac:dyDescent="0.3">
      <c r="W2941"/>
      <c r="X2941"/>
    </row>
    <row r="2942" spans="23:24" x14ac:dyDescent="0.3">
      <c r="W2942"/>
      <c r="X2942"/>
    </row>
    <row r="2943" spans="23:24" x14ac:dyDescent="0.3">
      <c r="W2943"/>
      <c r="X2943"/>
    </row>
    <row r="2944" spans="23:24" x14ac:dyDescent="0.3">
      <c r="W2944"/>
      <c r="X2944"/>
    </row>
    <row r="2945" spans="23:24" x14ac:dyDescent="0.3">
      <c r="W2945"/>
      <c r="X2945"/>
    </row>
    <row r="2946" spans="23:24" x14ac:dyDescent="0.3">
      <c r="W2946"/>
      <c r="X2946"/>
    </row>
    <row r="2947" spans="23:24" x14ac:dyDescent="0.3">
      <c r="W2947"/>
      <c r="X2947"/>
    </row>
    <row r="2948" spans="23:24" x14ac:dyDescent="0.3">
      <c r="W2948"/>
      <c r="X2948"/>
    </row>
    <row r="2949" spans="23:24" x14ac:dyDescent="0.3">
      <c r="W2949"/>
      <c r="X2949"/>
    </row>
    <row r="2950" spans="23:24" x14ac:dyDescent="0.3">
      <c r="W2950"/>
      <c r="X2950"/>
    </row>
    <row r="2951" spans="23:24" x14ac:dyDescent="0.3">
      <c r="W2951"/>
      <c r="X2951"/>
    </row>
    <row r="2952" spans="23:24" x14ac:dyDescent="0.3">
      <c r="W2952"/>
      <c r="X2952"/>
    </row>
    <row r="2953" spans="23:24" x14ac:dyDescent="0.3">
      <c r="W2953"/>
      <c r="X2953"/>
    </row>
    <row r="2954" spans="23:24" x14ac:dyDescent="0.3">
      <c r="W2954"/>
      <c r="X2954"/>
    </row>
    <row r="2955" spans="23:24" x14ac:dyDescent="0.3">
      <c r="W2955"/>
      <c r="X2955"/>
    </row>
    <row r="2956" spans="23:24" x14ac:dyDescent="0.3">
      <c r="W2956"/>
      <c r="X2956"/>
    </row>
    <row r="2957" spans="23:24" x14ac:dyDescent="0.3">
      <c r="W2957"/>
      <c r="X2957"/>
    </row>
    <row r="2958" spans="23:24" x14ac:dyDescent="0.3">
      <c r="W2958"/>
      <c r="X2958"/>
    </row>
    <row r="2959" spans="23:24" x14ac:dyDescent="0.3">
      <c r="W2959"/>
      <c r="X2959"/>
    </row>
    <row r="2960" spans="23:24" x14ac:dyDescent="0.3">
      <c r="W2960"/>
      <c r="X2960"/>
    </row>
    <row r="2961" spans="23:24" x14ac:dyDescent="0.3">
      <c r="W2961"/>
      <c r="X2961"/>
    </row>
    <row r="2962" spans="23:24" x14ac:dyDescent="0.3">
      <c r="W2962"/>
      <c r="X2962"/>
    </row>
    <row r="2963" spans="23:24" x14ac:dyDescent="0.3">
      <c r="W2963"/>
      <c r="X2963"/>
    </row>
    <row r="2964" spans="23:24" x14ac:dyDescent="0.3">
      <c r="W2964"/>
      <c r="X2964"/>
    </row>
    <row r="2965" spans="23:24" x14ac:dyDescent="0.3">
      <c r="W2965"/>
      <c r="X2965"/>
    </row>
    <row r="2966" spans="23:24" x14ac:dyDescent="0.3">
      <c r="W2966"/>
      <c r="X2966"/>
    </row>
    <row r="2967" spans="23:24" x14ac:dyDescent="0.3">
      <c r="W2967"/>
      <c r="X2967"/>
    </row>
    <row r="2968" spans="23:24" x14ac:dyDescent="0.3">
      <c r="W2968"/>
      <c r="X2968"/>
    </row>
    <row r="2969" spans="23:24" x14ac:dyDescent="0.3">
      <c r="W2969"/>
      <c r="X2969"/>
    </row>
    <row r="2970" spans="23:24" x14ac:dyDescent="0.3">
      <c r="W2970"/>
      <c r="X2970"/>
    </row>
    <row r="2971" spans="23:24" x14ac:dyDescent="0.3">
      <c r="W2971"/>
      <c r="X2971"/>
    </row>
    <row r="2972" spans="23:24" x14ac:dyDescent="0.3">
      <c r="W2972"/>
      <c r="X2972"/>
    </row>
    <row r="2973" spans="23:24" x14ac:dyDescent="0.3">
      <c r="W2973"/>
      <c r="X2973"/>
    </row>
    <row r="2974" spans="23:24" x14ac:dyDescent="0.3">
      <c r="W2974"/>
      <c r="X2974"/>
    </row>
    <row r="2975" spans="23:24" x14ac:dyDescent="0.3">
      <c r="W2975"/>
      <c r="X2975"/>
    </row>
    <row r="2976" spans="23:24" x14ac:dyDescent="0.3">
      <c r="W2976"/>
      <c r="X2976"/>
    </row>
    <row r="2977" spans="23:24" x14ac:dyDescent="0.3">
      <c r="W2977"/>
      <c r="X2977"/>
    </row>
    <row r="2978" spans="23:24" x14ac:dyDescent="0.3">
      <c r="W2978"/>
      <c r="X2978"/>
    </row>
    <row r="2979" spans="23:24" x14ac:dyDescent="0.3">
      <c r="W2979"/>
      <c r="X2979"/>
    </row>
    <row r="2980" spans="23:24" x14ac:dyDescent="0.3">
      <c r="W2980"/>
      <c r="X2980"/>
    </row>
    <row r="2981" spans="23:24" x14ac:dyDescent="0.3">
      <c r="W2981"/>
      <c r="X2981"/>
    </row>
    <row r="2982" spans="23:24" x14ac:dyDescent="0.3">
      <c r="W2982"/>
      <c r="X2982"/>
    </row>
    <row r="2983" spans="23:24" x14ac:dyDescent="0.3">
      <c r="W2983"/>
      <c r="X2983"/>
    </row>
    <row r="2984" spans="23:24" x14ac:dyDescent="0.3">
      <c r="W2984"/>
      <c r="X2984"/>
    </row>
    <row r="2985" spans="23:24" x14ac:dyDescent="0.3">
      <c r="W2985"/>
      <c r="X2985"/>
    </row>
    <row r="2986" spans="23:24" x14ac:dyDescent="0.3">
      <c r="W2986"/>
      <c r="X2986"/>
    </row>
    <row r="2987" spans="23:24" x14ac:dyDescent="0.3">
      <c r="W2987"/>
      <c r="X2987"/>
    </row>
    <row r="2988" spans="23:24" x14ac:dyDescent="0.3">
      <c r="W2988"/>
      <c r="X2988"/>
    </row>
    <row r="2989" spans="23:24" x14ac:dyDescent="0.3">
      <c r="W2989"/>
      <c r="X2989"/>
    </row>
    <row r="2990" spans="23:24" x14ac:dyDescent="0.3">
      <c r="W2990"/>
      <c r="X2990"/>
    </row>
    <row r="2991" spans="23:24" x14ac:dyDescent="0.3">
      <c r="W2991"/>
      <c r="X2991"/>
    </row>
    <row r="2992" spans="23:24" x14ac:dyDescent="0.3">
      <c r="W2992"/>
      <c r="X2992"/>
    </row>
    <row r="2993" spans="23:24" x14ac:dyDescent="0.3">
      <c r="W2993"/>
      <c r="X2993"/>
    </row>
    <row r="2994" spans="23:24" x14ac:dyDescent="0.3">
      <c r="W2994"/>
      <c r="X2994"/>
    </row>
    <row r="2995" spans="23:24" x14ac:dyDescent="0.3">
      <c r="W2995"/>
      <c r="X2995"/>
    </row>
    <row r="2996" spans="23:24" x14ac:dyDescent="0.3">
      <c r="W2996"/>
      <c r="X2996"/>
    </row>
    <row r="2997" spans="23:24" x14ac:dyDescent="0.3">
      <c r="W2997"/>
      <c r="X2997"/>
    </row>
    <row r="2998" spans="23:24" x14ac:dyDescent="0.3">
      <c r="W2998"/>
      <c r="X2998"/>
    </row>
    <row r="2999" spans="23:24" x14ac:dyDescent="0.3">
      <c r="W2999"/>
      <c r="X2999"/>
    </row>
    <row r="3000" spans="23:24" x14ac:dyDescent="0.3">
      <c r="W3000"/>
      <c r="X3000"/>
    </row>
    <row r="3001" spans="23:24" x14ac:dyDescent="0.3">
      <c r="W3001"/>
      <c r="X3001"/>
    </row>
    <row r="3002" spans="23:24" x14ac:dyDescent="0.3">
      <c r="W3002"/>
      <c r="X3002"/>
    </row>
    <row r="3003" spans="23:24" x14ac:dyDescent="0.3">
      <c r="W3003"/>
      <c r="X3003"/>
    </row>
    <row r="3004" spans="23:24" x14ac:dyDescent="0.3">
      <c r="W3004"/>
      <c r="X3004"/>
    </row>
    <row r="3005" spans="23:24" x14ac:dyDescent="0.3">
      <c r="W3005"/>
      <c r="X3005"/>
    </row>
    <row r="3006" spans="23:24" x14ac:dyDescent="0.3">
      <c r="W3006"/>
      <c r="X3006"/>
    </row>
    <row r="3007" spans="23:24" x14ac:dyDescent="0.3">
      <c r="W3007"/>
      <c r="X3007"/>
    </row>
    <row r="3008" spans="23:24" x14ac:dyDescent="0.3">
      <c r="W3008"/>
      <c r="X3008"/>
    </row>
    <row r="3009" spans="23:24" x14ac:dyDescent="0.3">
      <c r="W3009"/>
      <c r="X3009"/>
    </row>
    <row r="3010" spans="23:24" x14ac:dyDescent="0.3">
      <c r="W3010"/>
      <c r="X3010"/>
    </row>
    <row r="3011" spans="23:24" x14ac:dyDescent="0.3">
      <c r="W3011"/>
      <c r="X3011"/>
    </row>
    <row r="3012" spans="23:24" x14ac:dyDescent="0.3">
      <c r="W3012"/>
      <c r="X3012"/>
    </row>
    <row r="3013" spans="23:24" x14ac:dyDescent="0.3">
      <c r="W3013"/>
      <c r="X3013"/>
    </row>
    <row r="3014" spans="23:24" x14ac:dyDescent="0.3">
      <c r="W3014"/>
      <c r="X3014"/>
    </row>
    <row r="3015" spans="23:24" x14ac:dyDescent="0.3">
      <c r="W3015"/>
      <c r="X3015"/>
    </row>
    <row r="3016" spans="23:24" x14ac:dyDescent="0.3">
      <c r="W3016"/>
      <c r="X3016"/>
    </row>
    <row r="3017" spans="23:24" x14ac:dyDescent="0.3">
      <c r="W3017"/>
      <c r="X3017"/>
    </row>
    <row r="3018" spans="23:24" x14ac:dyDescent="0.3">
      <c r="W3018"/>
      <c r="X3018"/>
    </row>
    <row r="3019" spans="23:24" x14ac:dyDescent="0.3">
      <c r="W3019"/>
      <c r="X3019"/>
    </row>
    <row r="3020" spans="23:24" x14ac:dyDescent="0.3">
      <c r="W3020"/>
      <c r="X3020"/>
    </row>
    <row r="3021" spans="23:24" x14ac:dyDescent="0.3">
      <c r="W3021"/>
      <c r="X3021"/>
    </row>
    <row r="3022" spans="23:24" x14ac:dyDescent="0.3">
      <c r="W3022"/>
      <c r="X3022"/>
    </row>
    <row r="3023" spans="23:24" x14ac:dyDescent="0.3">
      <c r="W3023"/>
      <c r="X3023"/>
    </row>
    <row r="3024" spans="23:24" x14ac:dyDescent="0.3">
      <c r="W3024"/>
      <c r="X3024"/>
    </row>
    <row r="3025" spans="23:24" x14ac:dyDescent="0.3">
      <c r="W3025"/>
      <c r="X3025"/>
    </row>
    <row r="3026" spans="23:24" x14ac:dyDescent="0.3">
      <c r="W3026"/>
      <c r="X3026"/>
    </row>
    <row r="3027" spans="23:24" x14ac:dyDescent="0.3">
      <c r="W3027"/>
      <c r="X3027"/>
    </row>
    <row r="3028" spans="23:24" x14ac:dyDescent="0.3">
      <c r="W3028"/>
      <c r="X3028"/>
    </row>
    <row r="3029" spans="23:24" x14ac:dyDescent="0.3">
      <c r="W3029"/>
      <c r="X3029"/>
    </row>
    <row r="3030" spans="23:24" x14ac:dyDescent="0.3">
      <c r="W3030"/>
      <c r="X3030"/>
    </row>
    <row r="3031" spans="23:24" x14ac:dyDescent="0.3">
      <c r="W3031"/>
      <c r="X3031"/>
    </row>
    <row r="3032" spans="23:24" x14ac:dyDescent="0.3">
      <c r="W3032"/>
      <c r="X3032"/>
    </row>
    <row r="3033" spans="23:24" x14ac:dyDescent="0.3">
      <c r="W3033"/>
      <c r="X3033"/>
    </row>
    <row r="3034" spans="23:24" x14ac:dyDescent="0.3">
      <c r="W3034"/>
      <c r="X3034"/>
    </row>
    <row r="3035" spans="23:24" x14ac:dyDescent="0.3">
      <c r="W3035"/>
      <c r="X3035"/>
    </row>
    <row r="3036" spans="23:24" x14ac:dyDescent="0.3">
      <c r="W3036"/>
      <c r="X3036"/>
    </row>
    <row r="3037" spans="23:24" x14ac:dyDescent="0.3">
      <c r="W3037"/>
      <c r="X3037"/>
    </row>
    <row r="3038" spans="23:24" x14ac:dyDescent="0.3">
      <c r="W3038"/>
      <c r="X3038"/>
    </row>
    <row r="3039" spans="23:24" x14ac:dyDescent="0.3">
      <c r="W3039"/>
      <c r="X3039"/>
    </row>
    <row r="3040" spans="23:24" x14ac:dyDescent="0.3">
      <c r="W3040"/>
      <c r="X3040"/>
    </row>
    <row r="3041" spans="23:24" x14ac:dyDescent="0.3">
      <c r="W3041"/>
      <c r="X3041"/>
    </row>
    <row r="3042" spans="23:24" x14ac:dyDescent="0.3">
      <c r="W3042"/>
      <c r="X3042"/>
    </row>
    <row r="3043" spans="23:24" x14ac:dyDescent="0.3">
      <c r="W3043"/>
      <c r="X3043"/>
    </row>
    <row r="3044" spans="23:24" x14ac:dyDescent="0.3">
      <c r="W3044"/>
      <c r="X3044"/>
    </row>
    <row r="3045" spans="23:24" x14ac:dyDescent="0.3">
      <c r="W3045"/>
      <c r="X3045"/>
    </row>
    <row r="3046" spans="23:24" x14ac:dyDescent="0.3">
      <c r="W3046"/>
      <c r="X3046"/>
    </row>
    <row r="3047" spans="23:24" x14ac:dyDescent="0.3">
      <c r="W3047"/>
      <c r="X3047"/>
    </row>
    <row r="3048" spans="23:24" x14ac:dyDescent="0.3">
      <c r="W3048"/>
      <c r="X3048"/>
    </row>
    <row r="3049" spans="23:24" x14ac:dyDescent="0.3">
      <c r="W3049"/>
      <c r="X3049"/>
    </row>
    <row r="3050" spans="23:24" x14ac:dyDescent="0.3">
      <c r="W3050"/>
      <c r="X3050"/>
    </row>
    <row r="3051" spans="23:24" x14ac:dyDescent="0.3">
      <c r="W3051"/>
      <c r="X3051"/>
    </row>
    <row r="3052" spans="23:24" x14ac:dyDescent="0.3">
      <c r="W3052"/>
      <c r="X3052"/>
    </row>
    <row r="3053" spans="23:24" x14ac:dyDescent="0.3">
      <c r="W3053"/>
      <c r="X3053"/>
    </row>
    <row r="3054" spans="23:24" x14ac:dyDescent="0.3">
      <c r="W3054"/>
      <c r="X3054"/>
    </row>
    <row r="3055" spans="23:24" x14ac:dyDescent="0.3">
      <c r="W3055"/>
      <c r="X3055"/>
    </row>
    <row r="3056" spans="23:24" x14ac:dyDescent="0.3">
      <c r="W3056"/>
      <c r="X3056"/>
    </row>
    <row r="3057" spans="23:24" x14ac:dyDescent="0.3">
      <c r="W3057"/>
      <c r="X3057"/>
    </row>
    <row r="3058" spans="23:24" x14ac:dyDescent="0.3">
      <c r="W3058"/>
      <c r="X3058"/>
    </row>
    <row r="3059" spans="23:24" x14ac:dyDescent="0.3">
      <c r="W3059"/>
      <c r="X3059"/>
    </row>
    <row r="3060" spans="23:24" x14ac:dyDescent="0.3">
      <c r="W3060"/>
      <c r="X3060"/>
    </row>
    <row r="3061" spans="23:24" x14ac:dyDescent="0.3">
      <c r="W3061"/>
      <c r="X3061"/>
    </row>
    <row r="3062" spans="23:24" x14ac:dyDescent="0.3">
      <c r="W3062"/>
      <c r="X3062"/>
    </row>
    <row r="3063" spans="23:24" x14ac:dyDescent="0.3">
      <c r="W3063"/>
      <c r="X3063"/>
    </row>
    <row r="3064" spans="23:24" x14ac:dyDescent="0.3">
      <c r="W3064"/>
      <c r="X3064"/>
    </row>
    <row r="3065" spans="23:24" x14ac:dyDescent="0.3">
      <c r="W3065"/>
      <c r="X3065"/>
    </row>
    <row r="3066" spans="23:24" x14ac:dyDescent="0.3">
      <c r="W3066"/>
      <c r="X3066"/>
    </row>
    <row r="3067" spans="23:24" x14ac:dyDescent="0.3">
      <c r="W3067"/>
      <c r="X3067"/>
    </row>
    <row r="3068" spans="23:24" x14ac:dyDescent="0.3">
      <c r="W3068"/>
      <c r="X3068"/>
    </row>
    <row r="3069" spans="23:24" x14ac:dyDescent="0.3">
      <c r="W3069"/>
      <c r="X3069"/>
    </row>
    <row r="3070" spans="23:24" x14ac:dyDescent="0.3">
      <c r="W3070"/>
      <c r="X3070"/>
    </row>
    <row r="3071" spans="23:24" x14ac:dyDescent="0.3">
      <c r="W3071"/>
      <c r="X3071"/>
    </row>
    <row r="3072" spans="23:24" x14ac:dyDescent="0.3">
      <c r="W3072"/>
      <c r="X3072"/>
    </row>
    <row r="3073" spans="23:24" x14ac:dyDescent="0.3">
      <c r="W3073"/>
      <c r="X3073"/>
    </row>
    <row r="3074" spans="23:24" x14ac:dyDescent="0.3">
      <c r="W3074"/>
      <c r="X3074"/>
    </row>
    <row r="3075" spans="23:24" x14ac:dyDescent="0.3">
      <c r="W3075"/>
      <c r="X3075"/>
    </row>
    <row r="3076" spans="23:24" x14ac:dyDescent="0.3">
      <c r="W3076"/>
      <c r="X3076"/>
    </row>
    <row r="3077" spans="23:24" x14ac:dyDescent="0.3">
      <c r="W3077"/>
      <c r="X3077"/>
    </row>
    <row r="3078" spans="23:24" x14ac:dyDescent="0.3">
      <c r="W3078"/>
      <c r="X3078"/>
    </row>
    <row r="3079" spans="23:24" x14ac:dyDescent="0.3">
      <c r="W3079"/>
      <c r="X3079"/>
    </row>
    <row r="3080" spans="23:24" x14ac:dyDescent="0.3">
      <c r="W3080"/>
      <c r="X3080"/>
    </row>
    <row r="3081" spans="23:24" x14ac:dyDescent="0.3">
      <c r="W3081"/>
      <c r="X3081"/>
    </row>
    <row r="3082" spans="23:24" x14ac:dyDescent="0.3">
      <c r="W3082"/>
      <c r="X3082"/>
    </row>
    <row r="3083" spans="23:24" x14ac:dyDescent="0.3">
      <c r="W3083"/>
      <c r="X3083"/>
    </row>
    <row r="3084" spans="23:24" x14ac:dyDescent="0.3">
      <c r="W3084"/>
      <c r="X3084"/>
    </row>
    <row r="3085" spans="23:24" x14ac:dyDescent="0.3">
      <c r="W3085"/>
      <c r="X3085"/>
    </row>
    <row r="3086" spans="23:24" x14ac:dyDescent="0.3">
      <c r="W3086"/>
      <c r="X3086"/>
    </row>
    <row r="3087" spans="23:24" x14ac:dyDescent="0.3">
      <c r="W3087"/>
      <c r="X3087"/>
    </row>
    <row r="3088" spans="23:24" x14ac:dyDescent="0.3">
      <c r="W3088"/>
      <c r="X3088"/>
    </row>
    <row r="3089" spans="23:24" x14ac:dyDescent="0.3">
      <c r="W3089"/>
      <c r="X3089"/>
    </row>
    <row r="3090" spans="23:24" x14ac:dyDescent="0.3">
      <c r="W3090"/>
      <c r="X3090"/>
    </row>
    <row r="3091" spans="23:24" x14ac:dyDescent="0.3">
      <c r="W3091"/>
      <c r="X3091"/>
    </row>
    <row r="3092" spans="23:24" x14ac:dyDescent="0.3">
      <c r="W3092"/>
      <c r="X3092"/>
    </row>
    <row r="3093" spans="23:24" x14ac:dyDescent="0.3">
      <c r="W3093"/>
      <c r="X3093"/>
    </row>
    <row r="3094" spans="23:24" x14ac:dyDescent="0.3">
      <c r="W3094"/>
      <c r="X3094"/>
    </row>
    <row r="3095" spans="23:24" x14ac:dyDescent="0.3">
      <c r="W3095"/>
      <c r="X3095"/>
    </row>
    <row r="3096" spans="23:24" x14ac:dyDescent="0.3">
      <c r="W3096"/>
      <c r="X3096"/>
    </row>
    <row r="3097" spans="23:24" x14ac:dyDescent="0.3">
      <c r="W3097"/>
      <c r="X3097"/>
    </row>
    <row r="3098" spans="23:24" x14ac:dyDescent="0.3">
      <c r="W3098"/>
      <c r="X3098"/>
    </row>
    <row r="3099" spans="23:24" x14ac:dyDescent="0.3">
      <c r="W3099"/>
      <c r="X3099"/>
    </row>
    <row r="3100" spans="23:24" x14ac:dyDescent="0.3">
      <c r="W3100"/>
      <c r="X3100"/>
    </row>
    <row r="3101" spans="23:24" x14ac:dyDescent="0.3">
      <c r="W3101"/>
      <c r="X3101"/>
    </row>
    <row r="3102" spans="23:24" x14ac:dyDescent="0.3">
      <c r="W3102"/>
      <c r="X3102"/>
    </row>
    <row r="3103" spans="23:24" x14ac:dyDescent="0.3">
      <c r="W3103"/>
      <c r="X3103"/>
    </row>
    <row r="3104" spans="23:24" x14ac:dyDescent="0.3">
      <c r="W3104"/>
      <c r="X3104"/>
    </row>
    <row r="3105" spans="23:24" x14ac:dyDescent="0.3">
      <c r="W3105"/>
      <c r="X3105"/>
    </row>
    <row r="3106" spans="23:24" x14ac:dyDescent="0.3">
      <c r="W3106"/>
      <c r="X3106"/>
    </row>
    <row r="3107" spans="23:24" x14ac:dyDescent="0.3">
      <c r="W3107"/>
      <c r="X3107"/>
    </row>
    <row r="3108" spans="23:24" x14ac:dyDescent="0.3">
      <c r="W3108"/>
      <c r="X3108"/>
    </row>
    <row r="3109" spans="23:24" x14ac:dyDescent="0.3">
      <c r="W3109"/>
      <c r="X3109"/>
    </row>
    <row r="3110" spans="23:24" x14ac:dyDescent="0.3">
      <c r="W3110"/>
      <c r="X3110"/>
    </row>
    <row r="3111" spans="23:24" x14ac:dyDescent="0.3">
      <c r="W3111"/>
      <c r="X3111"/>
    </row>
    <row r="3112" spans="23:24" x14ac:dyDescent="0.3">
      <c r="W3112"/>
      <c r="X3112"/>
    </row>
    <row r="3113" spans="23:24" x14ac:dyDescent="0.3">
      <c r="W3113"/>
      <c r="X3113"/>
    </row>
    <row r="3114" spans="23:24" x14ac:dyDescent="0.3">
      <c r="W3114"/>
      <c r="X3114"/>
    </row>
    <row r="3115" spans="23:24" x14ac:dyDescent="0.3">
      <c r="W3115"/>
      <c r="X3115"/>
    </row>
    <row r="3116" spans="23:24" x14ac:dyDescent="0.3">
      <c r="W3116"/>
      <c r="X3116"/>
    </row>
    <row r="3117" spans="23:24" x14ac:dyDescent="0.3">
      <c r="W3117"/>
      <c r="X3117"/>
    </row>
    <row r="3118" spans="23:24" x14ac:dyDescent="0.3">
      <c r="W3118"/>
      <c r="X3118"/>
    </row>
    <row r="3119" spans="23:24" x14ac:dyDescent="0.3">
      <c r="W3119"/>
      <c r="X3119"/>
    </row>
    <row r="3120" spans="23:24" x14ac:dyDescent="0.3">
      <c r="W3120"/>
      <c r="X3120"/>
    </row>
    <row r="3121" spans="23:24" x14ac:dyDescent="0.3">
      <c r="W3121"/>
      <c r="X3121"/>
    </row>
    <row r="3122" spans="23:24" x14ac:dyDescent="0.3">
      <c r="W3122"/>
      <c r="X3122"/>
    </row>
    <row r="3123" spans="23:24" x14ac:dyDescent="0.3">
      <c r="W3123"/>
      <c r="X3123"/>
    </row>
    <row r="3124" spans="23:24" x14ac:dyDescent="0.3">
      <c r="W3124"/>
      <c r="X3124"/>
    </row>
    <row r="3125" spans="23:24" x14ac:dyDescent="0.3">
      <c r="W3125"/>
      <c r="X3125"/>
    </row>
    <row r="3126" spans="23:24" x14ac:dyDescent="0.3">
      <c r="W3126"/>
      <c r="X3126"/>
    </row>
    <row r="3127" spans="23:24" x14ac:dyDescent="0.3">
      <c r="W3127"/>
      <c r="X3127"/>
    </row>
    <row r="3128" spans="23:24" x14ac:dyDescent="0.3">
      <c r="W3128"/>
      <c r="X3128"/>
    </row>
    <row r="3129" spans="23:24" x14ac:dyDescent="0.3">
      <c r="W3129"/>
      <c r="X3129"/>
    </row>
    <row r="3130" spans="23:24" x14ac:dyDescent="0.3">
      <c r="W3130"/>
      <c r="X3130"/>
    </row>
    <row r="3131" spans="23:24" x14ac:dyDescent="0.3">
      <c r="W3131"/>
      <c r="X3131"/>
    </row>
    <row r="3132" spans="23:24" x14ac:dyDescent="0.3">
      <c r="W3132"/>
      <c r="X3132"/>
    </row>
    <row r="3133" spans="23:24" x14ac:dyDescent="0.3">
      <c r="W3133"/>
      <c r="X3133"/>
    </row>
    <row r="3134" spans="23:24" x14ac:dyDescent="0.3">
      <c r="W3134"/>
      <c r="X3134"/>
    </row>
    <row r="3135" spans="23:24" x14ac:dyDescent="0.3">
      <c r="W3135"/>
      <c r="X3135"/>
    </row>
    <row r="3136" spans="23:24" x14ac:dyDescent="0.3">
      <c r="W3136"/>
      <c r="X3136"/>
    </row>
    <row r="3137" spans="23:24" x14ac:dyDescent="0.3">
      <c r="W3137"/>
      <c r="X3137"/>
    </row>
    <row r="3138" spans="23:24" x14ac:dyDescent="0.3">
      <c r="W3138"/>
      <c r="X3138"/>
    </row>
    <row r="3139" spans="23:24" x14ac:dyDescent="0.3">
      <c r="W3139"/>
      <c r="X3139"/>
    </row>
    <row r="3140" spans="23:24" x14ac:dyDescent="0.3">
      <c r="W3140"/>
      <c r="X3140"/>
    </row>
    <row r="3141" spans="23:24" x14ac:dyDescent="0.3">
      <c r="W3141"/>
      <c r="X3141"/>
    </row>
    <row r="3142" spans="23:24" x14ac:dyDescent="0.3">
      <c r="W3142"/>
      <c r="X3142"/>
    </row>
    <row r="3143" spans="23:24" x14ac:dyDescent="0.3">
      <c r="W3143"/>
      <c r="X3143"/>
    </row>
    <row r="3144" spans="23:24" x14ac:dyDescent="0.3">
      <c r="W3144"/>
      <c r="X3144"/>
    </row>
    <row r="3145" spans="23:24" x14ac:dyDescent="0.3">
      <c r="W3145"/>
      <c r="X3145"/>
    </row>
    <row r="3146" spans="23:24" x14ac:dyDescent="0.3">
      <c r="W3146"/>
      <c r="X3146"/>
    </row>
    <row r="3147" spans="23:24" x14ac:dyDescent="0.3">
      <c r="W3147"/>
      <c r="X3147"/>
    </row>
    <row r="3148" spans="23:24" x14ac:dyDescent="0.3">
      <c r="W3148"/>
      <c r="X3148"/>
    </row>
    <row r="3149" spans="23:24" x14ac:dyDescent="0.3">
      <c r="W3149"/>
      <c r="X3149"/>
    </row>
    <row r="3150" spans="23:24" x14ac:dyDescent="0.3">
      <c r="W3150"/>
      <c r="X3150"/>
    </row>
    <row r="3151" spans="23:24" x14ac:dyDescent="0.3">
      <c r="W3151"/>
      <c r="X3151"/>
    </row>
    <row r="3152" spans="23:24" x14ac:dyDescent="0.3">
      <c r="W3152"/>
      <c r="X3152"/>
    </row>
    <row r="3153" spans="23:24" x14ac:dyDescent="0.3">
      <c r="W3153"/>
      <c r="X3153"/>
    </row>
    <row r="3154" spans="23:24" x14ac:dyDescent="0.3">
      <c r="W3154"/>
      <c r="X3154"/>
    </row>
    <row r="3155" spans="23:24" x14ac:dyDescent="0.3">
      <c r="W3155"/>
      <c r="X3155"/>
    </row>
    <row r="3156" spans="23:24" x14ac:dyDescent="0.3">
      <c r="W3156"/>
      <c r="X3156"/>
    </row>
    <row r="3157" spans="23:24" x14ac:dyDescent="0.3">
      <c r="W3157"/>
      <c r="X3157"/>
    </row>
    <row r="3158" spans="23:24" x14ac:dyDescent="0.3">
      <c r="W3158"/>
      <c r="X3158"/>
    </row>
    <row r="3159" spans="23:24" x14ac:dyDescent="0.3">
      <c r="W3159"/>
      <c r="X3159"/>
    </row>
    <row r="3160" spans="23:24" x14ac:dyDescent="0.3">
      <c r="W3160"/>
      <c r="X3160"/>
    </row>
    <row r="3161" spans="23:24" x14ac:dyDescent="0.3">
      <c r="W3161"/>
      <c r="X3161"/>
    </row>
    <row r="3162" spans="23:24" x14ac:dyDescent="0.3">
      <c r="W3162"/>
      <c r="X3162"/>
    </row>
    <row r="3163" spans="23:24" x14ac:dyDescent="0.3">
      <c r="W3163"/>
      <c r="X3163"/>
    </row>
    <row r="3164" spans="23:24" x14ac:dyDescent="0.3">
      <c r="W3164"/>
      <c r="X3164"/>
    </row>
    <row r="3165" spans="23:24" x14ac:dyDescent="0.3">
      <c r="W3165"/>
      <c r="X3165"/>
    </row>
    <row r="3166" spans="23:24" x14ac:dyDescent="0.3">
      <c r="W3166"/>
      <c r="X3166"/>
    </row>
    <row r="3167" spans="23:24" x14ac:dyDescent="0.3">
      <c r="W3167"/>
      <c r="X3167"/>
    </row>
    <row r="3168" spans="23:24" x14ac:dyDescent="0.3">
      <c r="W3168"/>
      <c r="X3168"/>
    </row>
    <row r="3169" spans="23:24" x14ac:dyDescent="0.3">
      <c r="W3169"/>
      <c r="X3169"/>
    </row>
    <row r="3170" spans="23:24" x14ac:dyDescent="0.3">
      <c r="W3170"/>
      <c r="X3170"/>
    </row>
    <row r="3171" spans="23:24" x14ac:dyDescent="0.3">
      <c r="W3171"/>
      <c r="X3171"/>
    </row>
    <row r="3172" spans="23:24" x14ac:dyDescent="0.3">
      <c r="W3172"/>
      <c r="X3172"/>
    </row>
    <row r="3173" spans="23:24" x14ac:dyDescent="0.3">
      <c r="W3173"/>
      <c r="X3173"/>
    </row>
    <row r="3174" spans="23:24" x14ac:dyDescent="0.3">
      <c r="W3174"/>
      <c r="X3174"/>
    </row>
    <row r="3175" spans="23:24" x14ac:dyDescent="0.3">
      <c r="W3175"/>
      <c r="X3175"/>
    </row>
    <row r="3176" spans="23:24" x14ac:dyDescent="0.3">
      <c r="W3176"/>
      <c r="X3176"/>
    </row>
    <row r="3177" spans="23:24" x14ac:dyDescent="0.3">
      <c r="W3177"/>
      <c r="X3177"/>
    </row>
    <row r="3178" spans="23:24" x14ac:dyDescent="0.3">
      <c r="W3178"/>
      <c r="X3178"/>
    </row>
    <row r="3179" spans="23:24" x14ac:dyDescent="0.3">
      <c r="W3179"/>
      <c r="X3179"/>
    </row>
    <row r="3180" spans="23:24" x14ac:dyDescent="0.3">
      <c r="W3180"/>
      <c r="X3180"/>
    </row>
    <row r="3181" spans="23:24" x14ac:dyDescent="0.3">
      <c r="W3181"/>
      <c r="X3181"/>
    </row>
    <row r="3182" spans="23:24" x14ac:dyDescent="0.3">
      <c r="W3182"/>
      <c r="X3182"/>
    </row>
    <row r="3183" spans="23:24" x14ac:dyDescent="0.3">
      <c r="W3183"/>
      <c r="X3183"/>
    </row>
    <row r="3184" spans="23:24" x14ac:dyDescent="0.3">
      <c r="W3184"/>
      <c r="X3184"/>
    </row>
    <row r="3185" spans="23:24" x14ac:dyDescent="0.3">
      <c r="W3185"/>
      <c r="X3185"/>
    </row>
    <row r="3186" spans="23:24" x14ac:dyDescent="0.3">
      <c r="W3186"/>
      <c r="X3186"/>
    </row>
    <row r="3187" spans="23:24" x14ac:dyDescent="0.3">
      <c r="W3187"/>
      <c r="X3187"/>
    </row>
    <row r="3188" spans="23:24" x14ac:dyDescent="0.3">
      <c r="W3188"/>
      <c r="X3188"/>
    </row>
    <row r="3189" spans="23:24" x14ac:dyDescent="0.3">
      <c r="W3189"/>
      <c r="X3189"/>
    </row>
    <row r="3190" spans="23:24" x14ac:dyDescent="0.3">
      <c r="W3190"/>
      <c r="X3190"/>
    </row>
    <row r="3191" spans="23:24" x14ac:dyDescent="0.3">
      <c r="W3191"/>
      <c r="X3191"/>
    </row>
    <row r="3192" spans="23:24" x14ac:dyDescent="0.3">
      <c r="W3192"/>
      <c r="X3192"/>
    </row>
    <row r="3193" spans="23:24" x14ac:dyDescent="0.3">
      <c r="W3193"/>
      <c r="X3193"/>
    </row>
    <row r="3194" spans="23:24" x14ac:dyDescent="0.3">
      <c r="W3194"/>
      <c r="X3194"/>
    </row>
    <row r="3195" spans="23:24" x14ac:dyDescent="0.3">
      <c r="W3195"/>
      <c r="X3195"/>
    </row>
    <row r="3196" spans="23:24" x14ac:dyDescent="0.3">
      <c r="W3196"/>
      <c r="X3196"/>
    </row>
    <row r="3197" spans="23:24" x14ac:dyDescent="0.3">
      <c r="W3197"/>
      <c r="X3197"/>
    </row>
    <row r="3198" spans="23:24" x14ac:dyDescent="0.3">
      <c r="W3198"/>
      <c r="X3198"/>
    </row>
    <row r="3199" spans="23:24" x14ac:dyDescent="0.3">
      <c r="W3199"/>
      <c r="X3199"/>
    </row>
    <row r="3200" spans="23:24" x14ac:dyDescent="0.3">
      <c r="W3200"/>
      <c r="X3200"/>
    </row>
    <row r="3201" spans="23:24" x14ac:dyDescent="0.3">
      <c r="W3201"/>
      <c r="X3201"/>
    </row>
    <row r="3202" spans="23:24" x14ac:dyDescent="0.3">
      <c r="W3202"/>
      <c r="X3202"/>
    </row>
    <row r="3203" spans="23:24" x14ac:dyDescent="0.3">
      <c r="W3203"/>
      <c r="X3203"/>
    </row>
    <row r="3204" spans="23:24" x14ac:dyDescent="0.3">
      <c r="W3204"/>
      <c r="X3204"/>
    </row>
    <row r="3205" spans="23:24" x14ac:dyDescent="0.3">
      <c r="W3205"/>
      <c r="X3205"/>
    </row>
    <row r="3206" spans="23:24" x14ac:dyDescent="0.3">
      <c r="W3206"/>
      <c r="X3206"/>
    </row>
    <row r="3207" spans="23:24" x14ac:dyDescent="0.3">
      <c r="W3207"/>
      <c r="X3207"/>
    </row>
    <row r="3208" spans="23:24" x14ac:dyDescent="0.3">
      <c r="W3208"/>
      <c r="X3208"/>
    </row>
    <row r="3209" spans="23:24" x14ac:dyDescent="0.3">
      <c r="W3209"/>
      <c r="X3209"/>
    </row>
    <row r="3210" spans="23:24" x14ac:dyDescent="0.3">
      <c r="W3210"/>
      <c r="X3210"/>
    </row>
    <row r="3211" spans="23:24" x14ac:dyDescent="0.3">
      <c r="W3211"/>
      <c r="X3211"/>
    </row>
    <row r="3212" spans="23:24" x14ac:dyDescent="0.3">
      <c r="W3212"/>
      <c r="X3212"/>
    </row>
    <row r="3213" spans="23:24" x14ac:dyDescent="0.3">
      <c r="W3213"/>
      <c r="X3213"/>
    </row>
    <row r="3214" spans="23:24" x14ac:dyDescent="0.3">
      <c r="W3214"/>
      <c r="X3214"/>
    </row>
    <row r="3215" spans="23:24" x14ac:dyDescent="0.3">
      <c r="W3215"/>
      <c r="X3215"/>
    </row>
    <row r="3216" spans="23:24" x14ac:dyDescent="0.3">
      <c r="W3216"/>
      <c r="X3216"/>
    </row>
    <row r="3217" spans="23:24" x14ac:dyDescent="0.3">
      <c r="W3217"/>
      <c r="X3217"/>
    </row>
    <row r="3218" spans="23:24" x14ac:dyDescent="0.3">
      <c r="W3218"/>
      <c r="X3218"/>
    </row>
    <row r="3219" spans="23:24" x14ac:dyDescent="0.3">
      <c r="W3219"/>
      <c r="X3219"/>
    </row>
    <row r="3220" spans="23:24" x14ac:dyDescent="0.3">
      <c r="W3220"/>
      <c r="X3220"/>
    </row>
    <row r="3221" spans="23:24" x14ac:dyDescent="0.3">
      <c r="W3221"/>
      <c r="X3221"/>
    </row>
    <row r="3222" spans="23:24" x14ac:dyDescent="0.3">
      <c r="W3222"/>
      <c r="X3222"/>
    </row>
    <row r="3223" spans="23:24" x14ac:dyDescent="0.3">
      <c r="W3223"/>
      <c r="X3223"/>
    </row>
    <row r="3224" spans="23:24" x14ac:dyDescent="0.3">
      <c r="W3224"/>
      <c r="X3224"/>
    </row>
    <row r="3225" spans="23:24" x14ac:dyDescent="0.3">
      <c r="W3225"/>
      <c r="X3225"/>
    </row>
    <row r="3226" spans="23:24" x14ac:dyDescent="0.3">
      <c r="W3226"/>
      <c r="X3226"/>
    </row>
    <row r="3227" spans="23:24" x14ac:dyDescent="0.3">
      <c r="W3227"/>
      <c r="X3227"/>
    </row>
    <row r="3228" spans="23:24" x14ac:dyDescent="0.3">
      <c r="W3228"/>
      <c r="X3228"/>
    </row>
    <row r="3229" spans="23:24" x14ac:dyDescent="0.3">
      <c r="W3229"/>
      <c r="X3229"/>
    </row>
    <row r="3230" spans="23:24" x14ac:dyDescent="0.3">
      <c r="W3230"/>
      <c r="X3230"/>
    </row>
    <row r="3231" spans="23:24" x14ac:dyDescent="0.3">
      <c r="W3231"/>
      <c r="X3231"/>
    </row>
    <row r="3232" spans="23:24" x14ac:dyDescent="0.3">
      <c r="W3232"/>
      <c r="X3232"/>
    </row>
    <row r="3233" spans="23:24" x14ac:dyDescent="0.3">
      <c r="W3233"/>
      <c r="X3233"/>
    </row>
    <row r="3234" spans="23:24" x14ac:dyDescent="0.3">
      <c r="W3234"/>
      <c r="X3234"/>
    </row>
    <row r="3235" spans="23:24" x14ac:dyDescent="0.3">
      <c r="W3235"/>
      <c r="X3235"/>
    </row>
    <row r="3236" spans="23:24" x14ac:dyDescent="0.3">
      <c r="W3236"/>
      <c r="X3236"/>
    </row>
    <row r="3237" spans="23:24" x14ac:dyDescent="0.3">
      <c r="W3237"/>
      <c r="X3237"/>
    </row>
    <row r="3238" spans="23:24" x14ac:dyDescent="0.3">
      <c r="W3238"/>
      <c r="X3238"/>
    </row>
    <row r="3239" spans="23:24" x14ac:dyDescent="0.3">
      <c r="W3239"/>
      <c r="X3239"/>
    </row>
    <row r="3240" spans="23:24" x14ac:dyDescent="0.3">
      <c r="W3240"/>
      <c r="X3240"/>
    </row>
    <row r="3241" spans="23:24" x14ac:dyDescent="0.3">
      <c r="W3241"/>
      <c r="X3241"/>
    </row>
    <row r="3242" spans="23:24" x14ac:dyDescent="0.3">
      <c r="W3242"/>
      <c r="X3242"/>
    </row>
    <row r="3243" spans="23:24" x14ac:dyDescent="0.3">
      <c r="W3243"/>
      <c r="X3243"/>
    </row>
    <row r="3244" spans="23:24" x14ac:dyDescent="0.3">
      <c r="W3244"/>
      <c r="X3244"/>
    </row>
    <row r="3245" spans="23:24" x14ac:dyDescent="0.3">
      <c r="W3245"/>
      <c r="X3245"/>
    </row>
    <row r="3246" spans="23:24" x14ac:dyDescent="0.3">
      <c r="W3246"/>
      <c r="X3246"/>
    </row>
    <row r="3247" spans="23:24" x14ac:dyDescent="0.3">
      <c r="W3247"/>
      <c r="X3247"/>
    </row>
    <row r="3248" spans="23:24" x14ac:dyDescent="0.3">
      <c r="W3248"/>
      <c r="X3248"/>
    </row>
    <row r="3249" spans="23:24" x14ac:dyDescent="0.3">
      <c r="W3249"/>
      <c r="X3249"/>
    </row>
    <row r="3250" spans="23:24" x14ac:dyDescent="0.3">
      <c r="W3250"/>
      <c r="X3250"/>
    </row>
    <row r="3251" spans="23:24" x14ac:dyDescent="0.3">
      <c r="W3251"/>
      <c r="X3251"/>
    </row>
    <row r="3252" spans="23:24" x14ac:dyDescent="0.3">
      <c r="W3252"/>
      <c r="X3252"/>
    </row>
    <row r="3253" spans="23:24" x14ac:dyDescent="0.3">
      <c r="W3253"/>
      <c r="X3253"/>
    </row>
    <row r="3254" spans="23:24" x14ac:dyDescent="0.3">
      <c r="W3254"/>
      <c r="X3254"/>
    </row>
    <row r="3255" spans="23:24" x14ac:dyDescent="0.3">
      <c r="W3255"/>
      <c r="X3255"/>
    </row>
    <row r="3256" spans="23:24" x14ac:dyDescent="0.3">
      <c r="W3256"/>
      <c r="X3256"/>
    </row>
    <row r="3257" spans="23:24" x14ac:dyDescent="0.3">
      <c r="W3257"/>
      <c r="X3257"/>
    </row>
    <row r="3258" spans="23:24" x14ac:dyDescent="0.3">
      <c r="W3258"/>
      <c r="X3258"/>
    </row>
    <row r="3259" spans="23:24" x14ac:dyDescent="0.3">
      <c r="W3259"/>
      <c r="X3259"/>
    </row>
    <row r="3260" spans="23:24" x14ac:dyDescent="0.3">
      <c r="W3260"/>
      <c r="X3260"/>
    </row>
    <row r="3261" spans="23:24" x14ac:dyDescent="0.3">
      <c r="W3261"/>
      <c r="X3261"/>
    </row>
    <row r="3262" spans="23:24" x14ac:dyDescent="0.3">
      <c r="W3262"/>
      <c r="X3262"/>
    </row>
    <row r="3263" spans="23:24" x14ac:dyDescent="0.3">
      <c r="W3263"/>
      <c r="X3263"/>
    </row>
    <row r="3264" spans="23:24" x14ac:dyDescent="0.3">
      <c r="W3264"/>
      <c r="X3264"/>
    </row>
    <row r="3265" spans="23:24" x14ac:dyDescent="0.3">
      <c r="W3265"/>
      <c r="X3265"/>
    </row>
    <row r="3266" spans="23:24" x14ac:dyDescent="0.3">
      <c r="W3266"/>
      <c r="X3266"/>
    </row>
    <row r="3267" spans="23:24" x14ac:dyDescent="0.3">
      <c r="W3267"/>
      <c r="X3267"/>
    </row>
    <row r="3268" spans="23:24" x14ac:dyDescent="0.3">
      <c r="W3268"/>
      <c r="X3268"/>
    </row>
    <row r="3269" spans="23:24" x14ac:dyDescent="0.3">
      <c r="W3269"/>
      <c r="X3269"/>
    </row>
    <row r="3270" spans="23:24" x14ac:dyDescent="0.3">
      <c r="W3270"/>
      <c r="X3270"/>
    </row>
    <row r="3271" spans="23:24" x14ac:dyDescent="0.3">
      <c r="W3271"/>
      <c r="X3271"/>
    </row>
    <row r="3272" spans="23:24" x14ac:dyDescent="0.3">
      <c r="W3272"/>
      <c r="X3272"/>
    </row>
    <row r="3273" spans="23:24" x14ac:dyDescent="0.3">
      <c r="W3273"/>
      <c r="X3273"/>
    </row>
    <row r="3274" spans="23:24" x14ac:dyDescent="0.3">
      <c r="W3274"/>
      <c r="X3274"/>
    </row>
    <row r="3275" spans="23:24" x14ac:dyDescent="0.3">
      <c r="W3275"/>
      <c r="X3275"/>
    </row>
    <row r="3276" spans="23:24" x14ac:dyDescent="0.3">
      <c r="W3276"/>
      <c r="X3276"/>
    </row>
    <row r="3277" spans="23:24" x14ac:dyDescent="0.3">
      <c r="W3277"/>
      <c r="X3277"/>
    </row>
    <row r="3278" spans="23:24" x14ac:dyDescent="0.3">
      <c r="W3278"/>
      <c r="X3278"/>
    </row>
    <row r="3279" spans="23:24" x14ac:dyDescent="0.3">
      <c r="W3279"/>
      <c r="X3279"/>
    </row>
    <row r="3280" spans="23:24" x14ac:dyDescent="0.3">
      <c r="W3280"/>
      <c r="X3280"/>
    </row>
    <row r="3281" spans="23:24" x14ac:dyDescent="0.3">
      <c r="W3281"/>
      <c r="X3281"/>
    </row>
    <row r="3282" spans="23:24" x14ac:dyDescent="0.3">
      <c r="W3282"/>
      <c r="X3282"/>
    </row>
    <row r="3283" spans="23:24" x14ac:dyDescent="0.3">
      <c r="W3283"/>
      <c r="X3283"/>
    </row>
    <row r="3284" spans="23:24" x14ac:dyDescent="0.3">
      <c r="W3284"/>
      <c r="X3284"/>
    </row>
    <row r="3285" spans="23:24" x14ac:dyDescent="0.3">
      <c r="W3285"/>
      <c r="X3285"/>
    </row>
    <row r="3286" spans="23:24" x14ac:dyDescent="0.3">
      <c r="W3286"/>
      <c r="X3286"/>
    </row>
    <row r="3287" spans="23:24" x14ac:dyDescent="0.3">
      <c r="W3287"/>
      <c r="X3287"/>
    </row>
    <row r="3288" spans="23:24" x14ac:dyDescent="0.3">
      <c r="W3288"/>
      <c r="X3288"/>
    </row>
    <row r="3289" spans="23:24" x14ac:dyDescent="0.3">
      <c r="W3289"/>
      <c r="X3289"/>
    </row>
    <row r="3290" spans="23:24" x14ac:dyDescent="0.3">
      <c r="W3290"/>
      <c r="X3290"/>
    </row>
    <row r="3291" spans="23:24" x14ac:dyDescent="0.3">
      <c r="W3291"/>
      <c r="X3291"/>
    </row>
    <row r="3292" spans="23:24" x14ac:dyDescent="0.3">
      <c r="W3292"/>
      <c r="X3292"/>
    </row>
    <row r="3293" spans="23:24" x14ac:dyDescent="0.3">
      <c r="W3293"/>
      <c r="X3293"/>
    </row>
    <row r="3294" spans="23:24" x14ac:dyDescent="0.3">
      <c r="W3294"/>
      <c r="X3294"/>
    </row>
    <row r="3295" spans="23:24" x14ac:dyDescent="0.3">
      <c r="W3295"/>
      <c r="X3295"/>
    </row>
    <row r="3296" spans="23:24" x14ac:dyDescent="0.3">
      <c r="W3296"/>
      <c r="X3296"/>
    </row>
    <row r="3297" spans="23:24" x14ac:dyDescent="0.3">
      <c r="W3297"/>
      <c r="X3297"/>
    </row>
    <row r="3298" spans="23:24" x14ac:dyDescent="0.3">
      <c r="W3298"/>
      <c r="X3298"/>
    </row>
    <row r="3299" spans="23:24" x14ac:dyDescent="0.3">
      <c r="W3299"/>
      <c r="X3299"/>
    </row>
    <row r="3300" spans="23:24" x14ac:dyDescent="0.3">
      <c r="W3300"/>
      <c r="X3300"/>
    </row>
    <row r="3301" spans="23:24" x14ac:dyDescent="0.3">
      <c r="W3301"/>
      <c r="X3301"/>
    </row>
    <row r="3302" spans="23:24" x14ac:dyDescent="0.3">
      <c r="W3302"/>
      <c r="X3302"/>
    </row>
    <row r="3303" spans="23:24" x14ac:dyDescent="0.3">
      <c r="W3303"/>
      <c r="X3303"/>
    </row>
    <row r="3304" spans="23:24" x14ac:dyDescent="0.3">
      <c r="W3304"/>
      <c r="X3304"/>
    </row>
    <row r="3305" spans="23:24" x14ac:dyDescent="0.3">
      <c r="W3305"/>
      <c r="X3305"/>
    </row>
    <row r="3306" spans="23:24" x14ac:dyDescent="0.3">
      <c r="W3306"/>
      <c r="X3306"/>
    </row>
    <row r="3307" spans="23:24" x14ac:dyDescent="0.3">
      <c r="W3307"/>
      <c r="X3307"/>
    </row>
    <row r="3308" spans="23:24" x14ac:dyDescent="0.3">
      <c r="W3308"/>
      <c r="X3308"/>
    </row>
    <row r="3309" spans="23:24" x14ac:dyDescent="0.3">
      <c r="W3309"/>
      <c r="X3309"/>
    </row>
    <row r="3310" spans="23:24" x14ac:dyDescent="0.3">
      <c r="W3310"/>
      <c r="X3310"/>
    </row>
    <row r="3311" spans="23:24" x14ac:dyDescent="0.3">
      <c r="W3311"/>
      <c r="X3311"/>
    </row>
    <row r="3312" spans="23:24" x14ac:dyDescent="0.3">
      <c r="W3312"/>
      <c r="X3312"/>
    </row>
    <row r="3313" spans="23:24" x14ac:dyDescent="0.3">
      <c r="W3313"/>
      <c r="X3313"/>
    </row>
    <row r="3314" spans="23:24" x14ac:dyDescent="0.3">
      <c r="W3314"/>
      <c r="X3314"/>
    </row>
    <row r="3315" spans="23:24" x14ac:dyDescent="0.3">
      <c r="W3315"/>
      <c r="X3315"/>
    </row>
    <row r="3316" spans="23:24" x14ac:dyDescent="0.3">
      <c r="W3316"/>
      <c r="X3316"/>
    </row>
    <row r="3317" spans="23:24" x14ac:dyDescent="0.3">
      <c r="W3317"/>
      <c r="X3317"/>
    </row>
    <row r="3318" spans="23:24" x14ac:dyDescent="0.3">
      <c r="W3318"/>
      <c r="X3318"/>
    </row>
    <row r="3319" spans="23:24" x14ac:dyDescent="0.3">
      <c r="W3319"/>
      <c r="X3319"/>
    </row>
    <row r="3320" spans="23:24" x14ac:dyDescent="0.3">
      <c r="W3320"/>
      <c r="X3320"/>
    </row>
    <row r="3321" spans="23:24" x14ac:dyDescent="0.3">
      <c r="W3321"/>
      <c r="X3321"/>
    </row>
    <row r="3322" spans="23:24" x14ac:dyDescent="0.3">
      <c r="W3322"/>
      <c r="X3322"/>
    </row>
    <row r="3323" spans="23:24" x14ac:dyDescent="0.3">
      <c r="W3323"/>
      <c r="X3323"/>
    </row>
    <row r="3324" spans="23:24" x14ac:dyDescent="0.3">
      <c r="W3324"/>
      <c r="X3324"/>
    </row>
    <row r="3325" spans="23:24" x14ac:dyDescent="0.3">
      <c r="W3325"/>
      <c r="X3325"/>
    </row>
    <row r="3326" spans="23:24" x14ac:dyDescent="0.3">
      <c r="W3326"/>
      <c r="X3326"/>
    </row>
    <row r="3327" spans="23:24" x14ac:dyDescent="0.3">
      <c r="W3327"/>
      <c r="X3327"/>
    </row>
    <row r="3328" spans="23:24" x14ac:dyDescent="0.3">
      <c r="W3328"/>
      <c r="X3328"/>
    </row>
    <row r="3329" spans="23:24" x14ac:dyDescent="0.3">
      <c r="W3329"/>
      <c r="X3329"/>
    </row>
    <row r="3330" spans="23:24" x14ac:dyDescent="0.3">
      <c r="W3330"/>
      <c r="X3330"/>
    </row>
    <row r="3331" spans="23:24" x14ac:dyDescent="0.3">
      <c r="W3331"/>
      <c r="X3331"/>
    </row>
    <row r="3332" spans="23:24" x14ac:dyDescent="0.3">
      <c r="W3332"/>
      <c r="X3332"/>
    </row>
    <row r="3333" spans="23:24" x14ac:dyDescent="0.3">
      <c r="W3333"/>
      <c r="X3333"/>
    </row>
    <row r="3334" spans="23:24" x14ac:dyDescent="0.3">
      <c r="W3334"/>
      <c r="X3334"/>
    </row>
    <row r="3335" spans="23:24" x14ac:dyDescent="0.3">
      <c r="W3335"/>
      <c r="X3335"/>
    </row>
    <row r="3336" spans="23:24" x14ac:dyDescent="0.3">
      <c r="W3336"/>
      <c r="X3336"/>
    </row>
    <row r="3337" spans="23:24" x14ac:dyDescent="0.3">
      <c r="W3337"/>
      <c r="X3337"/>
    </row>
    <row r="3338" spans="23:24" x14ac:dyDescent="0.3">
      <c r="W3338"/>
      <c r="X3338"/>
    </row>
    <row r="3339" spans="23:24" x14ac:dyDescent="0.3">
      <c r="W3339"/>
      <c r="X3339"/>
    </row>
    <row r="3340" spans="23:24" x14ac:dyDescent="0.3">
      <c r="W3340"/>
      <c r="X3340"/>
    </row>
    <row r="3341" spans="23:24" x14ac:dyDescent="0.3">
      <c r="W3341"/>
      <c r="X3341"/>
    </row>
    <row r="3342" spans="23:24" x14ac:dyDescent="0.3">
      <c r="W3342"/>
      <c r="X3342"/>
    </row>
    <row r="3343" spans="23:24" x14ac:dyDescent="0.3">
      <c r="W3343"/>
      <c r="X3343"/>
    </row>
    <row r="3344" spans="23:24" x14ac:dyDescent="0.3">
      <c r="W3344"/>
      <c r="X3344"/>
    </row>
    <row r="3345" spans="23:24" x14ac:dyDescent="0.3">
      <c r="W3345"/>
      <c r="X3345"/>
    </row>
    <row r="3346" spans="23:24" x14ac:dyDescent="0.3">
      <c r="W3346"/>
      <c r="X3346"/>
    </row>
    <row r="3347" spans="23:24" x14ac:dyDescent="0.3">
      <c r="W3347"/>
      <c r="X3347"/>
    </row>
    <row r="3348" spans="23:24" x14ac:dyDescent="0.3">
      <c r="W3348"/>
      <c r="X3348"/>
    </row>
    <row r="3349" spans="23:24" x14ac:dyDescent="0.3">
      <c r="W3349"/>
      <c r="X3349"/>
    </row>
    <row r="3350" spans="23:24" x14ac:dyDescent="0.3">
      <c r="W3350"/>
      <c r="X3350"/>
    </row>
    <row r="3351" spans="23:24" x14ac:dyDescent="0.3">
      <c r="W3351"/>
      <c r="X3351"/>
    </row>
    <row r="3352" spans="23:24" x14ac:dyDescent="0.3">
      <c r="W3352"/>
      <c r="X3352"/>
    </row>
    <row r="3353" spans="23:24" x14ac:dyDescent="0.3">
      <c r="W3353"/>
      <c r="X3353"/>
    </row>
    <row r="3354" spans="23:24" x14ac:dyDescent="0.3">
      <c r="W3354"/>
      <c r="X3354"/>
    </row>
    <row r="3355" spans="23:24" x14ac:dyDescent="0.3">
      <c r="W3355"/>
      <c r="X3355"/>
    </row>
    <row r="3356" spans="23:24" x14ac:dyDescent="0.3">
      <c r="W3356"/>
      <c r="X3356"/>
    </row>
    <row r="3357" spans="23:24" x14ac:dyDescent="0.3">
      <c r="W3357"/>
      <c r="X3357"/>
    </row>
    <row r="3358" spans="23:24" x14ac:dyDescent="0.3">
      <c r="W3358"/>
      <c r="X3358"/>
    </row>
    <row r="3359" spans="23:24" x14ac:dyDescent="0.3">
      <c r="W3359"/>
      <c r="X3359"/>
    </row>
    <row r="3360" spans="23:24" x14ac:dyDescent="0.3">
      <c r="W3360"/>
      <c r="X3360"/>
    </row>
    <row r="3361" spans="23:24" x14ac:dyDescent="0.3">
      <c r="W3361"/>
      <c r="X3361"/>
    </row>
    <row r="3362" spans="23:24" x14ac:dyDescent="0.3">
      <c r="W3362"/>
      <c r="X3362"/>
    </row>
    <row r="3363" spans="23:24" x14ac:dyDescent="0.3">
      <c r="W3363"/>
      <c r="X3363"/>
    </row>
    <row r="3364" spans="23:24" x14ac:dyDescent="0.3">
      <c r="W3364"/>
      <c r="X3364"/>
    </row>
    <row r="3365" spans="23:24" x14ac:dyDescent="0.3">
      <c r="W3365"/>
      <c r="X3365"/>
    </row>
    <row r="3366" spans="23:24" x14ac:dyDescent="0.3">
      <c r="W3366"/>
      <c r="X3366"/>
    </row>
    <row r="3367" spans="23:24" x14ac:dyDescent="0.3">
      <c r="W3367"/>
      <c r="X3367"/>
    </row>
    <row r="3368" spans="23:24" x14ac:dyDescent="0.3">
      <c r="W3368"/>
      <c r="X3368"/>
    </row>
    <row r="3369" spans="23:24" x14ac:dyDescent="0.3">
      <c r="W3369"/>
      <c r="X3369"/>
    </row>
    <row r="3370" spans="23:24" x14ac:dyDescent="0.3">
      <c r="W3370"/>
      <c r="X3370"/>
    </row>
    <row r="3371" spans="23:24" x14ac:dyDescent="0.3">
      <c r="W3371"/>
      <c r="X3371"/>
    </row>
    <row r="3372" spans="23:24" x14ac:dyDescent="0.3">
      <c r="W3372"/>
      <c r="X3372"/>
    </row>
    <row r="3373" spans="23:24" x14ac:dyDescent="0.3">
      <c r="W3373"/>
      <c r="X3373"/>
    </row>
    <row r="3374" spans="23:24" x14ac:dyDescent="0.3">
      <c r="W3374"/>
      <c r="X3374"/>
    </row>
    <row r="3375" spans="23:24" x14ac:dyDescent="0.3">
      <c r="W3375"/>
      <c r="X3375"/>
    </row>
    <row r="3376" spans="23:24" x14ac:dyDescent="0.3">
      <c r="W3376"/>
      <c r="X3376"/>
    </row>
    <row r="3377" spans="23:24" x14ac:dyDescent="0.3">
      <c r="W3377"/>
      <c r="X3377"/>
    </row>
    <row r="3378" spans="23:24" x14ac:dyDescent="0.3">
      <c r="W3378"/>
      <c r="X3378"/>
    </row>
    <row r="3379" spans="23:24" x14ac:dyDescent="0.3">
      <c r="W3379"/>
      <c r="X3379"/>
    </row>
    <row r="3380" spans="23:24" x14ac:dyDescent="0.3">
      <c r="W3380"/>
      <c r="X3380"/>
    </row>
    <row r="3381" spans="23:24" x14ac:dyDescent="0.3">
      <c r="W3381"/>
      <c r="X3381"/>
    </row>
    <row r="3382" spans="23:24" x14ac:dyDescent="0.3">
      <c r="W3382"/>
      <c r="X3382"/>
    </row>
    <row r="3383" spans="23:24" x14ac:dyDescent="0.3">
      <c r="W3383"/>
      <c r="X3383"/>
    </row>
    <row r="3384" spans="23:24" x14ac:dyDescent="0.3">
      <c r="W3384"/>
      <c r="X3384"/>
    </row>
    <row r="3385" spans="23:24" x14ac:dyDescent="0.3">
      <c r="W3385"/>
      <c r="X3385"/>
    </row>
    <row r="3386" spans="23:24" x14ac:dyDescent="0.3">
      <c r="W3386"/>
      <c r="X3386"/>
    </row>
    <row r="3387" spans="23:24" x14ac:dyDescent="0.3">
      <c r="W3387"/>
      <c r="X3387"/>
    </row>
    <row r="3388" spans="23:24" x14ac:dyDescent="0.3">
      <c r="W3388"/>
      <c r="X3388"/>
    </row>
    <row r="3389" spans="23:24" x14ac:dyDescent="0.3">
      <c r="W3389"/>
      <c r="X3389"/>
    </row>
    <row r="3390" spans="23:24" x14ac:dyDescent="0.3">
      <c r="W3390"/>
      <c r="X3390"/>
    </row>
    <row r="3391" spans="23:24" x14ac:dyDescent="0.3">
      <c r="W3391"/>
      <c r="X3391"/>
    </row>
    <row r="3392" spans="23:24" x14ac:dyDescent="0.3">
      <c r="W3392"/>
      <c r="X3392"/>
    </row>
    <row r="3393" spans="23:24" x14ac:dyDescent="0.3">
      <c r="W3393"/>
      <c r="X3393"/>
    </row>
    <row r="3394" spans="23:24" x14ac:dyDescent="0.3">
      <c r="W3394"/>
      <c r="X3394"/>
    </row>
    <row r="3395" spans="23:24" x14ac:dyDescent="0.3">
      <c r="W3395"/>
      <c r="X3395"/>
    </row>
    <row r="3396" spans="23:24" x14ac:dyDescent="0.3">
      <c r="W3396"/>
      <c r="X3396"/>
    </row>
    <row r="3397" spans="23:24" x14ac:dyDescent="0.3">
      <c r="W3397"/>
      <c r="X3397"/>
    </row>
    <row r="3398" spans="23:24" x14ac:dyDescent="0.3">
      <c r="W3398"/>
      <c r="X3398"/>
    </row>
    <row r="3399" spans="23:24" x14ac:dyDescent="0.3">
      <c r="W3399"/>
      <c r="X3399"/>
    </row>
    <row r="3400" spans="23:24" x14ac:dyDescent="0.3">
      <c r="W3400"/>
      <c r="X3400"/>
    </row>
    <row r="3401" spans="23:24" x14ac:dyDescent="0.3">
      <c r="W3401"/>
      <c r="X3401"/>
    </row>
    <row r="3402" spans="23:24" x14ac:dyDescent="0.3">
      <c r="W3402"/>
      <c r="X3402"/>
    </row>
    <row r="3403" spans="23:24" x14ac:dyDescent="0.3">
      <c r="W3403"/>
      <c r="X3403"/>
    </row>
    <row r="3404" spans="23:24" x14ac:dyDescent="0.3">
      <c r="W3404"/>
      <c r="X3404"/>
    </row>
    <row r="3405" spans="23:24" x14ac:dyDescent="0.3">
      <c r="W3405"/>
      <c r="X3405"/>
    </row>
    <row r="3406" spans="23:24" x14ac:dyDescent="0.3">
      <c r="W3406"/>
      <c r="X3406"/>
    </row>
    <row r="3407" spans="23:24" x14ac:dyDescent="0.3">
      <c r="W3407"/>
      <c r="X3407"/>
    </row>
    <row r="3408" spans="23:24" x14ac:dyDescent="0.3">
      <c r="W3408"/>
      <c r="X3408"/>
    </row>
    <row r="3409" spans="23:24" x14ac:dyDescent="0.3">
      <c r="W3409"/>
      <c r="X3409"/>
    </row>
    <row r="3410" spans="23:24" x14ac:dyDescent="0.3">
      <c r="W3410"/>
      <c r="X3410"/>
    </row>
    <row r="3411" spans="23:24" x14ac:dyDescent="0.3">
      <c r="W3411"/>
      <c r="X3411"/>
    </row>
    <row r="3412" spans="23:24" x14ac:dyDescent="0.3">
      <c r="W3412"/>
      <c r="X3412"/>
    </row>
    <row r="3413" spans="23:24" x14ac:dyDescent="0.3">
      <c r="W3413"/>
      <c r="X3413"/>
    </row>
    <row r="3414" spans="23:24" x14ac:dyDescent="0.3">
      <c r="W3414"/>
      <c r="X3414"/>
    </row>
    <row r="3415" spans="23:24" x14ac:dyDescent="0.3">
      <c r="W3415"/>
      <c r="X3415"/>
    </row>
    <row r="3416" spans="23:24" x14ac:dyDescent="0.3">
      <c r="W3416"/>
      <c r="X3416"/>
    </row>
    <row r="3417" spans="23:24" x14ac:dyDescent="0.3">
      <c r="W3417"/>
      <c r="X3417"/>
    </row>
    <row r="3418" spans="23:24" x14ac:dyDescent="0.3">
      <c r="W3418"/>
      <c r="X3418"/>
    </row>
    <row r="3419" spans="23:24" x14ac:dyDescent="0.3">
      <c r="W3419"/>
      <c r="X3419"/>
    </row>
    <row r="3420" spans="23:24" x14ac:dyDescent="0.3">
      <c r="W3420"/>
      <c r="X3420"/>
    </row>
    <row r="3421" spans="23:24" x14ac:dyDescent="0.3">
      <c r="W3421"/>
      <c r="X3421"/>
    </row>
    <row r="3422" spans="23:24" x14ac:dyDescent="0.3">
      <c r="W3422"/>
      <c r="X3422"/>
    </row>
    <row r="3423" spans="23:24" x14ac:dyDescent="0.3">
      <c r="W3423"/>
      <c r="X3423"/>
    </row>
    <row r="3424" spans="23:24" x14ac:dyDescent="0.3">
      <c r="W3424"/>
      <c r="X3424"/>
    </row>
    <row r="3425" spans="23:24" x14ac:dyDescent="0.3">
      <c r="W3425"/>
      <c r="X3425"/>
    </row>
    <row r="3426" spans="23:24" x14ac:dyDescent="0.3">
      <c r="W3426"/>
      <c r="X3426"/>
    </row>
    <row r="3427" spans="23:24" x14ac:dyDescent="0.3">
      <c r="W3427"/>
      <c r="X3427"/>
    </row>
    <row r="3428" spans="23:24" x14ac:dyDescent="0.3">
      <c r="W3428"/>
      <c r="X3428"/>
    </row>
    <row r="3429" spans="23:24" x14ac:dyDescent="0.3">
      <c r="W3429"/>
      <c r="X3429"/>
    </row>
    <row r="3430" spans="23:24" x14ac:dyDescent="0.3">
      <c r="W3430"/>
      <c r="X3430"/>
    </row>
    <row r="3431" spans="23:24" x14ac:dyDescent="0.3">
      <c r="W3431"/>
      <c r="X3431"/>
    </row>
    <row r="3432" spans="23:24" x14ac:dyDescent="0.3">
      <c r="W3432"/>
      <c r="X3432"/>
    </row>
    <row r="3433" spans="23:24" x14ac:dyDescent="0.3">
      <c r="W3433"/>
      <c r="X3433"/>
    </row>
    <row r="3434" spans="23:24" x14ac:dyDescent="0.3">
      <c r="W3434"/>
      <c r="X3434"/>
    </row>
    <row r="3435" spans="23:24" x14ac:dyDescent="0.3">
      <c r="W3435"/>
      <c r="X3435"/>
    </row>
    <row r="3436" spans="23:24" x14ac:dyDescent="0.3">
      <c r="W3436"/>
      <c r="X3436"/>
    </row>
    <row r="3437" spans="23:24" x14ac:dyDescent="0.3">
      <c r="W3437"/>
      <c r="X3437"/>
    </row>
    <row r="3438" spans="23:24" x14ac:dyDescent="0.3">
      <c r="W3438"/>
      <c r="X3438"/>
    </row>
    <row r="3439" spans="23:24" x14ac:dyDescent="0.3">
      <c r="W3439"/>
      <c r="X3439"/>
    </row>
    <row r="3440" spans="23:24" x14ac:dyDescent="0.3">
      <c r="W3440"/>
      <c r="X3440"/>
    </row>
    <row r="3441" spans="23:24" x14ac:dyDescent="0.3">
      <c r="W3441"/>
      <c r="X3441"/>
    </row>
    <row r="3442" spans="23:24" x14ac:dyDescent="0.3">
      <c r="W3442"/>
      <c r="X3442"/>
    </row>
    <row r="3443" spans="23:24" x14ac:dyDescent="0.3">
      <c r="W3443"/>
      <c r="X3443"/>
    </row>
    <row r="3444" spans="23:24" x14ac:dyDescent="0.3">
      <c r="W3444"/>
      <c r="X3444"/>
    </row>
    <row r="3445" spans="23:24" x14ac:dyDescent="0.3">
      <c r="W3445"/>
      <c r="X3445"/>
    </row>
    <row r="3446" spans="23:24" x14ac:dyDescent="0.3">
      <c r="W3446"/>
      <c r="X3446"/>
    </row>
    <row r="3447" spans="23:24" x14ac:dyDescent="0.3">
      <c r="W3447"/>
      <c r="X3447"/>
    </row>
    <row r="3448" spans="23:24" x14ac:dyDescent="0.3">
      <c r="W3448"/>
      <c r="X3448"/>
    </row>
    <row r="3449" spans="23:24" x14ac:dyDescent="0.3">
      <c r="W3449"/>
      <c r="X3449"/>
    </row>
    <row r="3450" spans="23:24" x14ac:dyDescent="0.3">
      <c r="W3450"/>
      <c r="X3450"/>
    </row>
    <row r="3451" spans="23:24" x14ac:dyDescent="0.3">
      <c r="W3451"/>
      <c r="X3451"/>
    </row>
    <row r="3452" spans="23:24" x14ac:dyDescent="0.3">
      <c r="W3452"/>
      <c r="X3452"/>
    </row>
    <row r="3453" spans="23:24" x14ac:dyDescent="0.3">
      <c r="W3453"/>
      <c r="X3453"/>
    </row>
    <row r="3454" spans="23:24" x14ac:dyDescent="0.3">
      <c r="W3454"/>
      <c r="X3454"/>
    </row>
    <row r="3455" spans="23:24" x14ac:dyDescent="0.3">
      <c r="W3455"/>
      <c r="X3455"/>
    </row>
    <row r="3456" spans="23:24" x14ac:dyDescent="0.3">
      <c r="W3456"/>
      <c r="X3456"/>
    </row>
    <row r="3457" spans="23:24" x14ac:dyDescent="0.3">
      <c r="W3457"/>
      <c r="X3457"/>
    </row>
    <row r="3458" spans="23:24" x14ac:dyDescent="0.3">
      <c r="W3458"/>
      <c r="X3458"/>
    </row>
    <row r="3459" spans="23:24" x14ac:dyDescent="0.3">
      <c r="W3459"/>
      <c r="X3459"/>
    </row>
    <row r="3460" spans="23:24" x14ac:dyDescent="0.3">
      <c r="W3460"/>
      <c r="X3460"/>
    </row>
    <row r="3461" spans="23:24" x14ac:dyDescent="0.3">
      <c r="W3461"/>
      <c r="X3461"/>
    </row>
    <row r="3462" spans="23:24" x14ac:dyDescent="0.3">
      <c r="W3462"/>
      <c r="X3462"/>
    </row>
    <row r="3463" spans="23:24" x14ac:dyDescent="0.3">
      <c r="W3463"/>
      <c r="X3463"/>
    </row>
    <row r="3464" spans="23:24" x14ac:dyDescent="0.3">
      <c r="W3464"/>
      <c r="X3464"/>
    </row>
    <row r="3465" spans="23:24" x14ac:dyDescent="0.3">
      <c r="W3465"/>
      <c r="X3465"/>
    </row>
    <row r="3466" spans="23:24" x14ac:dyDescent="0.3">
      <c r="W3466"/>
      <c r="X3466"/>
    </row>
    <row r="3467" spans="23:24" x14ac:dyDescent="0.3">
      <c r="W3467"/>
      <c r="X3467"/>
    </row>
    <row r="3468" spans="23:24" x14ac:dyDescent="0.3">
      <c r="W3468"/>
      <c r="X3468"/>
    </row>
    <row r="3469" spans="23:24" x14ac:dyDescent="0.3">
      <c r="W3469"/>
      <c r="X3469"/>
    </row>
    <row r="3470" spans="23:24" x14ac:dyDescent="0.3">
      <c r="W3470"/>
      <c r="X3470"/>
    </row>
    <row r="3471" spans="23:24" x14ac:dyDescent="0.3">
      <c r="W3471"/>
      <c r="X3471"/>
    </row>
    <row r="3472" spans="23:24" x14ac:dyDescent="0.3">
      <c r="W3472"/>
      <c r="X3472"/>
    </row>
    <row r="3473" spans="23:24" x14ac:dyDescent="0.3">
      <c r="W3473"/>
      <c r="X3473"/>
    </row>
    <row r="3474" spans="23:24" x14ac:dyDescent="0.3">
      <c r="W3474"/>
      <c r="X3474"/>
    </row>
    <row r="3475" spans="23:24" x14ac:dyDescent="0.3">
      <c r="W3475"/>
      <c r="X3475"/>
    </row>
    <row r="3476" spans="23:24" x14ac:dyDescent="0.3">
      <c r="W3476"/>
      <c r="X3476"/>
    </row>
    <row r="3477" spans="23:24" x14ac:dyDescent="0.3">
      <c r="W3477"/>
      <c r="X3477"/>
    </row>
    <row r="3478" spans="23:24" x14ac:dyDescent="0.3">
      <c r="W3478"/>
      <c r="X3478"/>
    </row>
    <row r="3479" spans="23:24" x14ac:dyDescent="0.3">
      <c r="W3479"/>
      <c r="X3479"/>
    </row>
    <row r="3480" spans="23:24" x14ac:dyDescent="0.3">
      <c r="W3480"/>
      <c r="X3480"/>
    </row>
    <row r="3481" spans="23:24" x14ac:dyDescent="0.3">
      <c r="W3481"/>
      <c r="X3481"/>
    </row>
    <row r="3482" spans="23:24" x14ac:dyDescent="0.3">
      <c r="W3482"/>
      <c r="X3482"/>
    </row>
    <row r="3483" spans="23:24" x14ac:dyDescent="0.3">
      <c r="W3483"/>
      <c r="X3483"/>
    </row>
    <row r="3484" spans="23:24" x14ac:dyDescent="0.3">
      <c r="W3484"/>
      <c r="X3484"/>
    </row>
    <row r="3485" spans="23:24" x14ac:dyDescent="0.3">
      <c r="W3485"/>
      <c r="X3485"/>
    </row>
    <row r="3486" spans="23:24" x14ac:dyDescent="0.3">
      <c r="W3486"/>
      <c r="X3486"/>
    </row>
    <row r="3487" spans="23:24" x14ac:dyDescent="0.3">
      <c r="W3487"/>
      <c r="X3487"/>
    </row>
    <row r="3488" spans="23:24" x14ac:dyDescent="0.3">
      <c r="W3488"/>
      <c r="X3488"/>
    </row>
    <row r="3489" spans="23:24" x14ac:dyDescent="0.3">
      <c r="W3489"/>
      <c r="X3489"/>
    </row>
    <row r="3490" spans="23:24" x14ac:dyDescent="0.3">
      <c r="W3490"/>
      <c r="X3490"/>
    </row>
    <row r="3491" spans="23:24" x14ac:dyDescent="0.3">
      <c r="W3491"/>
      <c r="X3491"/>
    </row>
    <row r="3492" spans="23:24" x14ac:dyDescent="0.3">
      <c r="W3492"/>
      <c r="X3492"/>
    </row>
    <row r="3493" spans="23:24" x14ac:dyDescent="0.3">
      <c r="W3493"/>
      <c r="X3493"/>
    </row>
    <row r="3494" spans="23:24" x14ac:dyDescent="0.3">
      <c r="W3494"/>
      <c r="X3494"/>
    </row>
    <row r="3495" spans="23:24" x14ac:dyDescent="0.3">
      <c r="W3495"/>
      <c r="X3495"/>
    </row>
    <row r="3496" spans="23:24" x14ac:dyDescent="0.3">
      <c r="W3496"/>
      <c r="X3496"/>
    </row>
    <row r="3497" spans="23:24" x14ac:dyDescent="0.3">
      <c r="W3497"/>
      <c r="X3497"/>
    </row>
    <row r="3498" spans="23:24" x14ac:dyDescent="0.3">
      <c r="W3498"/>
      <c r="X3498"/>
    </row>
    <row r="3499" spans="23:24" x14ac:dyDescent="0.3">
      <c r="W3499"/>
      <c r="X3499"/>
    </row>
    <row r="3500" spans="23:24" x14ac:dyDescent="0.3">
      <c r="W3500"/>
      <c r="X3500"/>
    </row>
    <row r="3501" spans="23:24" x14ac:dyDescent="0.3">
      <c r="W3501"/>
      <c r="X3501"/>
    </row>
    <row r="3502" spans="23:24" x14ac:dyDescent="0.3">
      <c r="W3502"/>
      <c r="X3502"/>
    </row>
    <row r="3503" spans="23:24" x14ac:dyDescent="0.3">
      <c r="W3503"/>
      <c r="X3503"/>
    </row>
    <row r="3504" spans="23:24" x14ac:dyDescent="0.3">
      <c r="W3504"/>
      <c r="X3504"/>
    </row>
    <row r="3505" spans="23:24" x14ac:dyDescent="0.3">
      <c r="W3505"/>
      <c r="X3505"/>
    </row>
    <row r="3506" spans="23:24" x14ac:dyDescent="0.3">
      <c r="W3506"/>
      <c r="X3506"/>
    </row>
    <row r="3507" spans="23:24" x14ac:dyDescent="0.3">
      <c r="W3507"/>
      <c r="X3507"/>
    </row>
    <row r="3508" spans="23:24" x14ac:dyDescent="0.3">
      <c r="W3508"/>
      <c r="X3508"/>
    </row>
    <row r="3509" spans="23:24" x14ac:dyDescent="0.3">
      <c r="W3509"/>
      <c r="X3509"/>
    </row>
    <row r="3510" spans="23:24" x14ac:dyDescent="0.3">
      <c r="W3510"/>
      <c r="X3510"/>
    </row>
    <row r="3511" spans="23:24" x14ac:dyDescent="0.3">
      <c r="W3511"/>
      <c r="X3511"/>
    </row>
    <row r="3512" spans="23:24" x14ac:dyDescent="0.3">
      <c r="W3512"/>
      <c r="X3512"/>
    </row>
    <row r="3513" spans="23:24" x14ac:dyDescent="0.3">
      <c r="W3513"/>
      <c r="X3513"/>
    </row>
    <row r="3514" spans="23:24" x14ac:dyDescent="0.3">
      <c r="W3514"/>
      <c r="X3514"/>
    </row>
    <row r="3515" spans="23:24" x14ac:dyDescent="0.3">
      <c r="W3515"/>
      <c r="X3515"/>
    </row>
    <row r="3516" spans="23:24" x14ac:dyDescent="0.3">
      <c r="W3516"/>
      <c r="X3516"/>
    </row>
    <row r="3517" spans="23:24" x14ac:dyDescent="0.3">
      <c r="W3517"/>
      <c r="X3517"/>
    </row>
    <row r="3518" spans="23:24" x14ac:dyDescent="0.3">
      <c r="W3518"/>
      <c r="X3518"/>
    </row>
    <row r="3519" spans="23:24" x14ac:dyDescent="0.3">
      <c r="W3519"/>
      <c r="X3519"/>
    </row>
    <row r="3520" spans="23:24" x14ac:dyDescent="0.3">
      <c r="W3520"/>
      <c r="X3520"/>
    </row>
    <row r="3521" spans="23:24" x14ac:dyDescent="0.3">
      <c r="W3521"/>
      <c r="X3521"/>
    </row>
    <row r="3522" spans="23:24" x14ac:dyDescent="0.3">
      <c r="W3522"/>
      <c r="X3522"/>
    </row>
    <row r="3523" spans="23:24" x14ac:dyDescent="0.3">
      <c r="W3523"/>
      <c r="X3523"/>
    </row>
    <row r="3524" spans="23:24" x14ac:dyDescent="0.3">
      <c r="W3524"/>
      <c r="X3524"/>
    </row>
    <row r="3525" spans="23:24" x14ac:dyDescent="0.3">
      <c r="W3525"/>
      <c r="X3525"/>
    </row>
    <row r="3526" spans="23:24" x14ac:dyDescent="0.3">
      <c r="W3526"/>
      <c r="X3526"/>
    </row>
    <row r="3527" spans="23:24" x14ac:dyDescent="0.3">
      <c r="W3527"/>
      <c r="X3527"/>
    </row>
    <row r="3528" spans="23:24" x14ac:dyDescent="0.3">
      <c r="W3528"/>
      <c r="X3528"/>
    </row>
    <row r="3529" spans="23:24" x14ac:dyDescent="0.3">
      <c r="W3529"/>
      <c r="X3529"/>
    </row>
    <row r="3530" spans="23:24" x14ac:dyDescent="0.3">
      <c r="W3530"/>
      <c r="X3530"/>
    </row>
    <row r="3531" spans="23:24" x14ac:dyDescent="0.3">
      <c r="W3531"/>
      <c r="X3531"/>
    </row>
    <row r="3532" spans="23:24" x14ac:dyDescent="0.3">
      <c r="W3532"/>
      <c r="X3532"/>
    </row>
    <row r="3533" spans="23:24" x14ac:dyDescent="0.3">
      <c r="W3533"/>
      <c r="X3533"/>
    </row>
    <row r="3534" spans="23:24" x14ac:dyDescent="0.3">
      <c r="W3534"/>
      <c r="X3534"/>
    </row>
    <row r="3535" spans="23:24" x14ac:dyDescent="0.3">
      <c r="W3535"/>
      <c r="X3535"/>
    </row>
    <row r="3536" spans="23:24" x14ac:dyDescent="0.3">
      <c r="W3536"/>
      <c r="X3536"/>
    </row>
    <row r="3537" spans="23:24" x14ac:dyDescent="0.3">
      <c r="W3537"/>
      <c r="X3537"/>
    </row>
    <row r="3538" spans="23:24" x14ac:dyDescent="0.3">
      <c r="W3538"/>
      <c r="X3538"/>
    </row>
    <row r="3539" spans="23:24" x14ac:dyDescent="0.3">
      <c r="W3539"/>
      <c r="X3539"/>
    </row>
    <row r="3540" spans="23:24" x14ac:dyDescent="0.3">
      <c r="W3540"/>
      <c r="X3540"/>
    </row>
    <row r="3541" spans="23:24" x14ac:dyDescent="0.3">
      <c r="W3541"/>
      <c r="X3541"/>
    </row>
    <row r="3542" spans="23:24" x14ac:dyDescent="0.3">
      <c r="W3542"/>
      <c r="X3542"/>
    </row>
    <row r="3543" spans="23:24" x14ac:dyDescent="0.3">
      <c r="W3543"/>
      <c r="X3543"/>
    </row>
    <row r="3544" spans="23:24" x14ac:dyDescent="0.3">
      <c r="W3544"/>
      <c r="X3544"/>
    </row>
    <row r="3545" spans="23:24" x14ac:dyDescent="0.3">
      <c r="W3545"/>
      <c r="X3545"/>
    </row>
    <row r="3546" spans="23:24" x14ac:dyDescent="0.3">
      <c r="W3546"/>
      <c r="X3546"/>
    </row>
    <row r="3547" spans="23:24" x14ac:dyDescent="0.3">
      <c r="W3547"/>
      <c r="X3547"/>
    </row>
    <row r="3548" spans="23:24" x14ac:dyDescent="0.3">
      <c r="W3548"/>
      <c r="X3548"/>
    </row>
    <row r="3549" spans="23:24" x14ac:dyDescent="0.3">
      <c r="W3549"/>
      <c r="X3549"/>
    </row>
    <row r="3550" spans="23:24" x14ac:dyDescent="0.3">
      <c r="W3550"/>
      <c r="X3550"/>
    </row>
    <row r="3551" spans="23:24" x14ac:dyDescent="0.3">
      <c r="W3551"/>
      <c r="X3551"/>
    </row>
    <row r="3552" spans="23:24" x14ac:dyDescent="0.3">
      <c r="W3552"/>
      <c r="X3552"/>
    </row>
    <row r="3553" spans="23:24" x14ac:dyDescent="0.3">
      <c r="W3553"/>
      <c r="X3553"/>
    </row>
    <row r="3554" spans="23:24" x14ac:dyDescent="0.3">
      <c r="W3554"/>
      <c r="X3554"/>
    </row>
    <row r="3555" spans="23:24" x14ac:dyDescent="0.3">
      <c r="W3555"/>
      <c r="X3555"/>
    </row>
    <row r="3556" spans="23:24" x14ac:dyDescent="0.3">
      <c r="W3556"/>
      <c r="X3556"/>
    </row>
    <row r="3557" spans="23:24" x14ac:dyDescent="0.3">
      <c r="W3557"/>
      <c r="X3557"/>
    </row>
    <row r="3558" spans="23:24" x14ac:dyDescent="0.3">
      <c r="W3558"/>
      <c r="X3558"/>
    </row>
    <row r="3559" spans="23:24" x14ac:dyDescent="0.3">
      <c r="W3559"/>
      <c r="X3559"/>
    </row>
    <row r="3560" spans="23:24" x14ac:dyDescent="0.3">
      <c r="W3560"/>
      <c r="X3560"/>
    </row>
    <row r="3561" spans="23:24" x14ac:dyDescent="0.3">
      <c r="W3561"/>
      <c r="X3561"/>
    </row>
    <row r="3562" spans="23:24" x14ac:dyDescent="0.3">
      <c r="W3562"/>
      <c r="X3562"/>
    </row>
    <row r="3563" spans="23:24" x14ac:dyDescent="0.3">
      <c r="W3563"/>
      <c r="X3563"/>
    </row>
    <row r="3564" spans="23:24" x14ac:dyDescent="0.3">
      <c r="W3564"/>
      <c r="X3564"/>
    </row>
    <row r="3565" spans="23:24" x14ac:dyDescent="0.3">
      <c r="W3565"/>
      <c r="X3565"/>
    </row>
    <row r="3566" spans="23:24" x14ac:dyDescent="0.3">
      <c r="W3566"/>
      <c r="X3566"/>
    </row>
    <row r="3567" spans="23:24" x14ac:dyDescent="0.3">
      <c r="W3567"/>
      <c r="X3567"/>
    </row>
    <row r="3568" spans="23:24" x14ac:dyDescent="0.3">
      <c r="W3568"/>
      <c r="X3568"/>
    </row>
    <row r="3569" spans="23:24" x14ac:dyDescent="0.3">
      <c r="W3569"/>
      <c r="X3569"/>
    </row>
    <row r="3570" spans="23:24" x14ac:dyDescent="0.3">
      <c r="W3570"/>
      <c r="X3570"/>
    </row>
    <row r="3571" spans="23:24" x14ac:dyDescent="0.3">
      <c r="W3571"/>
      <c r="X3571"/>
    </row>
    <row r="3572" spans="23:24" x14ac:dyDescent="0.3">
      <c r="W3572"/>
      <c r="X3572"/>
    </row>
    <row r="3573" spans="23:24" x14ac:dyDescent="0.3">
      <c r="W3573"/>
      <c r="X3573"/>
    </row>
    <row r="3574" spans="23:24" x14ac:dyDescent="0.3">
      <c r="W3574"/>
      <c r="X3574"/>
    </row>
    <row r="3575" spans="23:24" x14ac:dyDescent="0.3">
      <c r="W3575"/>
      <c r="X3575"/>
    </row>
    <row r="3576" spans="23:24" x14ac:dyDescent="0.3">
      <c r="W3576"/>
      <c r="X3576"/>
    </row>
    <row r="3577" spans="23:24" x14ac:dyDescent="0.3">
      <c r="W3577"/>
      <c r="X3577"/>
    </row>
    <row r="3578" spans="23:24" x14ac:dyDescent="0.3">
      <c r="W3578"/>
      <c r="X3578"/>
    </row>
    <row r="3579" spans="23:24" x14ac:dyDescent="0.3">
      <c r="W3579"/>
      <c r="X3579"/>
    </row>
    <row r="3580" spans="23:24" x14ac:dyDescent="0.3">
      <c r="W3580"/>
      <c r="X3580"/>
    </row>
    <row r="3581" spans="23:24" x14ac:dyDescent="0.3">
      <c r="W3581"/>
      <c r="X3581"/>
    </row>
    <row r="3582" spans="23:24" x14ac:dyDescent="0.3">
      <c r="W3582"/>
      <c r="X3582"/>
    </row>
    <row r="3583" spans="23:24" x14ac:dyDescent="0.3">
      <c r="W3583"/>
      <c r="X3583"/>
    </row>
    <row r="3584" spans="23:24" x14ac:dyDescent="0.3">
      <c r="W3584"/>
      <c r="X3584"/>
    </row>
    <row r="3585" spans="23:24" x14ac:dyDescent="0.3">
      <c r="W3585"/>
      <c r="X3585"/>
    </row>
    <row r="3586" spans="23:24" x14ac:dyDescent="0.3">
      <c r="W3586"/>
      <c r="X3586"/>
    </row>
    <row r="3587" spans="23:24" x14ac:dyDescent="0.3">
      <c r="W3587"/>
      <c r="X3587"/>
    </row>
    <row r="3588" spans="23:24" x14ac:dyDescent="0.3">
      <c r="W3588"/>
      <c r="X3588"/>
    </row>
    <row r="3589" spans="23:24" x14ac:dyDescent="0.3">
      <c r="W3589"/>
      <c r="X3589"/>
    </row>
    <row r="3590" spans="23:24" x14ac:dyDescent="0.3">
      <c r="W3590"/>
      <c r="X3590"/>
    </row>
    <row r="3591" spans="23:24" x14ac:dyDescent="0.3">
      <c r="W3591"/>
      <c r="X3591"/>
    </row>
    <row r="3592" spans="23:24" x14ac:dyDescent="0.3">
      <c r="W3592"/>
      <c r="X3592"/>
    </row>
    <row r="3593" spans="23:24" x14ac:dyDescent="0.3">
      <c r="W3593"/>
      <c r="X3593"/>
    </row>
    <row r="3594" spans="23:24" x14ac:dyDescent="0.3">
      <c r="W3594"/>
      <c r="X3594"/>
    </row>
    <row r="3595" spans="23:24" x14ac:dyDescent="0.3">
      <c r="W3595"/>
      <c r="X3595"/>
    </row>
    <row r="3596" spans="23:24" x14ac:dyDescent="0.3">
      <c r="W3596"/>
      <c r="X3596"/>
    </row>
    <row r="3597" spans="23:24" x14ac:dyDescent="0.3">
      <c r="W3597"/>
      <c r="X3597"/>
    </row>
    <row r="3598" spans="23:24" x14ac:dyDescent="0.3">
      <c r="W3598"/>
      <c r="X3598"/>
    </row>
    <row r="3599" spans="23:24" x14ac:dyDescent="0.3">
      <c r="W3599"/>
      <c r="X3599"/>
    </row>
    <row r="3600" spans="23:24" x14ac:dyDescent="0.3">
      <c r="W3600"/>
      <c r="X3600"/>
    </row>
    <row r="3601" spans="23:24" x14ac:dyDescent="0.3">
      <c r="W3601"/>
      <c r="X3601"/>
    </row>
    <row r="3602" spans="23:24" x14ac:dyDescent="0.3">
      <c r="W3602"/>
      <c r="X3602"/>
    </row>
    <row r="3603" spans="23:24" x14ac:dyDescent="0.3">
      <c r="W3603"/>
      <c r="X3603"/>
    </row>
    <row r="3604" spans="23:24" x14ac:dyDescent="0.3">
      <c r="W3604"/>
      <c r="X3604"/>
    </row>
    <row r="3605" spans="23:24" x14ac:dyDescent="0.3">
      <c r="W3605"/>
      <c r="X3605"/>
    </row>
    <row r="3606" spans="23:24" x14ac:dyDescent="0.3">
      <c r="W3606"/>
      <c r="X3606"/>
    </row>
    <row r="3607" spans="23:24" x14ac:dyDescent="0.3">
      <c r="W3607"/>
      <c r="X3607"/>
    </row>
    <row r="3608" spans="23:24" x14ac:dyDescent="0.3">
      <c r="W3608"/>
      <c r="X3608"/>
    </row>
    <row r="3609" spans="23:24" x14ac:dyDescent="0.3">
      <c r="W3609"/>
      <c r="X3609"/>
    </row>
    <row r="3610" spans="23:24" x14ac:dyDescent="0.3">
      <c r="W3610"/>
      <c r="X3610"/>
    </row>
    <row r="3611" spans="23:24" x14ac:dyDescent="0.3">
      <c r="W3611"/>
      <c r="X3611"/>
    </row>
    <row r="3612" spans="23:24" x14ac:dyDescent="0.3">
      <c r="W3612"/>
      <c r="X3612"/>
    </row>
    <row r="3613" spans="23:24" x14ac:dyDescent="0.3">
      <c r="W3613"/>
      <c r="X3613"/>
    </row>
    <row r="3614" spans="23:24" x14ac:dyDescent="0.3">
      <c r="W3614"/>
      <c r="X3614"/>
    </row>
    <row r="3615" spans="23:24" x14ac:dyDescent="0.3">
      <c r="W3615"/>
      <c r="X3615"/>
    </row>
    <row r="3616" spans="23:24" x14ac:dyDescent="0.3">
      <c r="W3616"/>
      <c r="X3616"/>
    </row>
    <row r="3617" spans="23:24" x14ac:dyDescent="0.3">
      <c r="W3617"/>
      <c r="X3617"/>
    </row>
    <row r="3618" spans="23:24" x14ac:dyDescent="0.3">
      <c r="W3618"/>
      <c r="X3618"/>
    </row>
    <row r="3619" spans="23:24" x14ac:dyDescent="0.3">
      <c r="W3619"/>
      <c r="X3619"/>
    </row>
    <row r="3620" spans="23:24" x14ac:dyDescent="0.3">
      <c r="W3620"/>
      <c r="X3620"/>
    </row>
    <row r="3621" spans="23:24" x14ac:dyDescent="0.3">
      <c r="W3621"/>
      <c r="X3621"/>
    </row>
    <row r="3622" spans="23:24" x14ac:dyDescent="0.3">
      <c r="W3622"/>
      <c r="X3622"/>
    </row>
    <row r="3623" spans="23:24" x14ac:dyDescent="0.3">
      <c r="W3623"/>
      <c r="X3623"/>
    </row>
    <row r="3624" spans="23:24" x14ac:dyDescent="0.3">
      <c r="W3624"/>
      <c r="X3624"/>
    </row>
    <row r="3625" spans="23:24" x14ac:dyDescent="0.3">
      <c r="W3625"/>
      <c r="X3625"/>
    </row>
    <row r="3626" spans="23:24" x14ac:dyDescent="0.3">
      <c r="W3626"/>
      <c r="X3626"/>
    </row>
    <row r="3627" spans="23:24" x14ac:dyDescent="0.3">
      <c r="W3627"/>
      <c r="X3627"/>
    </row>
    <row r="3628" spans="23:24" x14ac:dyDescent="0.3">
      <c r="W3628"/>
      <c r="X3628"/>
    </row>
    <row r="3629" spans="23:24" x14ac:dyDescent="0.3">
      <c r="W3629"/>
      <c r="X3629"/>
    </row>
    <row r="3630" spans="23:24" x14ac:dyDescent="0.3">
      <c r="W3630"/>
      <c r="X3630"/>
    </row>
    <row r="3631" spans="23:24" x14ac:dyDescent="0.3">
      <c r="W3631"/>
      <c r="X3631"/>
    </row>
    <row r="3632" spans="23:24" x14ac:dyDescent="0.3">
      <c r="W3632"/>
      <c r="X3632"/>
    </row>
    <row r="3633" spans="23:24" x14ac:dyDescent="0.3">
      <c r="W3633"/>
      <c r="X3633"/>
    </row>
    <row r="3634" spans="23:24" x14ac:dyDescent="0.3">
      <c r="W3634"/>
      <c r="X3634"/>
    </row>
    <row r="3635" spans="23:24" x14ac:dyDescent="0.3">
      <c r="W3635"/>
      <c r="X3635"/>
    </row>
    <row r="3636" spans="23:24" x14ac:dyDescent="0.3">
      <c r="W3636"/>
      <c r="X3636"/>
    </row>
    <row r="3637" spans="23:24" x14ac:dyDescent="0.3">
      <c r="W3637"/>
      <c r="X3637"/>
    </row>
    <row r="3638" spans="23:24" x14ac:dyDescent="0.3">
      <c r="W3638"/>
      <c r="X3638"/>
    </row>
    <row r="3639" spans="23:24" x14ac:dyDescent="0.3">
      <c r="W3639"/>
      <c r="X3639"/>
    </row>
    <row r="3640" spans="23:24" x14ac:dyDescent="0.3">
      <c r="W3640"/>
      <c r="X3640"/>
    </row>
    <row r="3641" spans="23:24" x14ac:dyDescent="0.3">
      <c r="W3641"/>
      <c r="X3641"/>
    </row>
    <row r="3642" spans="23:24" x14ac:dyDescent="0.3">
      <c r="W3642"/>
      <c r="X3642"/>
    </row>
    <row r="3643" spans="23:24" x14ac:dyDescent="0.3">
      <c r="W3643"/>
      <c r="X3643"/>
    </row>
    <row r="3644" spans="23:24" x14ac:dyDescent="0.3">
      <c r="W3644"/>
      <c r="X3644"/>
    </row>
    <row r="3645" spans="23:24" x14ac:dyDescent="0.3">
      <c r="W3645"/>
      <c r="X3645"/>
    </row>
    <row r="3646" spans="23:24" x14ac:dyDescent="0.3">
      <c r="W3646"/>
      <c r="X3646"/>
    </row>
    <row r="3647" spans="23:24" x14ac:dyDescent="0.3">
      <c r="W3647"/>
      <c r="X3647"/>
    </row>
    <row r="3648" spans="23:24" x14ac:dyDescent="0.3">
      <c r="W3648"/>
      <c r="X3648"/>
    </row>
    <row r="3649" spans="23:24" x14ac:dyDescent="0.3">
      <c r="W3649"/>
      <c r="X3649"/>
    </row>
    <row r="3650" spans="23:24" x14ac:dyDescent="0.3">
      <c r="W3650"/>
      <c r="X3650"/>
    </row>
    <row r="3651" spans="23:24" x14ac:dyDescent="0.3">
      <c r="W3651"/>
      <c r="X3651"/>
    </row>
    <row r="3652" spans="23:24" x14ac:dyDescent="0.3">
      <c r="W3652"/>
      <c r="X3652"/>
    </row>
    <row r="3653" spans="23:24" x14ac:dyDescent="0.3">
      <c r="W3653"/>
      <c r="X3653"/>
    </row>
    <row r="3654" spans="23:24" x14ac:dyDescent="0.3">
      <c r="W3654"/>
      <c r="X3654"/>
    </row>
    <row r="3655" spans="23:24" x14ac:dyDescent="0.3">
      <c r="W3655"/>
      <c r="X3655"/>
    </row>
    <row r="3656" spans="23:24" x14ac:dyDescent="0.3">
      <c r="W3656"/>
      <c r="X3656"/>
    </row>
    <row r="3657" spans="23:24" x14ac:dyDescent="0.3">
      <c r="W3657"/>
      <c r="X3657"/>
    </row>
    <row r="3658" spans="23:24" x14ac:dyDescent="0.3">
      <c r="W3658"/>
      <c r="X3658"/>
    </row>
    <row r="3659" spans="23:24" x14ac:dyDescent="0.3">
      <c r="W3659"/>
      <c r="X3659"/>
    </row>
    <row r="3660" spans="23:24" x14ac:dyDescent="0.3">
      <c r="W3660"/>
      <c r="X3660"/>
    </row>
    <row r="3661" spans="23:24" x14ac:dyDescent="0.3">
      <c r="W3661"/>
      <c r="X3661"/>
    </row>
    <row r="3662" spans="23:24" x14ac:dyDescent="0.3">
      <c r="W3662"/>
      <c r="X3662"/>
    </row>
    <row r="3663" spans="23:24" x14ac:dyDescent="0.3">
      <c r="W3663"/>
      <c r="X3663"/>
    </row>
    <row r="3664" spans="23:24" x14ac:dyDescent="0.3">
      <c r="W3664"/>
      <c r="X3664"/>
    </row>
    <row r="3665" spans="23:24" x14ac:dyDescent="0.3">
      <c r="W3665"/>
      <c r="X3665"/>
    </row>
    <row r="3666" spans="23:24" x14ac:dyDescent="0.3">
      <c r="W3666"/>
      <c r="X3666"/>
    </row>
    <row r="3667" spans="23:24" x14ac:dyDescent="0.3">
      <c r="W3667"/>
      <c r="X3667"/>
    </row>
    <row r="3668" spans="23:24" x14ac:dyDescent="0.3">
      <c r="W3668"/>
      <c r="X3668"/>
    </row>
    <row r="3669" spans="23:24" x14ac:dyDescent="0.3">
      <c r="W3669"/>
      <c r="X3669"/>
    </row>
    <row r="3670" spans="23:24" x14ac:dyDescent="0.3">
      <c r="W3670"/>
      <c r="X3670"/>
    </row>
    <row r="3671" spans="23:24" x14ac:dyDescent="0.3">
      <c r="W3671"/>
      <c r="X3671"/>
    </row>
    <row r="3672" spans="23:24" x14ac:dyDescent="0.3">
      <c r="W3672"/>
      <c r="X3672"/>
    </row>
    <row r="3673" spans="23:24" x14ac:dyDescent="0.3">
      <c r="W3673"/>
      <c r="X3673"/>
    </row>
    <row r="3674" spans="23:24" x14ac:dyDescent="0.3">
      <c r="W3674"/>
      <c r="X3674"/>
    </row>
    <row r="3675" spans="23:24" x14ac:dyDescent="0.3">
      <c r="W3675"/>
      <c r="X3675"/>
    </row>
    <row r="3676" spans="23:24" x14ac:dyDescent="0.3">
      <c r="W3676"/>
      <c r="X3676"/>
    </row>
    <row r="3677" spans="23:24" x14ac:dyDescent="0.3">
      <c r="W3677"/>
      <c r="X3677"/>
    </row>
    <row r="3678" spans="23:24" x14ac:dyDescent="0.3">
      <c r="W3678"/>
      <c r="X3678"/>
    </row>
    <row r="3679" spans="23:24" x14ac:dyDescent="0.3">
      <c r="W3679"/>
      <c r="X3679"/>
    </row>
    <row r="3680" spans="23:24" x14ac:dyDescent="0.3">
      <c r="W3680"/>
      <c r="X3680"/>
    </row>
    <row r="3681" spans="23:24" x14ac:dyDescent="0.3">
      <c r="W3681"/>
      <c r="X3681"/>
    </row>
    <row r="3682" spans="23:24" x14ac:dyDescent="0.3">
      <c r="W3682"/>
      <c r="X3682"/>
    </row>
    <row r="3683" spans="23:24" x14ac:dyDescent="0.3">
      <c r="W3683"/>
      <c r="X3683"/>
    </row>
    <row r="3684" spans="23:24" x14ac:dyDescent="0.3">
      <c r="W3684"/>
      <c r="X3684"/>
    </row>
    <row r="3685" spans="23:24" x14ac:dyDescent="0.3">
      <c r="W3685"/>
      <c r="X3685"/>
    </row>
    <row r="3686" spans="23:24" x14ac:dyDescent="0.3">
      <c r="W3686"/>
      <c r="X3686"/>
    </row>
    <row r="3687" spans="23:24" x14ac:dyDescent="0.3">
      <c r="W3687"/>
      <c r="X3687"/>
    </row>
    <row r="3688" spans="23:24" x14ac:dyDescent="0.3">
      <c r="W3688"/>
      <c r="X3688"/>
    </row>
    <row r="3689" spans="23:24" x14ac:dyDescent="0.3">
      <c r="W3689"/>
      <c r="X3689"/>
    </row>
    <row r="3690" spans="23:24" x14ac:dyDescent="0.3">
      <c r="W3690"/>
      <c r="X3690"/>
    </row>
    <row r="3691" spans="23:24" x14ac:dyDescent="0.3">
      <c r="W3691"/>
      <c r="X3691"/>
    </row>
    <row r="3692" spans="23:24" x14ac:dyDescent="0.3">
      <c r="W3692"/>
      <c r="X3692"/>
    </row>
    <row r="3693" spans="23:24" x14ac:dyDescent="0.3">
      <c r="W3693"/>
      <c r="X3693"/>
    </row>
    <row r="3694" spans="23:24" x14ac:dyDescent="0.3">
      <c r="W3694"/>
      <c r="X3694"/>
    </row>
    <row r="3695" spans="23:24" x14ac:dyDescent="0.3">
      <c r="W3695"/>
      <c r="X3695"/>
    </row>
    <row r="3696" spans="23:24" x14ac:dyDescent="0.3">
      <c r="W3696"/>
      <c r="X3696"/>
    </row>
    <row r="3697" spans="23:24" x14ac:dyDescent="0.3">
      <c r="W3697"/>
      <c r="X3697"/>
    </row>
    <row r="3698" spans="23:24" x14ac:dyDescent="0.3">
      <c r="W3698"/>
      <c r="X3698"/>
    </row>
    <row r="3699" spans="23:24" x14ac:dyDescent="0.3">
      <c r="W3699"/>
      <c r="X3699"/>
    </row>
    <row r="3700" spans="23:24" x14ac:dyDescent="0.3">
      <c r="W3700"/>
      <c r="X3700"/>
    </row>
    <row r="3701" spans="23:24" x14ac:dyDescent="0.3">
      <c r="W3701"/>
      <c r="X3701"/>
    </row>
    <row r="3702" spans="23:24" x14ac:dyDescent="0.3">
      <c r="W3702"/>
      <c r="X3702"/>
    </row>
    <row r="3703" spans="23:24" x14ac:dyDescent="0.3">
      <c r="W3703"/>
      <c r="X3703"/>
    </row>
    <row r="3704" spans="23:24" x14ac:dyDescent="0.3">
      <c r="W3704"/>
      <c r="X3704"/>
    </row>
    <row r="3705" spans="23:24" x14ac:dyDescent="0.3">
      <c r="W3705"/>
      <c r="X3705"/>
    </row>
    <row r="3706" spans="23:24" x14ac:dyDescent="0.3">
      <c r="W3706"/>
      <c r="X3706"/>
    </row>
    <row r="3707" spans="23:24" x14ac:dyDescent="0.3">
      <c r="W3707"/>
      <c r="X3707"/>
    </row>
    <row r="3708" spans="23:24" x14ac:dyDescent="0.3">
      <c r="W3708"/>
      <c r="X3708"/>
    </row>
    <row r="3709" spans="23:24" x14ac:dyDescent="0.3">
      <c r="W3709"/>
      <c r="X3709"/>
    </row>
    <row r="3710" spans="23:24" x14ac:dyDescent="0.3">
      <c r="W3710"/>
      <c r="X3710"/>
    </row>
    <row r="3711" spans="23:24" x14ac:dyDescent="0.3">
      <c r="W3711"/>
      <c r="X3711"/>
    </row>
    <row r="3712" spans="23:24" x14ac:dyDescent="0.3">
      <c r="W3712"/>
      <c r="X3712"/>
    </row>
    <row r="3713" spans="23:24" x14ac:dyDescent="0.3">
      <c r="W3713"/>
      <c r="X3713"/>
    </row>
    <row r="3714" spans="23:24" x14ac:dyDescent="0.3">
      <c r="W3714"/>
      <c r="X3714"/>
    </row>
    <row r="3715" spans="23:24" x14ac:dyDescent="0.3">
      <c r="W3715"/>
      <c r="X3715"/>
    </row>
    <row r="3716" spans="23:24" x14ac:dyDescent="0.3">
      <c r="W3716"/>
      <c r="X3716"/>
    </row>
    <row r="3717" spans="23:24" x14ac:dyDescent="0.3">
      <c r="W3717"/>
      <c r="X3717"/>
    </row>
    <row r="3718" spans="23:24" x14ac:dyDescent="0.3">
      <c r="W3718"/>
      <c r="X3718"/>
    </row>
    <row r="3719" spans="23:24" x14ac:dyDescent="0.3">
      <c r="W3719"/>
      <c r="X3719"/>
    </row>
    <row r="3720" spans="23:24" x14ac:dyDescent="0.3">
      <c r="W3720"/>
      <c r="X3720"/>
    </row>
    <row r="3721" spans="23:24" x14ac:dyDescent="0.3">
      <c r="W3721"/>
      <c r="X3721"/>
    </row>
    <row r="3722" spans="23:24" x14ac:dyDescent="0.3">
      <c r="W3722"/>
      <c r="X3722"/>
    </row>
    <row r="3723" spans="23:24" x14ac:dyDescent="0.3">
      <c r="W3723"/>
      <c r="X3723"/>
    </row>
    <row r="3724" spans="23:24" x14ac:dyDescent="0.3">
      <c r="W3724"/>
      <c r="X3724"/>
    </row>
    <row r="3725" spans="23:24" x14ac:dyDescent="0.3">
      <c r="W3725"/>
      <c r="X3725"/>
    </row>
    <row r="3726" spans="23:24" x14ac:dyDescent="0.3">
      <c r="W3726"/>
      <c r="X3726"/>
    </row>
    <row r="3727" spans="23:24" x14ac:dyDescent="0.3">
      <c r="W3727"/>
      <c r="X3727"/>
    </row>
    <row r="3728" spans="23:24" x14ac:dyDescent="0.3">
      <c r="W3728"/>
      <c r="X3728"/>
    </row>
    <row r="3729" spans="23:24" x14ac:dyDescent="0.3">
      <c r="W3729"/>
      <c r="X3729"/>
    </row>
    <row r="3730" spans="23:24" x14ac:dyDescent="0.3">
      <c r="W3730"/>
      <c r="X3730"/>
    </row>
    <row r="3731" spans="23:24" x14ac:dyDescent="0.3">
      <c r="W3731"/>
      <c r="X3731"/>
    </row>
    <row r="3732" spans="23:24" x14ac:dyDescent="0.3">
      <c r="W3732"/>
      <c r="X3732"/>
    </row>
    <row r="3733" spans="23:24" x14ac:dyDescent="0.3">
      <c r="W3733"/>
      <c r="X3733"/>
    </row>
    <row r="3734" spans="23:24" x14ac:dyDescent="0.3">
      <c r="W3734"/>
      <c r="X3734"/>
    </row>
    <row r="3735" spans="23:24" x14ac:dyDescent="0.3">
      <c r="W3735"/>
      <c r="X3735"/>
    </row>
    <row r="3736" spans="23:24" x14ac:dyDescent="0.3">
      <c r="W3736"/>
      <c r="X3736"/>
    </row>
    <row r="3737" spans="23:24" x14ac:dyDescent="0.3">
      <c r="W3737"/>
      <c r="X3737"/>
    </row>
    <row r="3738" spans="23:24" x14ac:dyDescent="0.3">
      <c r="W3738"/>
      <c r="X3738"/>
    </row>
    <row r="3739" spans="23:24" x14ac:dyDescent="0.3">
      <c r="W3739"/>
      <c r="X3739"/>
    </row>
    <row r="3740" spans="23:24" x14ac:dyDescent="0.3">
      <c r="W3740"/>
      <c r="X3740"/>
    </row>
    <row r="3741" spans="23:24" x14ac:dyDescent="0.3">
      <c r="W3741"/>
      <c r="X3741"/>
    </row>
    <row r="3742" spans="23:24" x14ac:dyDescent="0.3">
      <c r="W3742"/>
      <c r="X3742"/>
    </row>
    <row r="3743" spans="23:24" x14ac:dyDescent="0.3">
      <c r="W3743"/>
      <c r="X3743"/>
    </row>
    <row r="3744" spans="23:24" x14ac:dyDescent="0.3">
      <c r="W3744"/>
      <c r="X3744"/>
    </row>
    <row r="3745" spans="23:24" x14ac:dyDescent="0.3">
      <c r="W3745"/>
      <c r="X3745"/>
    </row>
    <row r="3746" spans="23:24" x14ac:dyDescent="0.3">
      <c r="W3746"/>
      <c r="X3746"/>
    </row>
    <row r="3747" spans="23:24" x14ac:dyDescent="0.3">
      <c r="W3747"/>
      <c r="X3747"/>
    </row>
    <row r="3748" spans="23:24" x14ac:dyDescent="0.3">
      <c r="W3748"/>
      <c r="X3748"/>
    </row>
    <row r="3749" spans="23:24" x14ac:dyDescent="0.3">
      <c r="W3749"/>
      <c r="X3749"/>
    </row>
    <row r="3750" spans="23:24" x14ac:dyDescent="0.3">
      <c r="W3750"/>
      <c r="X3750"/>
    </row>
    <row r="3751" spans="23:24" x14ac:dyDescent="0.3">
      <c r="W3751"/>
      <c r="X3751"/>
    </row>
    <row r="3752" spans="23:24" x14ac:dyDescent="0.3">
      <c r="W3752"/>
      <c r="X3752"/>
    </row>
    <row r="3753" spans="23:24" x14ac:dyDescent="0.3">
      <c r="W3753"/>
      <c r="X3753"/>
    </row>
    <row r="3754" spans="23:24" x14ac:dyDescent="0.3">
      <c r="W3754"/>
      <c r="X3754"/>
    </row>
    <row r="3755" spans="23:24" x14ac:dyDescent="0.3">
      <c r="W3755"/>
      <c r="X3755"/>
    </row>
    <row r="3756" spans="23:24" x14ac:dyDescent="0.3">
      <c r="W3756"/>
      <c r="X3756"/>
    </row>
    <row r="3757" spans="23:24" x14ac:dyDescent="0.3">
      <c r="W3757"/>
      <c r="X3757"/>
    </row>
    <row r="3758" spans="23:24" x14ac:dyDescent="0.3">
      <c r="W3758"/>
      <c r="X3758"/>
    </row>
    <row r="3759" spans="23:24" x14ac:dyDescent="0.3">
      <c r="W3759"/>
      <c r="X3759"/>
    </row>
    <row r="3760" spans="23:24" x14ac:dyDescent="0.3">
      <c r="W3760"/>
      <c r="X3760"/>
    </row>
    <row r="3761" spans="23:24" x14ac:dyDescent="0.3">
      <c r="W3761"/>
      <c r="X3761"/>
    </row>
    <row r="3762" spans="23:24" x14ac:dyDescent="0.3">
      <c r="W3762"/>
      <c r="X3762"/>
    </row>
    <row r="3763" spans="23:24" x14ac:dyDescent="0.3">
      <c r="W3763"/>
      <c r="X3763"/>
    </row>
    <row r="3764" spans="23:24" x14ac:dyDescent="0.3">
      <c r="W3764"/>
      <c r="X3764"/>
    </row>
    <row r="3765" spans="23:24" x14ac:dyDescent="0.3">
      <c r="W3765"/>
      <c r="X3765"/>
    </row>
    <row r="3766" spans="23:24" x14ac:dyDescent="0.3">
      <c r="W3766"/>
      <c r="X3766"/>
    </row>
    <row r="3767" spans="23:24" x14ac:dyDescent="0.3">
      <c r="W3767"/>
      <c r="X3767"/>
    </row>
    <row r="3768" spans="23:24" x14ac:dyDescent="0.3">
      <c r="W3768"/>
      <c r="X3768"/>
    </row>
    <row r="3769" spans="23:24" x14ac:dyDescent="0.3">
      <c r="W3769"/>
      <c r="X3769"/>
    </row>
    <row r="3770" spans="23:24" x14ac:dyDescent="0.3">
      <c r="W3770"/>
      <c r="X3770"/>
    </row>
    <row r="3771" spans="23:24" x14ac:dyDescent="0.3">
      <c r="W3771"/>
      <c r="X3771"/>
    </row>
    <row r="3772" spans="23:24" x14ac:dyDescent="0.3">
      <c r="W3772"/>
      <c r="X3772"/>
    </row>
    <row r="3773" spans="23:24" x14ac:dyDescent="0.3">
      <c r="W3773"/>
      <c r="X3773"/>
    </row>
    <row r="3774" spans="23:24" x14ac:dyDescent="0.3">
      <c r="W3774"/>
      <c r="X3774"/>
    </row>
    <row r="3775" spans="23:24" x14ac:dyDescent="0.3">
      <c r="W3775"/>
      <c r="X3775"/>
    </row>
    <row r="3776" spans="23:24" x14ac:dyDescent="0.3">
      <c r="W3776"/>
      <c r="X3776"/>
    </row>
    <row r="3777" spans="23:24" x14ac:dyDescent="0.3">
      <c r="W3777"/>
      <c r="X3777"/>
    </row>
    <row r="3778" spans="23:24" x14ac:dyDescent="0.3">
      <c r="W3778"/>
      <c r="X3778"/>
    </row>
    <row r="3779" spans="23:24" x14ac:dyDescent="0.3">
      <c r="W3779"/>
      <c r="X3779"/>
    </row>
    <row r="3780" spans="23:24" x14ac:dyDescent="0.3">
      <c r="W3780"/>
      <c r="X3780"/>
    </row>
    <row r="3781" spans="23:24" x14ac:dyDescent="0.3">
      <c r="W3781"/>
      <c r="X3781"/>
    </row>
    <row r="3782" spans="23:24" x14ac:dyDescent="0.3">
      <c r="W3782"/>
      <c r="X3782"/>
    </row>
    <row r="3783" spans="23:24" x14ac:dyDescent="0.3">
      <c r="W3783"/>
      <c r="X3783"/>
    </row>
    <row r="3784" spans="23:24" x14ac:dyDescent="0.3">
      <c r="W3784"/>
      <c r="X3784"/>
    </row>
    <row r="3785" spans="23:24" x14ac:dyDescent="0.3">
      <c r="W3785"/>
      <c r="X3785"/>
    </row>
    <row r="3786" spans="23:24" x14ac:dyDescent="0.3">
      <c r="W3786"/>
      <c r="X3786"/>
    </row>
    <row r="3787" spans="23:24" x14ac:dyDescent="0.3">
      <c r="W3787"/>
      <c r="X3787"/>
    </row>
    <row r="3788" spans="23:24" x14ac:dyDescent="0.3">
      <c r="W3788"/>
      <c r="X3788"/>
    </row>
    <row r="3789" spans="23:24" x14ac:dyDescent="0.3">
      <c r="W3789"/>
      <c r="X3789"/>
    </row>
    <row r="3790" spans="23:24" x14ac:dyDescent="0.3">
      <c r="W3790"/>
      <c r="X3790"/>
    </row>
    <row r="3791" spans="23:24" x14ac:dyDescent="0.3">
      <c r="W3791"/>
      <c r="X3791"/>
    </row>
    <row r="3792" spans="23:24" x14ac:dyDescent="0.3">
      <c r="W3792"/>
      <c r="X3792"/>
    </row>
    <row r="3793" spans="23:24" x14ac:dyDescent="0.3">
      <c r="W3793"/>
      <c r="X3793"/>
    </row>
    <row r="3794" spans="23:24" x14ac:dyDescent="0.3">
      <c r="W3794"/>
      <c r="X3794"/>
    </row>
    <row r="3795" spans="23:24" x14ac:dyDescent="0.3">
      <c r="W3795"/>
      <c r="X3795"/>
    </row>
    <row r="3796" spans="23:24" x14ac:dyDescent="0.3">
      <c r="W3796"/>
      <c r="X3796"/>
    </row>
    <row r="3797" spans="23:24" x14ac:dyDescent="0.3">
      <c r="W3797"/>
      <c r="X3797"/>
    </row>
    <row r="3798" spans="23:24" x14ac:dyDescent="0.3">
      <c r="W3798"/>
      <c r="X3798"/>
    </row>
    <row r="3799" spans="23:24" x14ac:dyDescent="0.3">
      <c r="W3799"/>
      <c r="X3799"/>
    </row>
    <row r="3800" spans="23:24" x14ac:dyDescent="0.3">
      <c r="W3800"/>
      <c r="X3800"/>
    </row>
    <row r="3801" spans="23:24" x14ac:dyDescent="0.3">
      <c r="W3801"/>
      <c r="X3801"/>
    </row>
    <row r="3802" spans="23:24" x14ac:dyDescent="0.3">
      <c r="W3802"/>
      <c r="X3802"/>
    </row>
    <row r="3803" spans="23:24" x14ac:dyDescent="0.3">
      <c r="W3803"/>
      <c r="X3803"/>
    </row>
    <row r="3804" spans="23:24" x14ac:dyDescent="0.3">
      <c r="W3804"/>
      <c r="X3804"/>
    </row>
    <row r="3805" spans="23:24" x14ac:dyDescent="0.3">
      <c r="W3805"/>
      <c r="X3805"/>
    </row>
    <row r="3806" spans="23:24" x14ac:dyDescent="0.3">
      <c r="W3806"/>
      <c r="X3806"/>
    </row>
    <row r="3807" spans="23:24" x14ac:dyDescent="0.3">
      <c r="W3807"/>
      <c r="X3807"/>
    </row>
    <row r="3808" spans="23:24" x14ac:dyDescent="0.3">
      <c r="W3808"/>
      <c r="X3808"/>
    </row>
    <row r="3809" spans="23:24" x14ac:dyDescent="0.3">
      <c r="W3809"/>
      <c r="X3809"/>
    </row>
    <row r="3810" spans="23:24" x14ac:dyDescent="0.3">
      <c r="W3810"/>
      <c r="X3810"/>
    </row>
    <row r="3811" spans="23:24" x14ac:dyDescent="0.3">
      <c r="W3811"/>
      <c r="X3811"/>
    </row>
    <row r="3812" spans="23:24" x14ac:dyDescent="0.3">
      <c r="W3812"/>
      <c r="X3812"/>
    </row>
    <row r="3813" spans="23:24" x14ac:dyDescent="0.3">
      <c r="W3813"/>
      <c r="X3813"/>
    </row>
    <row r="3814" spans="23:24" x14ac:dyDescent="0.3">
      <c r="W3814"/>
      <c r="X3814"/>
    </row>
    <row r="3815" spans="23:24" x14ac:dyDescent="0.3">
      <c r="W3815"/>
      <c r="X3815"/>
    </row>
    <row r="3816" spans="23:24" x14ac:dyDescent="0.3">
      <c r="W3816"/>
      <c r="X3816"/>
    </row>
    <row r="3817" spans="23:24" x14ac:dyDescent="0.3">
      <c r="W3817"/>
      <c r="X3817"/>
    </row>
    <row r="3818" spans="23:24" x14ac:dyDescent="0.3">
      <c r="W3818"/>
      <c r="X3818"/>
    </row>
    <row r="3819" spans="23:24" x14ac:dyDescent="0.3">
      <c r="W3819"/>
      <c r="X3819"/>
    </row>
    <row r="3820" spans="23:24" x14ac:dyDescent="0.3">
      <c r="W3820"/>
      <c r="X3820"/>
    </row>
    <row r="3821" spans="23:24" x14ac:dyDescent="0.3">
      <c r="W3821"/>
      <c r="X3821"/>
    </row>
    <row r="3822" spans="23:24" x14ac:dyDescent="0.3">
      <c r="W3822"/>
      <c r="X3822"/>
    </row>
    <row r="3823" spans="23:24" x14ac:dyDescent="0.3">
      <c r="W3823"/>
      <c r="X3823"/>
    </row>
    <row r="3824" spans="23:24" x14ac:dyDescent="0.3">
      <c r="W3824"/>
      <c r="X3824"/>
    </row>
    <row r="3825" spans="23:24" x14ac:dyDescent="0.3">
      <c r="W3825"/>
      <c r="X3825"/>
    </row>
    <row r="3826" spans="23:24" x14ac:dyDescent="0.3">
      <c r="W3826"/>
      <c r="X3826"/>
    </row>
    <row r="3827" spans="23:24" x14ac:dyDescent="0.3">
      <c r="W3827"/>
      <c r="X3827"/>
    </row>
    <row r="3828" spans="23:24" x14ac:dyDescent="0.3">
      <c r="W3828"/>
      <c r="X3828"/>
    </row>
    <row r="3829" spans="23:24" x14ac:dyDescent="0.3">
      <c r="W3829"/>
      <c r="X3829"/>
    </row>
    <row r="3830" spans="23:24" x14ac:dyDescent="0.3">
      <c r="W3830"/>
      <c r="X3830"/>
    </row>
    <row r="3831" spans="23:24" x14ac:dyDescent="0.3">
      <c r="W3831"/>
      <c r="X3831"/>
    </row>
    <row r="3832" spans="23:24" x14ac:dyDescent="0.3">
      <c r="W3832"/>
      <c r="X3832"/>
    </row>
    <row r="3833" spans="23:24" x14ac:dyDescent="0.3">
      <c r="W3833"/>
      <c r="X3833"/>
    </row>
    <row r="3834" spans="23:24" x14ac:dyDescent="0.3">
      <c r="W3834"/>
      <c r="X3834"/>
    </row>
    <row r="3835" spans="23:24" x14ac:dyDescent="0.3">
      <c r="W3835"/>
      <c r="X3835"/>
    </row>
    <row r="3836" spans="23:24" x14ac:dyDescent="0.3">
      <c r="W3836"/>
      <c r="X3836"/>
    </row>
    <row r="3837" spans="23:24" x14ac:dyDescent="0.3">
      <c r="W3837"/>
      <c r="X3837"/>
    </row>
    <row r="3838" spans="23:24" x14ac:dyDescent="0.3">
      <c r="W3838"/>
      <c r="X3838"/>
    </row>
    <row r="3839" spans="23:24" x14ac:dyDescent="0.3">
      <c r="W3839"/>
      <c r="X3839"/>
    </row>
    <row r="3840" spans="23:24" x14ac:dyDescent="0.3">
      <c r="W3840"/>
      <c r="X3840"/>
    </row>
    <row r="3841" spans="23:24" x14ac:dyDescent="0.3">
      <c r="W3841"/>
      <c r="X3841"/>
    </row>
    <row r="3842" spans="23:24" x14ac:dyDescent="0.3">
      <c r="W3842"/>
      <c r="X3842"/>
    </row>
    <row r="3843" spans="23:24" x14ac:dyDescent="0.3">
      <c r="W3843"/>
      <c r="X3843"/>
    </row>
    <row r="3844" spans="23:24" x14ac:dyDescent="0.3">
      <c r="W3844"/>
      <c r="X3844"/>
    </row>
    <row r="3845" spans="23:24" x14ac:dyDescent="0.3">
      <c r="W3845"/>
      <c r="X3845"/>
    </row>
    <row r="3846" spans="23:24" x14ac:dyDescent="0.3">
      <c r="W3846"/>
      <c r="X3846"/>
    </row>
    <row r="3847" spans="23:24" x14ac:dyDescent="0.3">
      <c r="W3847"/>
      <c r="X3847"/>
    </row>
    <row r="3848" spans="23:24" x14ac:dyDescent="0.3">
      <c r="W3848"/>
      <c r="X3848"/>
    </row>
    <row r="3849" spans="23:24" x14ac:dyDescent="0.3">
      <c r="W3849"/>
      <c r="X3849"/>
    </row>
    <row r="3850" spans="23:24" x14ac:dyDescent="0.3">
      <c r="W3850"/>
      <c r="X3850"/>
    </row>
    <row r="3851" spans="23:24" x14ac:dyDescent="0.3">
      <c r="W3851"/>
      <c r="X3851"/>
    </row>
    <row r="3852" spans="23:24" x14ac:dyDescent="0.3">
      <c r="W3852"/>
      <c r="X3852"/>
    </row>
    <row r="3853" spans="23:24" x14ac:dyDescent="0.3">
      <c r="W3853"/>
      <c r="X3853"/>
    </row>
    <row r="3854" spans="23:24" x14ac:dyDescent="0.3">
      <c r="W3854"/>
      <c r="X3854"/>
    </row>
    <row r="3855" spans="23:24" x14ac:dyDescent="0.3">
      <c r="W3855"/>
      <c r="X3855"/>
    </row>
    <row r="3856" spans="23:24" x14ac:dyDescent="0.3">
      <c r="W3856"/>
      <c r="X3856"/>
    </row>
    <row r="3857" spans="23:24" x14ac:dyDescent="0.3">
      <c r="W3857"/>
      <c r="X3857"/>
    </row>
    <row r="3858" spans="23:24" x14ac:dyDescent="0.3">
      <c r="W3858"/>
      <c r="X3858"/>
    </row>
    <row r="3859" spans="23:24" x14ac:dyDescent="0.3">
      <c r="W3859"/>
      <c r="X3859"/>
    </row>
    <row r="3860" spans="23:24" x14ac:dyDescent="0.3">
      <c r="W3860"/>
      <c r="X3860"/>
    </row>
    <row r="3861" spans="23:24" x14ac:dyDescent="0.3">
      <c r="W3861"/>
      <c r="X3861"/>
    </row>
    <row r="3862" spans="23:24" x14ac:dyDescent="0.3">
      <c r="W3862"/>
      <c r="X3862"/>
    </row>
    <row r="3863" spans="23:24" x14ac:dyDescent="0.3">
      <c r="W3863"/>
      <c r="X3863"/>
    </row>
    <row r="3864" spans="23:24" x14ac:dyDescent="0.3">
      <c r="W3864"/>
      <c r="X3864"/>
    </row>
    <row r="3865" spans="23:24" x14ac:dyDescent="0.3">
      <c r="W3865"/>
      <c r="X3865"/>
    </row>
    <row r="3866" spans="23:24" x14ac:dyDescent="0.3">
      <c r="W3866"/>
      <c r="X3866"/>
    </row>
    <row r="3867" spans="23:24" x14ac:dyDescent="0.3">
      <c r="W3867"/>
      <c r="X3867"/>
    </row>
    <row r="3868" spans="23:24" x14ac:dyDescent="0.3">
      <c r="W3868"/>
      <c r="X3868"/>
    </row>
    <row r="3869" spans="23:24" x14ac:dyDescent="0.3">
      <c r="W3869"/>
      <c r="X3869"/>
    </row>
    <row r="3870" spans="23:24" x14ac:dyDescent="0.3">
      <c r="W3870"/>
      <c r="X3870"/>
    </row>
    <row r="3871" spans="23:24" x14ac:dyDescent="0.3">
      <c r="W3871"/>
      <c r="X3871"/>
    </row>
    <row r="3872" spans="23:24" x14ac:dyDescent="0.3">
      <c r="W3872"/>
      <c r="X3872"/>
    </row>
    <row r="3873" spans="23:24" x14ac:dyDescent="0.3">
      <c r="W3873"/>
      <c r="X3873"/>
    </row>
    <row r="3874" spans="23:24" x14ac:dyDescent="0.3">
      <c r="W3874"/>
      <c r="X3874"/>
    </row>
    <row r="3875" spans="23:24" x14ac:dyDescent="0.3">
      <c r="W3875"/>
      <c r="X3875"/>
    </row>
    <row r="3876" spans="23:24" x14ac:dyDescent="0.3">
      <c r="W3876"/>
      <c r="X3876"/>
    </row>
    <row r="3877" spans="23:24" x14ac:dyDescent="0.3">
      <c r="W3877"/>
      <c r="X3877"/>
    </row>
    <row r="3878" spans="23:24" x14ac:dyDescent="0.3">
      <c r="W3878"/>
      <c r="X3878"/>
    </row>
    <row r="3879" spans="23:24" x14ac:dyDescent="0.3">
      <c r="W3879"/>
      <c r="X3879"/>
    </row>
    <row r="3880" spans="23:24" x14ac:dyDescent="0.3">
      <c r="W3880"/>
      <c r="X3880"/>
    </row>
    <row r="3881" spans="23:24" x14ac:dyDescent="0.3">
      <c r="W3881"/>
      <c r="X3881"/>
    </row>
    <row r="3882" spans="23:24" x14ac:dyDescent="0.3">
      <c r="W3882"/>
      <c r="X3882"/>
    </row>
    <row r="3883" spans="23:24" x14ac:dyDescent="0.3">
      <c r="W3883"/>
      <c r="X3883"/>
    </row>
    <row r="3884" spans="23:24" x14ac:dyDescent="0.3">
      <c r="W3884"/>
      <c r="X3884"/>
    </row>
    <row r="3885" spans="23:24" x14ac:dyDescent="0.3">
      <c r="W3885"/>
      <c r="X3885"/>
    </row>
    <row r="3886" spans="23:24" x14ac:dyDescent="0.3">
      <c r="W3886"/>
      <c r="X3886"/>
    </row>
    <row r="3887" spans="23:24" x14ac:dyDescent="0.3">
      <c r="W3887"/>
      <c r="X3887"/>
    </row>
    <row r="3888" spans="23:24" x14ac:dyDescent="0.3">
      <c r="W3888"/>
      <c r="X3888"/>
    </row>
    <row r="3889" spans="23:24" x14ac:dyDescent="0.3">
      <c r="W3889"/>
      <c r="X3889"/>
    </row>
    <row r="3890" spans="23:24" x14ac:dyDescent="0.3">
      <c r="W3890"/>
      <c r="X3890"/>
    </row>
    <row r="3891" spans="23:24" x14ac:dyDescent="0.3">
      <c r="W3891"/>
      <c r="X3891"/>
    </row>
    <row r="3892" spans="23:24" x14ac:dyDescent="0.3">
      <c r="W3892"/>
      <c r="X3892"/>
    </row>
    <row r="3893" spans="23:24" x14ac:dyDescent="0.3">
      <c r="W3893"/>
      <c r="X3893"/>
    </row>
    <row r="3894" spans="23:24" x14ac:dyDescent="0.3">
      <c r="W3894"/>
      <c r="X3894"/>
    </row>
    <row r="3895" spans="23:24" x14ac:dyDescent="0.3">
      <c r="W3895"/>
      <c r="X3895"/>
    </row>
    <row r="3896" spans="23:24" x14ac:dyDescent="0.3">
      <c r="W3896"/>
      <c r="X3896"/>
    </row>
    <row r="3897" spans="23:24" x14ac:dyDescent="0.3">
      <c r="W3897"/>
      <c r="X3897"/>
    </row>
    <row r="3898" spans="23:24" x14ac:dyDescent="0.3">
      <c r="W3898"/>
      <c r="X3898"/>
    </row>
    <row r="3899" spans="23:24" x14ac:dyDescent="0.3">
      <c r="W3899"/>
      <c r="X3899"/>
    </row>
    <row r="3900" spans="23:24" x14ac:dyDescent="0.3">
      <c r="W3900"/>
      <c r="X3900"/>
    </row>
    <row r="3901" spans="23:24" x14ac:dyDescent="0.3">
      <c r="W3901"/>
      <c r="X3901"/>
    </row>
    <row r="3902" spans="23:24" x14ac:dyDescent="0.3">
      <c r="W3902"/>
      <c r="X3902"/>
    </row>
    <row r="3903" spans="23:24" x14ac:dyDescent="0.3">
      <c r="W3903"/>
      <c r="X3903"/>
    </row>
    <row r="3904" spans="23:24" x14ac:dyDescent="0.3">
      <c r="W3904"/>
      <c r="X3904"/>
    </row>
    <row r="3905" spans="23:24" x14ac:dyDescent="0.3">
      <c r="W3905"/>
      <c r="X3905"/>
    </row>
    <row r="3906" spans="23:24" x14ac:dyDescent="0.3">
      <c r="W3906"/>
      <c r="X3906"/>
    </row>
    <row r="3907" spans="23:24" x14ac:dyDescent="0.3">
      <c r="W3907"/>
      <c r="X3907"/>
    </row>
    <row r="3908" spans="23:24" x14ac:dyDescent="0.3">
      <c r="W3908"/>
      <c r="X3908"/>
    </row>
    <row r="3909" spans="23:24" x14ac:dyDescent="0.3">
      <c r="W3909"/>
      <c r="X3909"/>
    </row>
    <row r="3910" spans="23:24" x14ac:dyDescent="0.3">
      <c r="W3910"/>
      <c r="X3910"/>
    </row>
    <row r="3911" spans="23:24" x14ac:dyDescent="0.3">
      <c r="W3911"/>
      <c r="X3911"/>
    </row>
    <row r="3912" spans="23:24" x14ac:dyDescent="0.3">
      <c r="W3912"/>
      <c r="X3912"/>
    </row>
    <row r="3913" spans="23:24" x14ac:dyDescent="0.3">
      <c r="W3913"/>
      <c r="X3913"/>
    </row>
    <row r="3914" spans="23:24" x14ac:dyDescent="0.3">
      <c r="W3914"/>
      <c r="X3914"/>
    </row>
    <row r="3915" spans="23:24" x14ac:dyDescent="0.3">
      <c r="W3915"/>
      <c r="X3915"/>
    </row>
    <row r="3916" spans="23:24" x14ac:dyDescent="0.3">
      <c r="W3916"/>
      <c r="X3916"/>
    </row>
    <row r="3917" spans="23:24" x14ac:dyDescent="0.3">
      <c r="W3917"/>
      <c r="X3917"/>
    </row>
    <row r="3918" spans="23:24" x14ac:dyDescent="0.3">
      <c r="W3918"/>
      <c r="X3918"/>
    </row>
    <row r="3919" spans="23:24" x14ac:dyDescent="0.3">
      <c r="W3919"/>
      <c r="X3919"/>
    </row>
    <row r="3920" spans="23:24" x14ac:dyDescent="0.3">
      <c r="W3920"/>
      <c r="X3920"/>
    </row>
    <row r="3921" spans="23:24" x14ac:dyDescent="0.3">
      <c r="W3921"/>
      <c r="X3921"/>
    </row>
    <row r="3922" spans="23:24" x14ac:dyDescent="0.3">
      <c r="W3922"/>
      <c r="X3922"/>
    </row>
    <row r="3923" spans="23:24" x14ac:dyDescent="0.3">
      <c r="W3923"/>
      <c r="X3923"/>
    </row>
    <row r="3924" spans="23:24" x14ac:dyDescent="0.3">
      <c r="W3924"/>
      <c r="X3924"/>
    </row>
    <row r="3925" spans="23:24" x14ac:dyDescent="0.3">
      <c r="W3925"/>
      <c r="X3925"/>
    </row>
    <row r="3926" spans="23:24" x14ac:dyDescent="0.3">
      <c r="W3926"/>
      <c r="X3926"/>
    </row>
    <row r="3927" spans="23:24" x14ac:dyDescent="0.3">
      <c r="W3927"/>
      <c r="X3927"/>
    </row>
    <row r="3928" spans="23:24" x14ac:dyDescent="0.3">
      <c r="W3928"/>
      <c r="X3928"/>
    </row>
    <row r="3929" spans="23:24" x14ac:dyDescent="0.3">
      <c r="W3929"/>
      <c r="X3929"/>
    </row>
    <row r="3930" spans="23:24" x14ac:dyDescent="0.3">
      <c r="W3930"/>
      <c r="X3930"/>
    </row>
    <row r="3931" spans="23:24" x14ac:dyDescent="0.3">
      <c r="W3931"/>
      <c r="X3931"/>
    </row>
    <row r="3932" spans="23:24" x14ac:dyDescent="0.3">
      <c r="W3932"/>
      <c r="X3932"/>
    </row>
    <row r="3933" spans="23:24" x14ac:dyDescent="0.3">
      <c r="W3933"/>
      <c r="X3933"/>
    </row>
    <row r="3934" spans="23:24" x14ac:dyDescent="0.3">
      <c r="W3934"/>
      <c r="X3934"/>
    </row>
    <row r="3935" spans="23:24" x14ac:dyDescent="0.3">
      <c r="W3935"/>
      <c r="X3935"/>
    </row>
    <row r="3936" spans="23:24" x14ac:dyDescent="0.3">
      <c r="W3936"/>
      <c r="X3936"/>
    </row>
    <row r="3937" spans="23:24" x14ac:dyDescent="0.3">
      <c r="W3937"/>
      <c r="X3937"/>
    </row>
    <row r="3938" spans="23:24" x14ac:dyDescent="0.3">
      <c r="W3938"/>
      <c r="X3938"/>
    </row>
    <row r="3939" spans="23:24" x14ac:dyDescent="0.3">
      <c r="W3939"/>
      <c r="X3939"/>
    </row>
    <row r="3940" spans="23:24" x14ac:dyDescent="0.3">
      <c r="W3940"/>
      <c r="X3940"/>
    </row>
    <row r="3941" spans="23:24" x14ac:dyDescent="0.3">
      <c r="W3941"/>
      <c r="X3941"/>
    </row>
    <row r="3942" spans="23:24" x14ac:dyDescent="0.3">
      <c r="W3942"/>
      <c r="X3942"/>
    </row>
    <row r="3943" spans="23:24" x14ac:dyDescent="0.3">
      <c r="W3943"/>
      <c r="X3943"/>
    </row>
    <row r="3944" spans="23:24" x14ac:dyDescent="0.3">
      <c r="W3944"/>
      <c r="X3944"/>
    </row>
    <row r="3945" spans="23:24" x14ac:dyDescent="0.3">
      <c r="W3945"/>
      <c r="X3945"/>
    </row>
    <row r="3946" spans="23:24" x14ac:dyDescent="0.3">
      <c r="W3946"/>
      <c r="X3946"/>
    </row>
    <row r="3947" spans="23:24" x14ac:dyDescent="0.3">
      <c r="W3947"/>
      <c r="X3947"/>
    </row>
    <row r="3948" spans="23:24" x14ac:dyDescent="0.3">
      <c r="W3948"/>
      <c r="X3948"/>
    </row>
    <row r="3949" spans="23:24" x14ac:dyDescent="0.3">
      <c r="W3949"/>
      <c r="X3949"/>
    </row>
    <row r="3950" spans="23:24" x14ac:dyDescent="0.3">
      <c r="W3950"/>
      <c r="X3950"/>
    </row>
    <row r="3951" spans="23:24" x14ac:dyDescent="0.3">
      <c r="W3951"/>
      <c r="X3951"/>
    </row>
    <row r="3952" spans="23:24" x14ac:dyDescent="0.3">
      <c r="W3952"/>
      <c r="X3952"/>
    </row>
    <row r="3953" spans="23:24" x14ac:dyDescent="0.3">
      <c r="W3953"/>
      <c r="X3953"/>
    </row>
    <row r="3954" spans="23:24" x14ac:dyDescent="0.3">
      <c r="W3954"/>
      <c r="X3954"/>
    </row>
    <row r="3955" spans="23:24" x14ac:dyDescent="0.3">
      <c r="W3955"/>
      <c r="X3955"/>
    </row>
    <row r="3956" spans="23:24" x14ac:dyDescent="0.3">
      <c r="W3956"/>
      <c r="X3956"/>
    </row>
    <row r="3957" spans="23:24" x14ac:dyDescent="0.3">
      <c r="W3957"/>
      <c r="X3957"/>
    </row>
    <row r="3958" spans="23:24" x14ac:dyDescent="0.3">
      <c r="W3958"/>
      <c r="X3958"/>
    </row>
    <row r="3959" spans="23:24" x14ac:dyDescent="0.3">
      <c r="W3959"/>
      <c r="X3959"/>
    </row>
    <row r="3960" spans="23:24" x14ac:dyDescent="0.3">
      <c r="W3960"/>
      <c r="X3960"/>
    </row>
    <row r="3961" spans="23:24" x14ac:dyDescent="0.3">
      <c r="W3961"/>
      <c r="X3961"/>
    </row>
    <row r="3962" spans="23:24" x14ac:dyDescent="0.3">
      <c r="W3962"/>
      <c r="X3962"/>
    </row>
    <row r="3963" spans="23:24" x14ac:dyDescent="0.3">
      <c r="W3963"/>
      <c r="X3963"/>
    </row>
    <row r="3964" spans="23:24" x14ac:dyDescent="0.3">
      <c r="W3964"/>
      <c r="X3964"/>
    </row>
    <row r="3965" spans="23:24" x14ac:dyDescent="0.3">
      <c r="W3965"/>
      <c r="X3965"/>
    </row>
    <row r="3966" spans="23:24" x14ac:dyDescent="0.3">
      <c r="W3966"/>
      <c r="X3966"/>
    </row>
    <row r="3967" spans="23:24" x14ac:dyDescent="0.3">
      <c r="W3967"/>
      <c r="X3967"/>
    </row>
    <row r="3968" spans="23:24" x14ac:dyDescent="0.3">
      <c r="W3968"/>
      <c r="X3968"/>
    </row>
    <row r="3969" spans="23:24" x14ac:dyDescent="0.3">
      <c r="W3969"/>
      <c r="X3969"/>
    </row>
    <row r="3970" spans="23:24" x14ac:dyDescent="0.3">
      <c r="W3970"/>
      <c r="X3970"/>
    </row>
    <row r="3971" spans="23:24" x14ac:dyDescent="0.3">
      <c r="W3971"/>
      <c r="X3971"/>
    </row>
    <row r="3972" spans="23:24" x14ac:dyDescent="0.3">
      <c r="W3972"/>
      <c r="X3972"/>
    </row>
    <row r="3973" spans="23:24" x14ac:dyDescent="0.3">
      <c r="W3973"/>
      <c r="X3973"/>
    </row>
    <row r="3974" spans="23:24" x14ac:dyDescent="0.3">
      <c r="W3974"/>
      <c r="X3974"/>
    </row>
    <row r="3975" spans="23:24" x14ac:dyDescent="0.3">
      <c r="W3975"/>
      <c r="X3975"/>
    </row>
    <row r="3976" spans="23:24" x14ac:dyDescent="0.3">
      <c r="W3976"/>
      <c r="X3976"/>
    </row>
    <row r="3977" spans="23:24" x14ac:dyDescent="0.3">
      <c r="W3977"/>
      <c r="X3977"/>
    </row>
    <row r="3978" spans="23:24" x14ac:dyDescent="0.3">
      <c r="W3978"/>
      <c r="X3978"/>
    </row>
    <row r="3979" spans="23:24" x14ac:dyDescent="0.3">
      <c r="W3979"/>
      <c r="X3979"/>
    </row>
    <row r="3980" spans="23:24" x14ac:dyDescent="0.3">
      <c r="W3980"/>
      <c r="X3980"/>
    </row>
    <row r="3981" spans="23:24" x14ac:dyDescent="0.3">
      <c r="W3981"/>
      <c r="X3981"/>
    </row>
    <row r="3982" spans="23:24" x14ac:dyDescent="0.3">
      <c r="W3982"/>
      <c r="X3982"/>
    </row>
    <row r="3983" spans="23:24" x14ac:dyDescent="0.3">
      <c r="W3983"/>
      <c r="X3983"/>
    </row>
    <row r="3984" spans="23:24" x14ac:dyDescent="0.3">
      <c r="W3984"/>
      <c r="X3984"/>
    </row>
    <row r="3985" spans="23:24" x14ac:dyDescent="0.3">
      <c r="W3985"/>
      <c r="X3985"/>
    </row>
    <row r="3986" spans="23:24" x14ac:dyDescent="0.3">
      <c r="W3986"/>
      <c r="X3986"/>
    </row>
    <row r="3987" spans="23:24" x14ac:dyDescent="0.3">
      <c r="W3987"/>
      <c r="X3987"/>
    </row>
    <row r="3988" spans="23:24" x14ac:dyDescent="0.3">
      <c r="W3988"/>
      <c r="X3988"/>
    </row>
    <row r="3989" spans="23:24" x14ac:dyDescent="0.3">
      <c r="W3989"/>
      <c r="X3989"/>
    </row>
    <row r="3990" spans="23:24" x14ac:dyDescent="0.3">
      <c r="W3990"/>
      <c r="X3990"/>
    </row>
    <row r="3991" spans="23:24" x14ac:dyDescent="0.3">
      <c r="W3991"/>
      <c r="X3991"/>
    </row>
    <row r="3992" spans="23:24" x14ac:dyDescent="0.3">
      <c r="W3992"/>
      <c r="X3992"/>
    </row>
    <row r="3993" spans="23:24" x14ac:dyDescent="0.3">
      <c r="W3993"/>
      <c r="X3993"/>
    </row>
    <row r="3994" spans="23:24" x14ac:dyDescent="0.3">
      <c r="W3994"/>
      <c r="X3994"/>
    </row>
    <row r="3995" spans="23:24" x14ac:dyDescent="0.3">
      <c r="W3995"/>
      <c r="X3995"/>
    </row>
    <row r="3996" spans="23:24" x14ac:dyDescent="0.3">
      <c r="W3996"/>
      <c r="X3996"/>
    </row>
    <row r="3997" spans="23:24" x14ac:dyDescent="0.3">
      <c r="W3997"/>
      <c r="X3997"/>
    </row>
    <row r="3998" spans="23:24" x14ac:dyDescent="0.3">
      <c r="W3998"/>
      <c r="X3998"/>
    </row>
    <row r="3999" spans="23:24" x14ac:dyDescent="0.3">
      <c r="W3999"/>
      <c r="X3999"/>
    </row>
    <row r="4000" spans="23:24" x14ac:dyDescent="0.3">
      <c r="W4000"/>
      <c r="X4000"/>
    </row>
    <row r="4001" spans="23:24" x14ac:dyDescent="0.3">
      <c r="W4001"/>
      <c r="X4001"/>
    </row>
    <row r="4002" spans="23:24" x14ac:dyDescent="0.3">
      <c r="W4002"/>
      <c r="X4002"/>
    </row>
    <row r="4003" spans="23:24" x14ac:dyDescent="0.3">
      <c r="W4003"/>
      <c r="X4003"/>
    </row>
    <row r="4004" spans="23:24" x14ac:dyDescent="0.3">
      <c r="W4004"/>
      <c r="X4004"/>
    </row>
    <row r="4005" spans="23:24" x14ac:dyDescent="0.3">
      <c r="W4005"/>
      <c r="X4005"/>
    </row>
    <row r="4006" spans="23:24" x14ac:dyDescent="0.3">
      <c r="W4006"/>
      <c r="X4006"/>
    </row>
    <row r="4007" spans="23:24" x14ac:dyDescent="0.3">
      <c r="W4007"/>
      <c r="X4007"/>
    </row>
    <row r="4008" spans="23:24" x14ac:dyDescent="0.3">
      <c r="W4008"/>
      <c r="X4008"/>
    </row>
    <row r="4009" spans="23:24" x14ac:dyDescent="0.3">
      <c r="W4009"/>
      <c r="X4009"/>
    </row>
    <row r="4010" spans="23:24" x14ac:dyDescent="0.3">
      <c r="W4010"/>
      <c r="X4010"/>
    </row>
    <row r="4011" spans="23:24" x14ac:dyDescent="0.3">
      <c r="W4011"/>
      <c r="X4011"/>
    </row>
    <row r="4012" spans="23:24" x14ac:dyDescent="0.3">
      <c r="W4012"/>
      <c r="X4012"/>
    </row>
    <row r="4013" spans="23:24" x14ac:dyDescent="0.3">
      <c r="W4013"/>
      <c r="X4013"/>
    </row>
    <row r="4014" spans="23:24" x14ac:dyDescent="0.3">
      <c r="W4014"/>
      <c r="X4014"/>
    </row>
    <row r="4015" spans="23:24" x14ac:dyDescent="0.3">
      <c r="W4015"/>
      <c r="X4015"/>
    </row>
    <row r="4016" spans="23:24" x14ac:dyDescent="0.3">
      <c r="W4016"/>
      <c r="X4016"/>
    </row>
    <row r="4017" spans="23:24" x14ac:dyDescent="0.3">
      <c r="W4017"/>
      <c r="X4017"/>
    </row>
    <row r="4018" spans="23:24" x14ac:dyDescent="0.3">
      <c r="W4018"/>
      <c r="X4018"/>
    </row>
    <row r="4019" spans="23:24" x14ac:dyDescent="0.3">
      <c r="W4019"/>
      <c r="X4019"/>
    </row>
    <row r="4020" spans="23:24" x14ac:dyDescent="0.3">
      <c r="W4020"/>
      <c r="X4020"/>
    </row>
    <row r="4021" spans="23:24" x14ac:dyDescent="0.3">
      <c r="W4021"/>
      <c r="X4021"/>
    </row>
    <row r="4022" spans="23:24" x14ac:dyDescent="0.3">
      <c r="W4022"/>
      <c r="X4022"/>
    </row>
    <row r="4023" spans="23:24" x14ac:dyDescent="0.3">
      <c r="W4023"/>
      <c r="X4023"/>
    </row>
    <row r="4024" spans="23:24" x14ac:dyDescent="0.3">
      <c r="W4024"/>
      <c r="X4024"/>
    </row>
    <row r="4025" spans="23:24" x14ac:dyDescent="0.3">
      <c r="W4025"/>
      <c r="X4025"/>
    </row>
    <row r="4026" spans="23:24" x14ac:dyDescent="0.3">
      <c r="W4026"/>
      <c r="X4026"/>
    </row>
    <row r="4027" spans="23:24" x14ac:dyDescent="0.3">
      <c r="W4027"/>
      <c r="X4027"/>
    </row>
    <row r="4028" spans="23:24" x14ac:dyDescent="0.3">
      <c r="W4028"/>
      <c r="X4028"/>
    </row>
    <row r="4029" spans="23:24" x14ac:dyDescent="0.3">
      <c r="W4029"/>
      <c r="X4029"/>
    </row>
    <row r="4030" spans="23:24" x14ac:dyDescent="0.3">
      <c r="W4030"/>
      <c r="X4030"/>
    </row>
    <row r="4031" spans="23:24" x14ac:dyDescent="0.3">
      <c r="W4031"/>
      <c r="X4031"/>
    </row>
    <row r="4032" spans="23:24" x14ac:dyDescent="0.3">
      <c r="W4032"/>
      <c r="X4032"/>
    </row>
    <row r="4033" spans="23:24" x14ac:dyDescent="0.3">
      <c r="W4033"/>
      <c r="X4033"/>
    </row>
    <row r="4034" spans="23:24" x14ac:dyDescent="0.3">
      <c r="W4034"/>
      <c r="X4034"/>
    </row>
    <row r="4035" spans="23:24" x14ac:dyDescent="0.3">
      <c r="W4035"/>
      <c r="X4035"/>
    </row>
    <row r="4036" spans="23:24" x14ac:dyDescent="0.3">
      <c r="W4036"/>
      <c r="X4036"/>
    </row>
    <row r="4037" spans="23:24" x14ac:dyDescent="0.3">
      <c r="W4037"/>
      <c r="X4037"/>
    </row>
    <row r="4038" spans="23:24" x14ac:dyDescent="0.3">
      <c r="W4038"/>
      <c r="X4038"/>
    </row>
    <row r="4039" spans="23:24" x14ac:dyDescent="0.3">
      <c r="W4039"/>
      <c r="X4039"/>
    </row>
    <row r="4040" spans="23:24" x14ac:dyDescent="0.3">
      <c r="W4040"/>
      <c r="X4040"/>
    </row>
    <row r="4041" spans="23:24" x14ac:dyDescent="0.3">
      <c r="W4041"/>
      <c r="X4041"/>
    </row>
    <row r="4042" spans="23:24" x14ac:dyDescent="0.3">
      <c r="W4042"/>
      <c r="X4042"/>
    </row>
    <row r="4043" spans="23:24" x14ac:dyDescent="0.3">
      <c r="W4043"/>
      <c r="X4043"/>
    </row>
    <row r="4044" spans="23:24" x14ac:dyDescent="0.3">
      <c r="W4044"/>
      <c r="X4044"/>
    </row>
    <row r="4045" spans="23:24" x14ac:dyDescent="0.3">
      <c r="W4045"/>
      <c r="X4045"/>
    </row>
    <row r="4046" spans="23:24" x14ac:dyDescent="0.3">
      <c r="W4046"/>
      <c r="X4046"/>
    </row>
    <row r="4047" spans="23:24" x14ac:dyDescent="0.3">
      <c r="W4047"/>
      <c r="X4047"/>
    </row>
    <row r="4048" spans="23:24" x14ac:dyDescent="0.3">
      <c r="W4048"/>
      <c r="X4048"/>
    </row>
    <row r="4049" spans="23:24" x14ac:dyDescent="0.3">
      <c r="W4049"/>
      <c r="X4049"/>
    </row>
    <row r="4050" spans="23:24" x14ac:dyDescent="0.3">
      <c r="W4050"/>
      <c r="X4050"/>
    </row>
    <row r="4051" spans="23:24" x14ac:dyDescent="0.3">
      <c r="W4051"/>
      <c r="X4051"/>
    </row>
    <row r="4052" spans="23:24" x14ac:dyDescent="0.3">
      <c r="W4052"/>
      <c r="X4052"/>
    </row>
    <row r="4053" spans="23:24" x14ac:dyDescent="0.3">
      <c r="W4053"/>
      <c r="X4053"/>
    </row>
    <row r="4054" spans="23:24" x14ac:dyDescent="0.3">
      <c r="W4054"/>
      <c r="X4054"/>
    </row>
    <row r="4055" spans="23:24" x14ac:dyDescent="0.3">
      <c r="W4055"/>
      <c r="X4055"/>
    </row>
    <row r="4056" spans="23:24" x14ac:dyDescent="0.3">
      <c r="W4056"/>
      <c r="X4056"/>
    </row>
    <row r="4057" spans="23:24" x14ac:dyDescent="0.3">
      <c r="W4057"/>
      <c r="X4057"/>
    </row>
    <row r="4058" spans="23:24" x14ac:dyDescent="0.3">
      <c r="W4058"/>
      <c r="X4058"/>
    </row>
    <row r="4059" spans="23:24" x14ac:dyDescent="0.3">
      <c r="W4059"/>
      <c r="X4059"/>
    </row>
    <row r="4060" spans="23:24" x14ac:dyDescent="0.3">
      <c r="W4060"/>
      <c r="X4060"/>
    </row>
    <row r="4061" spans="23:24" x14ac:dyDescent="0.3">
      <c r="W4061"/>
      <c r="X4061"/>
    </row>
    <row r="4062" spans="23:24" x14ac:dyDescent="0.3">
      <c r="W4062"/>
      <c r="X4062"/>
    </row>
    <row r="4063" spans="23:24" x14ac:dyDescent="0.3">
      <c r="W4063"/>
      <c r="X4063"/>
    </row>
    <row r="4064" spans="23:24" x14ac:dyDescent="0.3">
      <c r="W4064"/>
      <c r="X4064"/>
    </row>
    <row r="4065" spans="23:24" x14ac:dyDescent="0.3">
      <c r="W4065"/>
      <c r="X4065"/>
    </row>
    <row r="4066" spans="23:24" x14ac:dyDescent="0.3">
      <c r="W4066"/>
      <c r="X4066"/>
    </row>
    <row r="4067" spans="23:24" x14ac:dyDescent="0.3">
      <c r="W4067"/>
      <c r="X4067"/>
    </row>
    <row r="4068" spans="23:24" x14ac:dyDescent="0.3">
      <c r="W4068"/>
      <c r="X4068"/>
    </row>
    <row r="4069" spans="23:24" x14ac:dyDescent="0.3">
      <c r="W4069"/>
      <c r="X4069"/>
    </row>
    <row r="4070" spans="23:24" x14ac:dyDescent="0.3">
      <c r="W4070"/>
      <c r="X4070"/>
    </row>
    <row r="4071" spans="23:24" x14ac:dyDescent="0.3">
      <c r="W4071"/>
      <c r="X4071"/>
    </row>
    <row r="4072" spans="23:24" x14ac:dyDescent="0.3">
      <c r="W4072"/>
      <c r="X4072"/>
    </row>
    <row r="4073" spans="23:24" x14ac:dyDescent="0.3">
      <c r="W4073"/>
      <c r="X4073"/>
    </row>
    <row r="4074" spans="23:24" x14ac:dyDescent="0.3">
      <c r="W4074"/>
      <c r="X4074"/>
    </row>
    <row r="4075" spans="23:24" x14ac:dyDescent="0.3">
      <c r="W4075"/>
      <c r="X4075"/>
    </row>
    <row r="4076" spans="23:24" x14ac:dyDescent="0.3">
      <c r="W4076"/>
      <c r="X4076"/>
    </row>
    <row r="4077" spans="23:24" x14ac:dyDescent="0.3">
      <c r="W4077"/>
      <c r="X4077"/>
    </row>
    <row r="4078" spans="23:24" x14ac:dyDescent="0.3">
      <c r="W4078"/>
      <c r="X4078"/>
    </row>
    <row r="4079" spans="23:24" x14ac:dyDescent="0.3">
      <c r="W4079"/>
      <c r="X4079"/>
    </row>
    <row r="4080" spans="23:24" x14ac:dyDescent="0.3">
      <c r="W4080"/>
      <c r="X4080"/>
    </row>
    <row r="4081" spans="23:24" x14ac:dyDescent="0.3">
      <c r="W4081"/>
      <c r="X4081"/>
    </row>
    <row r="4082" spans="23:24" x14ac:dyDescent="0.3">
      <c r="W4082"/>
      <c r="X4082"/>
    </row>
    <row r="4083" spans="23:24" x14ac:dyDescent="0.3">
      <c r="W4083"/>
      <c r="X4083"/>
    </row>
    <row r="4084" spans="23:24" x14ac:dyDescent="0.3">
      <c r="W4084"/>
      <c r="X4084"/>
    </row>
    <row r="4085" spans="23:24" x14ac:dyDescent="0.3">
      <c r="W4085"/>
      <c r="X4085"/>
    </row>
    <row r="4086" spans="23:24" x14ac:dyDescent="0.3">
      <c r="W4086"/>
      <c r="X4086"/>
    </row>
    <row r="4087" spans="23:24" x14ac:dyDescent="0.3">
      <c r="W4087"/>
      <c r="X4087"/>
    </row>
    <row r="4088" spans="23:24" x14ac:dyDescent="0.3">
      <c r="W4088"/>
      <c r="X4088"/>
    </row>
    <row r="4089" spans="23:24" x14ac:dyDescent="0.3">
      <c r="W4089"/>
      <c r="X4089"/>
    </row>
    <row r="4090" spans="23:24" x14ac:dyDescent="0.3">
      <c r="W4090"/>
      <c r="X4090"/>
    </row>
    <row r="4091" spans="23:24" x14ac:dyDescent="0.3">
      <c r="W4091"/>
      <c r="X4091"/>
    </row>
    <row r="4092" spans="23:24" x14ac:dyDescent="0.3">
      <c r="W4092"/>
      <c r="X4092"/>
    </row>
    <row r="4093" spans="23:24" x14ac:dyDescent="0.3">
      <c r="W4093"/>
      <c r="X4093"/>
    </row>
    <row r="4094" spans="23:24" x14ac:dyDescent="0.3">
      <c r="W4094"/>
      <c r="X4094"/>
    </row>
    <row r="4095" spans="23:24" x14ac:dyDescent="0.3">
      <c r="W4095"/>
      <c r="X4095"/>
    </row>
    <row r="4096" spans="23:24" x14ac:dyDescent="0.3">
      <c r="W4096"/>
      <c r="X4096"/>
    </row>
    <row r="4097" spans="23:24" x14ac:dyDescent="0.3">
      <c r="W4097"/>
      <c r="X4097"/>
    </row>
    <row r="4098" spans="23:24" x14ac:dyDescent="0.3">
      <c r="W4098"/>
      <c r="X4098"/>
    </row>
    <row r="4099" spans="23:24" x14ac:dyDescent="0.3">
      <c r="W4099"/>
      <c r="X4099"/>
    </row>
    <row r="4100" spans="23:24" x14ac:dyDescent="0.3">
      <c r="W4100"/>
      <c r="X4100"/>
    </row>
    <row r="4101" spans="23:24" x14ac:dyDescent="0.3">
      <c r="W4101"/>
      <c r="X4101"/>
    </row>
    <row r="4102" spans="23:24" x14ac:dyDescent="0.3">
      <c r="W4102"/>
      <c r="X4102"/>
    </row>
    <row r="4103" spans="23:24" x14ac:dyDescent="0.3">
      <c r="W4103"/>
      <c r="X4103"/>
    </row>
    <row r="4104" spans="23:24" x14ac:dyDescent="0.3">
      <c r="W4104"/>
      <c r="X4104"/>
    </row>
    <row r="4105" spans="23:24" x14ac:dyDescent="0.3">
      <c r="W4105"/>
      <c r="X4105"/>
    </row>
    <row r="4106" spans="23:24" x14ac:dyDescent="0.3">
      <c r="W4106"/>
      <c r="X4106"/>
    </row>
    <row r="4107" spans="23:24" x14ac:dyDescent="0.3">
      <c r="W4107"/>
      <c r="X4107"/>
    </row>
    <row r="4108" spans="23:24" x14ac:dyDescent="0.3">
      <c r="W4108"/>
      <c r="X4108"/>
    </row>
    <row r="4109" spans="23:24" x14ac:dyDescent="0.3">
      <c r="W4109"/>
      <c r="X4109"/>
    </row>
    <row r="4110" spans="23:24" x14ac:dyDescent="0.3">
      <c r="W4110"/>
      <c r="X4110"/>
    </row>
    <row r="4111" spans="23:24" x14ac:dyDescent="0.3">
      <c r="W4111"/>
      <c r="X4111"/>
    </row>
    <row r="4112" spans="23:24" x14ac:dyDescent="0.3">
      <c r="W4112"/>
      <c r="X4112"/>
    </row>
    <row r="4113" spans="23:24" x14ac:dyDescent="0.3">
      <c r="W4113"/>
      <c r="X4113"/>
    </row>
    <row r="4114" spans="23:24" x14ac:dyDescent="0.3">
      <c r="W4114"/>
      <c r="X4114"/>
    </row>
    <row r="4115" spans="23:24" x14ac:dyDescent="0.3">
      <c r="W4115"/>
      <c r="X4115"/>
    </row>
    <row r="4116" spans="23:24" x14ac:dyDescent="0.3">
      <c r="W4116"/>
      <c r="X4116"/>
    </row>
    <row r="4117" spans="23:24" x14ac:dyDescent="0.3">
      <c r="W4117"/>
      <c r="X4117"/>
    </row>
    <row r="4118" spans="23:24" x14ac:dyDescent="0.3">
      <c r="W4118"/>
      <c r="X4118"/>
    </row>
    <row r="4119" spans="23:24" x14ac:dyDescent="0.3">
      <c r="W4119"/>
      <c r="X4119"/>
    </row>
    <row r="4120" spans="23:24" x14ac:dyDescent="0.3">
      <c r="W4120"/>
      <c r="X4120"/>
    </row>
    <row r="4121" spans="23:24" x14ac:dyDescent="0.3">
      <c r="W4121"/>
      <c r="X4121"/>
    </row>
    <row r="4122" spans="23:24" x14ac:dyDescent="0.3">
      <c r="W4122"/>
      <c r="X4122"/>
    </row>
    <row r="4123" spans="23:24" x14ac:dyDescent="0.3">
      <c r="W4123"/>
      <c r="X4123"/>
    </row>
    <row r="4124" spans="23:24" x14ac:dyDescent="0.3">
      <c r="W4124"/>
      <c r="X4124"/>
    </row>
    <row r="4125" spans="23:24" x14ac:dyDescent="0.3">
      <c r="W4125"/>
      <c r="X4125"/>
    </row>
    <row r="4126" spans="23:24" x14ac:dyDescent="0.3">
      <c r="W4126"/>
      <c r="X4126"/>
    </row>
    <row r="4127" spans="23:24" x14ac:dyDescent="0.3">
      <c r="W4127"/>
      <c r="X4127"/>
    </row>
    <row r="4128" spans="23:24" x14ac:dyDescent="0.3">
      <c r="W4128"/>
      <c r="X4128"/>
    </row>
    <row r="4129" spans="23:24" x14ac:dyDescent="0.3">
      <c r="W4129"/>
      <c r="X4129"/>
    </row>
    <row r="4130" spans="23:24" x14ac:dyDescent="0.3">
      <c r="W4130"/>
      <c r="X4130"/>
    </row>
    <row r="4131" spans="23:24" x14ac:dyDescent="0.3">
      <c r="W4131"/>
      <c r="X4131"/>
    </row>
    <row r="4132" spans="23:24" x14ac:dyDescent="0.3">
      <c r="W4132"/>
      <c r="X4132"/>
    </row>
    <row r="4133" spans="23:24" x14ac:dyDescent="0.3">
      <c r="W4133"/>
      <c r="X4133"/>
    </row>
    <row r="4134" spans="23:24" x14ac:dyDescent="0.3">
      <c r="W4134"/>
      <c r="X4134"/>
    </row>
    <row r="4135" spans="23:24" x14ac:dyDescent="0.3">
      <c r="W4135"/>
      <c r="X4135"/>
    </row>
    <row r="4136" spans="23:24" x14ac:dyDescent="0.3">
      <c r="W4136"/>
      <c r="X4136"/>
    </row>
    <row r="4137" spans="23:24" x14ac:dyDescent="0.3">
      <c r="W4137"/>
      <c r="X4137"/>
    </row>
    <row r="4138" spans="23:24" x14ac:dyDescent="0.3">
      <c r="W4138"/>
      <c r="X4138"/>
    </row>
    <row r="4139" spans="23:24" x14ac:dyDescent="0.3">
      <c r="W4139"/>
      <c r="X4139"/>
    </row>
    <row r="4140" spans="23:24" x14ac:dyDescent="0.3">
      <c r="W4140"/>
      <c r="X4140"/>
    </row>
    <row r="4141" spans="23:24" x14ac:dyDescent="0.3">
      <c r="W4141"/>
      <c r="X4141"/>
    </row>
    <row r="4142" spans="23:24" x14ac:dyDescent="0.3">
      <c r="W4142"/>
      <c r="X4142"/>
    </row>
    <row r="4143" spans="23:24" x14ac:dyDescent="0.3">
      <c r="W4143"/>
      <c r="X4143"/>
    </row>
    <row r="4144" spans="23:24" x14ac:dyDescent="0.3">
      <c r="W4144"/>
      <c r="X4144"/>
    </row>
    <row r="4145" spans="23:24" x14ac:dyDescent="0.3">
      <c r="W4145"/>
      <c r="X4145"/>
    </row>
    <row r="4146" spans="23:24" x14ac:dyDescent="0.3">
      <c r="W4146"/>
      <c r="X4146"/>
    </row>
    <row r="4147" spans="23:24" x14ac:dyDescent="0.3">
      <c r="W4147"/>
      <c r="X4147"/>
    </row>
    <row r="4148" spans="23:24" x14ac:dyDescent="0.3">
      <c r="W4148"/>
      <c r="X4148"/>
    </row>
    <row r="4149" spans="23:24" x14ac:dyDescent="0.3">
      <c r="W4149"/>
      <c r="X4149"/>
    </row>
    <row r="4150" spans="23:24" x14ac:dyDescent="0.3">
      <c r="W4150"/>
      <c r="X4150"/>
    </row>
    <row r="4151" spans="23:24" x14ac:dyDescent="0.3">
      <c r="W4151"/>
      <c r="X4151"/>
    </row>
    <row r="4152" spans="23:24" x14ac:dyDescent="0.3">
      <c r="W4152"/>
      <c r="X4152"/>
    </row>
    <row r="4153" spans="23:24" x14ac:dyDescent="0.3">
      <c r="W4153"/>
      <c r="X4153"/>
    </row>
    <row r="4154" spans="23:24" x14ac:dyDescent="0.3">
      <c r="W4154"/>
      <c r="X4154"/>
    </row>
    <row r="4155" spans="23:24" x14ac:dyDescent="0.3">
      <c r="W4155"/>
      <c r="X4155"/>
    </row>
    <row r="4156" spans="23:24" x14ac:dyDescent="0.3">
      <c r="W4156"/>
      <c r="X4156"/>
    </row>
    <row r="4157" spans="23:24" x14ac:dyDescent="0.3">
      <c r="W4157"/>
      <c r="X4157"/>
    </row>
    <row r="4158" spans="23:24" x14ac:dyDescent="0.3">
      <c r="W4158"/>
      <c r="X4158"/>
    </row>
    <row r="4159" spans="23:24" x14ac:dyDescent="0.3">
      <c r="W4159"/>
      <c r="X4159"/>
    </row>
    <row r="4160" spans="23:24" x14ac:dyDescent="0.3">
      <c r="W4160"/>
      <c r="X4160"/>
    </row>
    <row r="4161" spans="23:24" x14ac:dyDescent="0.3">
      <c r="W4161"/>
      <c r="X4161"/>
    </row>
    <row r="4162" spans="23:24" x14ac:dyDescent="0.3">
      <c r="W4162"/>
      <c r="X4162"/>
    </row>
    <row r="4163" spans="23:24" x14ac:dyDescent="0.3">
      <c r="W4163"/>
      <c r="X4163"/>
    </row>
    <row r="4164" spans="23:24" x14ac:dyDescent="0.3">
      <c r="W4164"/>
      <c r="X4164"/>
    </row>
    <row r="4165" spans="23:24" x14ac:dyDescent="0.3">
      <c r="W4165"/>
      <c r="X4165"/>
    </row>
    <row r="4166" spans="23:24" x14ac:dyDescent="0.3">
      <c r="W4166"/>
      <c r="X4166"/>
    </row>
    <row r="4167" spans="23:24" x14ac:dyDescent="0.3">
      <c r="W4167"/>
      <c r="X4167"/>
    </row>
    <row r="4168" spans="23:24" x14ac:dyDescent="0.3">
      <c r="W4168"/>
      <c r="X4168"/>
    </row>
    <row r="4169" spans="23:24" x14ac:dyDescent="0.3">
      <c r="W4169"/>
      <c r="X4169"/>
    </row>
    <row r="4170" spans="23:24" x14ac:dyDescent="0.3">
      <c r="W4170"/>
      <c r="X4170"/>
    </row>
    <row r="4171" spans="23:24" x14ac:dyDescent="0.3">
      <c r="W4171"/>
      <c r="X4171"/>
    </row>
    <row r="4172" spans="23:24" x14ac:dyDescent="0.3">
      <c r="W4172"/>
      <c r="X4172"/>
    </row>
    <row r="4173" spans="23:24" x14ac:dyDescent="0.3">
      <c r="W4173"/>
      <c r="X4173"/>
    </row>
    <row r="4174" spans="23:24" x14ac:dyDescent="0.3">
      <c r="W4174"/>
      <c r="X4174"/>
    </row>
    <row r="4175" spans="23:24" x14ac:dyDescent="0.3">
      <c r="W4175"/>
      <c r="X4175"/>
    </row>
    <row r="4176" spans="23:24" x14ac:dyDescent="0.3">
      <c r="W4176"/>
      <c r="X4176"/>
    </row>
    <row r="4177" spans="23:24" x14ac:dyDescent="0.3">
      <c r="W4177"/>
      <c r="X4177"/>
    </row>
    <row r="4178" spans="23:24" x14ac:dyDescent="0.3">
      <c r="W4178"/>
      <c r="X4178"/>
    </row>
    <row r="4179" spans="23:24" x14ac:dyDescent="0.3">
      <c r="W4179"/>
      <c r="X4179"/>
    </row>
    <row r="4180" spans="23:24" x14ac:dyDescent="0.3">
      <c r="W4180"/>
      <c r="X4180"/>
    </row>
    <row r="4181" spans="23:24" x14ac:dyDescent="0.3">
      <c r="W4181"/>
      <c r="X4181"/>
    </row>
    <row r="4182" spans="23:24" x14ac:dyDescent="0.3">
      <c r="W4182"/>
      <c r="X4182"/>
    </row>
    <row r="4183" spans="23:24" x14ac:dyDescent="0.3">
      <c r="W4183"/>
      <c r="X4183"/>
    </row>
    <row r="4184" spans="23:24" x14ac:dyDescent="0.3">
      <c r="W4184"/>
      <c r="X4184"/>
    </row>
    <row r="4185" spans="23:24" x14ac:dyDescent="0.3">
      <c r="W4185"/>
      <c r="X4185"/>
    </row>
    <row r="4186" spans="23:24" x14ac:dyDescent="0.3">
      <c r="W4186"/>
      <c r="X4186"/>
    </row>
    <row r="4187" spans="23:24" x14ac:dyDescent="0.3">
      <c r="W4187"/>
      <c r="X4187"/>
    </row>
    <row r="4188" spans="23:24" x14ac:dyDescent="0.3">
      <c r="W4188"/>
      <c r="X4188"/>
    </row>
    <row r="4189" spans="23:24" x14ac:dyDescent="0.3">
      <c r="W4189"/>
      <c r="X4189"/>
    </row>
    <row r="4190" spans="23:24" x14ac:dyDescent="0.3">
      <c r="W4190"/>
      <c r="X4190"/>
    </row>
    <row r="4191" spans="23:24" x14ac:dyDescent="0.3">
      <c r="W4191"/>
      <c r="X4191"/>
    </row>
    <row r="4192" spans="23:24" x14ac:dyDescent="0.3">
      <c r="W4192"/>
      <c r="X4192"/>
    </row>
    <row r="4193" spans="23:24" x14ac:dyDescent="0.3">
      <c r="W4193"/>
      <c r="X4193"/>
    </row>
    <row r="4194" spans="23:24" x14ac:dyDescent="0.3">
      <c r="W4194"/>
      <c r="X4194"/>
    </row>
    <row r="4195" spans="23:24" x14ac:dyDescent="0.3">
      <c r="W4195"/>
      <c r="X4195"/>
    </row>
    <row r="4196" spans="23:24" x14ac:dyDescent="0.3">
      <c r="W4196"/>
      <c r="X4196"/>
    </row>
    <row r="4197" spans="23:24" x14ac:dyDescent="0.3">
      <c r="W4197"/>
      <c r="X4197"/>
    </row>
    <row r="4198" spans="23:24" x14ac:dyDescent="0.3">
      <c r="W4198"/>
      <c r="X4198"/>
    </row>
    <row r="4199" spans="23:24" x14ac:dyDescent="0.3">
      <c r="W4199"/>
      <c r="X4199"/>
    </row>
    <row r="4200" spans="23:24" x14ac:dyDescent="0.3">
      <c r="W4200"/>
      <c r="X4200"/>
    </row>
    <row r="4201" spans="23:24" x14ac:dyDescent="0.3">
      <c r="W4201"/>
      <c r="X4201"/>
    </row>
    <row r="4202" spans="23:24" x14ac:dyDescent="0.3">
      <c r="W4202"/>
      <c r="X4202"/>
    </row>
    <row r="4203" spans="23:24" x14ac:dyDescent="0.3">
      <c r="W4203"/>
      <c r="X4203"/>
    </row>
    <row r="4204" spans="23:24" x14ac:dyDescent="0.3">
      <c r="W4204"/>
      <c r="X4204"/>
    </row>
    <row r="4205" spans="23:24" x14ac:dyDescent="0.3">
      <c r="W4205"/>
      <c r="X4205"/>
    </row>
    <row r="4206" spans="23:24" x14ac:dyDescent="0.3">
      <c r="W4206"/>
      <c r="X4206"/>
    </row>
    <row r="4207" spans="23:24" x14ac:dyDescent="0.3">
      <c r="W4207"/>
      <c r="X4207"/>
    </row>
    <row r="4208" spans="23:24" x14ac:dyDescent="0.3">
      <c r="W4208"/>
      <c r="X4208"/>
    </row>
    <row r="4209" spans="23:24" x14ac:dyDescent="0.3">
      <c r="W4209"/>
      <c r="X4209"/>
    </row>
    <row r="4210" spans="23:24" x14ac:dyDescent="0.3">
      <c r="W4210"/>
      <c r="X4210"/>
    </row>
    <row r="4211" spans="23:24" x14ac:dyDescent="0.3">
      <c r="W4211"/>
      <c r="X4211"/>
    </row>
    <row r="4212" spans="23:24" x14ac:dyDescent="0.3">
      <c r="W4212"/>
      <c r="X4212"/>
    </row>
    <row r="4213" spans="23:24" x14ac:dyDescent="0.3">
      <c r="W4213"/>
      <c r="X4213"/>
    </row>
    <row r="4214" spans="23:24" x14ac:dyDescent="0.3">
      <c r="W4214"/>
      <c r="X4214"/>
    </row>
    <row r="4215" spans="23:24" x14ac:dyDescent="0.3">
      <c r="W4215"/>
      <c r="X4215"/>
    </row>
    <row r="4216" spans="23:24" x14ac:dyDescent="0.3">
      <c r="W4216"/>
      <c r="X4216"/>
    </row>
    <row r="4217" spans="23:24" x14ac:dyDescent="0.3">
      <c r="W4217"/>
      <c r="X4217"/>
    </row>
    <row r="4218" spans="23:24" x14ac:dyDescent="0.3">
      <c r="W4218"/>
      <c r="X4218"/>
    </row>
    <row r="4219" spans="23:24" x14ac:dyDescent="0.3">
      <c r="W4219"/>
      <c r="X4219"/>
    </row>
    <row r="4220" spans="23:24" x14ac:dyDescent="0.3">
      <c r="W4220"/>
      <c r="X4220"/>
    </row>
    <row r="4221" spans="23:24" x14ac:dyDescent="0.3">
      <c r="W4221"/>
      <c r="X4221"/>
    </row>
    <row r="4222" spans="23:24" x14ac:dyDescent="0.3">
      <c r="W4222"/>
      <c r="X4222"/>
    </row>
    <row r="4223" spans="23:24" x14ac:dyDescent="0.3">
      <c r="W4223"/>
      <c r="X4223"/>
    </row>
    <row r="4224" spans="23:24" x14ac:dyDescent="0.3">
      <c r="W4224"/>
      <c r="X4224"/>
    </row>
    <row r="4225" spans="23:24" x14ac:dyDescent="0.3">
      <c r="W4225"/>
      <c r="X4225"/>
    </row>
    <row r="4226" spans="23:24" x14ac:dyDescent="0.3">
      <c r="W4226"/>
      <c r="X4226"/>
    </row>
    <row r="4227" spans="23:24" x14ac:dyDescent="0.3">
      <c r="W4227"/>
      <c r="X4227"/>
    </row>
    <row r="4228" spans="23:24" x14ac:dyDescent="0.3">
      <c r="W4228"/>
      <c r="X4228"/>
    </row>
    <row r="4229" spans="23:24" x14ac:dyDescent="0.3">
      <c r="W4229"/>
      <c r="X4229"/>
    </row>
    <row r="4230" spans="23:24" x14ac:dyDescent="0.3">
      <c r="W4230"/>
      <c r="X4230"/>
    </row>
    <row r="4231" spans="23:24" x14ac:dyDescent="0.3">
      <c r="W4231"/>
      <c r="X4231"/>
    </row>
    <row r="4232" spans="23:24" x14ac:dyDescent="0.3">
      <c r="W4232"/>
      <c r="X4232"/>
    </row>
    <row r="4233" spans="23:24" x14ac:dyDescent="0.3">
      <c r="W4233"/>
      <c r="X4233"/>
    </row>
    <row r="4234" spans="23:24" x14ac:dyDescent="0.3">
      <c r="W4234"/>
      <c r="X4234"/>
    </row>
    <row r="4235" spans="23:24" x14ac:dyDescent="0.3">
      <c r="W4235"/>
      <c r="X4235"/>
    </row>
  </sheetData>
  <mergeCells count="125">
    <mergeCell ref="AB164:AB165"/>
    <mergeCell ref="A135:AA135"/>
    <mergeCell ref="A136:AA136"/>
    <mergeCell ref="O1:Q1"/>
    <mergeCell ref="W157:AA158"/>
    <mergeCell ref="W176:AA176"/>
    <mergeCell ref="W175:AA175"/>
    <mergeCell ref="W174:AA174"/>
    <mergeCell ref="W173:AA173"/>
    <mergeCell ref="W172:AA172"/>
    <mergeCell ref="W170:AA170"/>
    <mergeCell ref="W171:AA171"/>
    <mergeCell ref="W169:AA169"/>
    <mergeCell ref="W168:AA168"/>
    <mergeCell ref="W167:AA167"/>
    <mergeCell ref="W166:AA166"/>
    <mergeCell ref="W165:AA165"/>
    <mergeCell ref="W164:AA164"/>
    <mergeCell ref="W163:AA163"/>
    <mergeCell ref="W162:AA162"/>
    <mergeCell ref="W161:AA161"/>
    <mergeCell ref="W160:AA160"/>
    <mergeCell ref="W159:AA159"/>
    <mergeCell ref="B104:C104"/>
    <mergeCell ref="E104:F104"/>
    <mergeCell ref="B117:C117"/>
    <mergeCell ref="E117:F117"/>
    <mergeCell ref="E126:E127"/>
    <mergeCell ref="F126:G127"/>
    <mergeCell ref="E128:E129"/>
    <mergeCell ref="F128:G129"/>
    <mergeCell ref="O169:S169"/>
    <mergeCell ref="O160:S160"/>
    <mergeCell ref="AC26:AC27"/>
    <mergeCell ref="B137:M137"/>
    <mergeCell ref="K138:M138"/>
    <mergeCell ref="N138:N176"/>
    <mergeCell ref="O138:S138"/>
    <mergeCell ref="X138:Z138"/>
    <mergeCell ref="K139:M139"/>
    <mergeCell ref="O139:S139"/>
    <mergeCell ref="K140:M140"/>
    <mergeCell ref="O140:S140"/>
    <mergeCell ref="K141:M141"/>
    <mergeCell ref="O141:S141"/>
    <mergeCell ref="B142:B143"/>
    <mergeCell ref="C142:C143"/>
    <mergeCell ref="E142:E143"/>
    <mergeCell ref="K142:M142"/>
    <mergeCell ref="O142:S142"/>
    <mergeCell ref="V142:V143"/>
    <mergeCell ref="K143:M143"/>
    <mergeCell ref="O143:S143"/>
    <mergeCell ref="B144:B145"/>
    <mergeCell ref="C144:C145"/>
    <mergeCell ref="E144:E145"/>
    <mergeCell ref="K144:M144"/>
    <mergeCell ref="O144:S144"/>
    <mergeCell ref="V144:V145"/>
    <mergeCell ref="X144:Z145"/>
    <mergeCell ref="K145:M145"/>
    <mergeCell ref="O145:S145"/>
    <mergeCell ref="K146:M146"/>
    <mergeCell ref="O146:S146"/>
    <mergeCell ref="K149:M149"/>
    <mergeCell ref="O149:S149"/>
    <mergeCell ref="K150:M150"/>
    <mergeCell ref="O150:S150"/>
    <mergeCell ref="K147:M147"/>
    <mergeCell ref="O147:S147"/>
    <mergeCell ref="K148:M148"/>
    <mergeCell ref="O148:S148"/>
    <mergeCell ref="K153:M153"/>
    <mergeCell ref="O153:S153"/>
    <mergeCell ref="K154:M154"/>
    <mergeCell ref="O154:S154"/>
    <mergeCell ref="K151:M151"/>
    <mergeCell ref="O151:S151"/>
    <mergeCell ref="K152:M152"/>
    <mergeCell ref="O152:S152"/>
    <mergeCell ref="U157:U158"/>
    <mergeCell ref="V157:V158"/>
    <mergeCell ref="K159:M159"/>
    <mergeCell ref="O159:S159"/>
    <mergeCell ref="K160:M160"/>
    <mergeCell ref="O157:S158"/>
    <mergeCell ref="K155:M155"/>
    <mergeCell ref="O155:S155"/>
    <mergeCell ref="C156:M156"/>
    <mergeCell ref="B157:M158"/>
    <mergeCell ref="T157:T158"/>
    <mergeCell ref="U161:U163"/>
    <mergeCell ref="V161:V163"/>
    <mergeCell ref="B164:B165"/>
    <mergeCell ref="C164:C165"/>
    <mergeCell ref="E164:E165"/>
    <mergeCell ref="K164:M165"/>
    <mergeCell ref="B161:B163"/>
    <mergeCell ref="C161:C163"/>
    <mergeCell ref="E161:E163"/>
    <mergeCell ref="K161:M163"/>
    <mergeCell ref="O161:S163"/>
    <mergeCell ref="O164:S165"/>
    <mergeCell ref="K176:M176"/>
    <mergeCell ref="O176:S176"/>
    <mergeCell ref="K174:M174"/>
    <mergeCell ref="O174:S174"/>
    <mergeCell ref="K175:M175"/>
    <mergeCell ref="O175:S175"/>
    <mergeCell ref="B166:B167"/>
    <mergeCell ref="C166:C167"/>
    <mergeCell ref="E166:E167"/>
    <mergeCell ref="K166:M167"/>
    <mergeCell ref="O166:S167"/>
    <mergeCell ref="AB166:AB167"/>
    <mergeCell ref="K168:M168"/>
    <mergeCell ref="O168:S168"/>
    <mergeCell ref="K169:M169"/>
    <mergeCell ref="K170:M170"/>
    <mergeCell ref="K171:M171"/>
    <mergeCell ref="K172:M172"/>
    <mergeCell ref="K173:M173"/>
    <mergeCell ref="O173:S173"/>
    <mergeCell ref="U166:U167"/>
    <mergeCell ref="V166:V167"/>
  </mergeCells>
  <phoneticPr fontId="1" type="noConversion"/>
  <dataValidations count="11">
    <dataValidation type="list" allowBlank="1" showInputMessage="1" showErrorMessage="1" sqref="F159:F169" xr:uid="{189619DA-A0FB-49E1-882D-F864F1DFCB2A}">
      <formula1>"399000,369000,349000"</formula1>
    </dataValidation>
    <dataValidation type="list" allowBlank="1" showInputMessage="1" showErrorMessage="1" sqref="U3:U101" xr:uid="{8872D4D2-962D-431F-ACB3-B93B4F47AE40}">
      <formula1>"재진1일전"</formula1>
    </dataValidation>
    <dataValidation type="list" allowBlank="1" showInputMessage="1" showErrorMessage="1" sqref="S3:S8 S10:S101" xr:uid="{9FE691C3-CB5F-41E4-AEA9-4E42EECFFA07}">
      <formula1>"당일,누락,불가"</formula1>
    </dataValidation>
    <dataValidation type="list" allowBlank="1" showInputMessage="1" showErrorMessage="1" sqref="K3:K101" xr:uid="{531C1BAC-0A51-4E9B-A2CA-1C0106F883FD}">
      <formula1>"네이버예약O,네이버예약X"</formula1>
    </dataValidation>
    <dataValidation type="list" allowBlank="1" showInputMessage="1" showErrorMessage="1" sqref="J3:J101" xr:uid="{E2450B35-B378-4552-A82E-C2A508D85FE8}">
      <formula1>"구월동,간석동,만수동,논현동,장수동,서창동,고잔동,남촌동,도림동,정보없음,그외"</formula1>
    </dataValidation>
    <dataValidation type="list" allowBlank="1" showInputMessage="1" showErrorMessage="1" sqref="I3:I101" xr:uid="{161B875A-ACB9-4BB4-8753-CB90A28DC7D8}">
      <formula1>"예방의학과,기본검진,건강검진,외과,치과,내과,피부과,안과,재활,기타,기본관리"</formula1>
    </dataValidation>
    <dataValidation type="list" allowBlank="1" showInputMessage="1" showErrorMessage="1" sqref="AA3:AA101 V3:V101 X3:Y101 T3:T101" xr:uid="{C8B815EC-6AD1-4CED-B96A-C9C3D28FDB4C}">
      <formula1>"발송완료,미발송,기타"</formula1>
    </dataValidation>
    <dataValidation type="list" allowBlank="1" showInputMessage="1" showErrorMessage="1" sqref="H3:H101" xr:uid="{B2DBFCF5-C6B7-4BA1-AF75-28C9E763AAEA}">
      <formula1>"인터넷,지인,병원추천,기타,미작성"</formula1>
    </dataValidation>
    <dataValidation type="list" allowBlank="1" showInputMessage="1" showErrorMessage="1" sqref="G3:G101" xr:uid="{C9CE481D-8AA3-4426-8F13-84993D8DC4B2}">
      <formula1>"1마리,다견,다묘,혼합"</formula1>
    </dataValidation>
    <dataValidation type="list" allowBlank="1" showInputMessage="1" showErrorMessage="1" sqref="F3:F101" xr:uid="{5E420B9D-6A2B-4CCB-A94C-CDFF005ECB06}">
      <formula1>"강아지,고양이"</formula1>
    </dataValidation>
    <dataValidation type="list" allowBlank="1" showInputMessage="1" showErrorMessage="1" sqref="M3:M101" xr:uid="{43531E77-B855-48E9-843A-A6A6AEBAC701}">
      <formula1>"팀장,정혜,우정"</formula1>
    </dataValidation>
  </dataValidations>
  <pageMargins left="0.7" right="0.7" top="0.75" bottom="0.75" header="0.3" footer="0.3"/>
  <pageSetup paperSize="9" orientation="landscape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C0E62-2A9E-47C0-B991-446BFD26871C}">
  <dimension ref="A1:I100"/>
  <sheetViews>
    <sheetView workbookViewId="0">
      <selection activeCell="C28" sqref="C28"/>
    </sheetView>
  </sheetViews>
  <sheetFormatPr defaultRowHeight="16.5" x14ac:dyDescent="0.3"/>
  <sheetData>
    <row r="1" spans="1:9" x14ac:dyDescent="0.3">
      <c r="B1" s="66" t="s">
        <v>1</v>
      </c>
      <c r="C1" s="66" t="s">
        <v>2909</v>
      </c>
      <c r="D1" s="437" t="s">
        <v>2908</v>
      </c>
      <c r="E1" s="437"/>
      <c r="F1" s="437" t="s">
        <v>911</v>
      </c>
      <c r="G1" s="437"/>
      <c r="H1" s="437" t="s">
        <v>3</v>
      </c>
      <c r="I1" s="437"/>
    </row>
    <row r="2" spans="1:9" x14ac:dyDescent="0.3">
      <c r="A2" s="66">
        <v>1</v>
      </c>
      <c r="B2" s="26"/>
      <c r="C2" s="26"/>
      <c r="D2" s="399"/>
      <c r="E2" s="399"/>
      <c r="F2" s="399"/>
      <c r="G2" s="399"/>
      <c r="H2" s="399"/>
      <c r="I2" s="399"/>
    </row>
    <row r="3" spans="1:9" x14ac:dyDescent="0.3">
      <c r="A3" s="66">
        <v>2</v>
      </c>
      <c r="B3" s="26"/>
      <c r="C3" s="26"/>
      <c r="D3" s="399"/>
      <c r="E3" s="399"/>
      <c r="F3" s="399"/>
      <c r="G3" s="399"/>
      <c r="H3" s="399"/>
      <c r="I3" s="399"/>
    </row>
    <row r="4" spans="1:9" x14ac:dyDescent="0.3">
      <c r="A4" s="66">
        <v>3</v>
      </c>
      <c r="B4" s="26"/>
      <c r="C4" s="26"/>
      <c r="D4" s="399"/>
      <c r="E4" s="399"/>
      <c r="F4" s="399"/>
      <c r="G4" s="399"/>
      <c r="H4" s="399"/>
      <c r="I4" s="399"/>
    </row>
    <row r="5" spans="1:9" x14ac:dyDescent="0.3">
      <c r="A5" s="66">
        <v>4</v>
      </c>
      <c r="B5" s="26"/>
      <c r="C5" s="26"/>
      <c r="D5" s="399"/>
      <c r="E5" s="399"/>
      <c r="F5" s="399"/>
      <c r="G5" s="399"/>
      <c r="H5" s="399"/>
      <c r="I5" s="399"/>
    </row>
    <row r="6" spans="1:9" x14ac:dyDescent="0.3">
      <c r="A6" s="66">
        <v>5</v>
      </c>
      <c r="B6" s="26"/>
      <c r="C6" s="26"/>
      <c r="D6" s="399"/>
      <c r="E6" s="399"/>
      <c r="F6" s="399"/>
      <c r="G6" s="399"/>
      <c r="H6" s="399"/>
      <c r="I6" s="399"/>
    </row>
    <row r="7" spans="1:9" x14ac:dyDescent="0.3">
      <c r="A7" s="66">
        <v>6</v>
      </c>
      <c r="B7" s="26"/>
      <c r="C7" s="26"/>
      <c r="D7" s="399"/>
      <c r="E7" s="399"/>
      <c r="F7" s="399"/>
      <c r="G7" s="399"/>
      <c r="H7" s="399"/>
      <c r="I7" s="399"/>
    </row>
    <row r="8" spans="1:9" x14ac:dyDescent="0.3">
      <c r="A8" s="66">
        <v>7</v>
      </c>
      <c r="B8" s="26"/>
      <c r="C8" s="26"/>
      <c r="D8" s="399"/>
      <c r="E8" s="399"/>
      <c r="F8" s="399"/>
      <c r="G8" s="399"/>
      <c r="H8" s="399"/>
      <c r="I8" s="399"/>
    </row>
    <row r="9" spans="1:9" x14ac:dyDescent="0.3">
      <c r="A9" s="66">
        <v>8</v>
      </c>
      <c r="B9" s="26"/>
      <c r="C9" s="26"/>
      <c r="D9" s="399"/>
      <c r="E9" s="399"/>
      <c r="F9" s="399"/>
      <c r="G9" s="399"/>
      <c r="H9" s="399"/>
      <c r="I9" s="399"/>
    </row>
    <row r="10" spans="1:9" x14ac:dyDescent="0.3">
      <c r="A10" s="66">
        <v>9</v>
      </c>
      <c r="B10" s="26"/>
      <c r="C10" s="26"/>
      <c r="D10" s="399"/>
      <c r="E10" s="399"/>
      <c r="F10" s="399"/>
      <c r="G10" s="399"/>
      <c r="H10" s="399"/>
      <c r="I10" s="399"/>
    </row>
    <row r="11" spans="1:9" x14ac:dyDescent="0.3">
      <c r="A11" s="66">
        <v>10</v>
      </c>
      <c r="B11" s="26"/>
      <c r="C11" s="26"/>
      <c r="D11" s="399"/>
      <c r="E11" s="399"/>
      <c r="F11" s="399"/>
      <c r="G11" s="399"/>
      <c r="H11" s="399"/>
      <c r="I11" s="399"/>
    </row>
    <row r="12" spans="1:9" x14ac:dyDescent="0.3">
      <c r="A12" s="66">
        <v>11</v>
      </c>
      <c r="B12" s="26"/>
      <c r="C12" s="26"/>
      <c r="D12" s="399"/>
      <c r="E12" s="399"/>
      <c r="F12" s="399"/>
      <c r="G12" s="399"/>
      <c r="H12" s="399"/>
      <c r="I12" s="399"/>
    </row>
    <row r="13" spans="1:9" x14ac:dyDescent="0.3">
      <c r="A13" s="66">
        <v>12</v>
      </c>
      <c r="B13" s="26"/>
      <c r="C13" s="26"/>
      <c r="D13" s="399"/>
      <c r="E13" s="399"/>
      <c r="F13" s="399"/>
      <c r="G13" s="399"/>
      <c r="H13" s="399"/>
      <c r="I13" s="399"/>
    </row>
    <row r="14" spans="1:9" x14ac:dyDescent="0.3">
      <c r="A14" s="66">
        <v>13</v>
      </c>
      <c r="B14" s="26"/>
      <c r="C14" s="26"/>
      <c r="D14" s="399"/>
      <c r="E14" s="399"/>
      <c r="F14" s="399"/>
      <c r="G14" s="399"/>
      <c r="H14" s="399"/>
      <c r="I14" s="399"/>
    </row>
    <row r="15" spans="1:9" x14ac:dyDescent="0.3">
      <c r="A15" s="66">
        <v>14</v>
      </c>
      <c r="B15" s="26"/>
      <c r="C15" s="26"/>
      <c r="D15" s="399"/>
      <c r="E15" s="399"/>
      <c r="F15" s="399"/>
      <c r="G15" s="399"/>
      <c r="H15" s="399"/>
      <c r="I15" s="399"/>
    </row>
    <row r="16" spans="1:9" x14ac:dyDescent="0.3">
      <c r="A16" s="66">
        <v>15</v>
      </c>
      <c r="B16" s="26"/>
      <c r="C16" s="26"/>
      <c r="D16" s="399"/>
      <c r="E16" s="399"/>
      <c r="F16" s="399"/>
      <c r="G16" s="399"/>
      <c r="H16" s="399"/>
      <c r="I16" s="399"/>
    </row>
    <row r="17" spans="1:9" x14ac:dyDescent="0.3">
      <c r="A17" s="66">
        <v>16</v>
      </c>
      <c r="B17" s="26"/>
      <c r="C17" s="26"/>
      <c r="D17" s="399"/>
      <c r="E17" s="399"/>
      <c r="F17" s="399"/>
      <c r="G17" s="399"/>
      <c r="H17" s="399"/>
      <c r="I17" s="399"/>
    </row>
    <row r="18" spans="1:9" x14ac:dyDescent="0.3">
      <c r="A18" s="66">
        <v>17</v>
      </c>
      <c r="B18" s="26"/>
      <c r="C18" s="26"/>
      <c r="D18" s="399"/>
      <c r="E18" s="399"/>
      <c r="F18" s="399"/>
      <c r="G18" s="399"/>
      <c r="H18" s="399"/>
      <c r="I18" s="399"/>
    </row>
    <row r="19" spans="1:9" x14ac:dyDescent="0.3">
      <c r="A19" s="66">
        <v>18</v>
      </c>
      <c r="B19" s="26"/>
      <c r="C19" s="26"/>
      <c r="D19" s="399"/>
      <c r="E19" s="399"/>
      <c r="F19" s="399"/>
      <c r="G19" s="399"/>
      <c r="H19" s="399"/>
      <c r="I19" s="399"/>
    </row>
    <row r="20" spans="1:9" x14ac:dyDescent="0.3">
      <c r="A20" s="66">
        <v>19</v>
      </c>
      <c r="B20" s="26"/>
      <c r="C20" s="26"/>
      <c r="D20" s="399"/>
      <c r="E20" s="399"/>
      <c r="F20" s="399"/>
      <c r="G20" s="399"/>
      <c r="H20" s="399"/>
      <c r="I20" s="399"/>
    </row>
    <row r="21" spans="1:9" x14ac:dyDescent="0.3">
      <c r="A21" s="66">
        <v>20</v>
      </c>
      <c r="B21" s="26"/>
      <c r="C21" s="26"/>
      <c r="D21" s="399"/>
      <c r="E21" s="399"/>
      <c r="F21" s="399"/>
      <c r="G21" s="399"/>
      <c r="H21" s="399"/>
      <c r="I21" s="399"/>
    </row>
    <row r="22" spans="1:9" x14ac:dyDescent="0.3">
      <c r="A22" s="66">
        <v>21</v>
      </c>
      <c r="B22" s="26"/>
      <c r="C22" s="26"/>
      <c r="D22" s="399"/>
      <c r="E22" s="399"/>
      <c r="F22" s="399"/>
      <c r="G22" s="399"/>
      <c r="H22" s="399"/>
      <c r="I22" s="399"/>
    </row>
    <row r="23" spans="1:9" x14ac:dyDescent="0.3">
      <c r="A23" s="66">
        <v>22</v>
      </c>
      <c r="B23" s="26"/>
      <c r="C23" s="26"/>
      <c r="D23" s="399"/>
      <c r="E23" s="399"/>
      <c r="F23" s="399"/>
      <c r="G23" s="399"/>
      <c r="H23" s="399"/>
      <c r="I23" s="399"/>
    </row>
    <row r="24" spans="1:9" x14ac:dyDescent="0.3">
      <c r="A24" s="66">
        <v>23</v>
      </c>
      <c r="B24" s="26"/>
      <c r="C24" s="26"/>
      <c r="D24" s="399"/>
      <c r="E24" s="399"/>
      <c r="F24" s="399"/>
      <c r="G24" s="399"/>
      <c r="H24" s="399"/>
      <c r="I24" s="399"/>
    </row>
    <row r="25" spans="1:9" x14ac:dyDescent="0.3">
      <c r="A25" s="66">
        <v>24</v>
      </c>
      <c r="B25" s="26"/>
      <c r="C25" s="26"/>
      <c r="D25" s="399"/>
      <c r="E25" s="399"/>
      <c r="F25" s="399"/>
      <c r="G25" s="399"/>
      <c r="H25" s="399"/>
      <c r="I25" s="399"/>
    </row>
    <row r="26" spans="1:9" x14ac:dyDescent="0.3">
      <c r="A26" s="66">
        <v>25</v>
      </c>
      <c r="B26" s="26"/>
      <c r="C26" s="26"/>
      <c r="D26" s="399"/>
      <c r="E26" s="399"/>
      <c r="F26" s="399"/>
      <c r="G26" s="399"/>
      <c r="H26" s="399"/>
      <c r="I26" s="399"/>
    </row>
    <row r="27" spans="1:9" x14ac:dyDescent="0.3">
      <c r="A27" s="66">
        <v>26</v>
      </c>
      <c r="B27" s="26"/>
      <c r="C27" s="26"/>
      <c r="D27" s="399"/>
      <c r="E27" s="399"/>
      <c r="F27" s="399"/>
      <c r="G27" s="399"/>
      <c r="H27" s="399"/>
      <c r="I27" s="399"/>
    </row>
    <row r="28" spans="1:9" x14ac:dyDescent="0.3">
      <c r="A28" s="66">
        <v>27</v>
      </c>
      <c r="B28" s="26"/>
      <c r="C28" s="26"/>
      <c r="D28" s="399"/>
      <c r="E28" s="399"/>
      <c r="F28" s="399"/>
      <c r="G28" s="399"/>
      <c r="H28" s="399"/>
      <c r="I28" s="399"/>
    </row>
    <row r="29" spans="1:9" x14ac:dyDescent="0.3">
      <c r="A29" s="66">
        <v>28</v>
      </c>
      <c r="B29" s="26"/>
      <c r="C29" s="26"/>
      <c r="D29" s="399"/>
      <c r="E29" s="399"/>
      <c r="F29" s="399"/>
      <c r="G29" s="399"/>
      <c r="H29" s="399"/>
      <c r="I29" s="399"/>
    </row>
    <row r="30" spans="1:9" x14ac:dyDescent="0.3">
      <c r="A30" s="66">
        <v>29</v>
      </c>
      <c r="B30" s="26"/>
      <c r="C30" s="26"/>
      <c r="D30" s="399"/>
      <c r="E30" s="399"/>
      <c r="F30" s="399"/>
      <c r="G30" s="399"/>
      <c r="H30" s="399"/>
      <c r="I30" s="399"/>
    </row>
    <row r="31" spans="1:9" x14ac:dyDescent="0.3">
      <c r="A31" s="66">
        <v>30</v>
      </c>
      <c r="B31" s="26"/>
      <c r="C31" s="26"/>
      <c r="D31" s="399"/>
      <c r="E31" s="399"/>
      <c r="F31" s="399"/>
      <c r="G31" s="399"/>
      <c r="H31" s="399"/>
      <c r="I31" s="399"/>
    </row>
    <row r="32" spans="1:9" x14ac:dyDescent="0.3">
      <c r="A32" s="66">
        <v>31</v>
      </c>
      <c r="B32" s="26"/>
      <c r="C32" s="26"/>
      <c r="D32" s="399"/>
      <c r="E32" s="399"/>
      <c r="F32" s="399"/>
      <c r="G32" s="399"/>
      <c r="H32" s="399"/>
      <c r="I32" s="399"/>
    </row>
    <row r="33" spans="1:9" x14ac:dyDescent="0.3">
      <c r="A33" s="66">
        <v>32</v>
      </c>
      <c r="B33" s="26"/>
      <c r="C33" s="26"/>
      <c r="D33" s="399"/>
      <c r="E33" s="399"/>
      <c r="F33" s="399"/>
      <c r="G33" s="399"/>
      <c r="H33" s="399"/>
      <c r="I33" s="399"/>
    </row>
    <row r="34" spans="1:9" x14ac:dyDescent="0.3">
      <c r="A34" s="66">
        <v>33</v>
      </c>
      <c r="B34" s="26"/>
      <c r="C34" s="26"/>
      <c r="D34" s="399"/>
      <c r="E34" s="399"/>
      <c r="F34" s="399"/>
      <c r="G34" s="399"/>
      <c r="H34" s="399"/>
      <c r="I34" s="399"/>
    </row>
    <row r="35" spans="1:9" x14ac:dyDescent="0.3">
      <c r="A35" s="66">
        <v>34</v>
      </c>
      <c r="B35" s="26"/>
      <c r="C35" s="26"/>
      <c r="D35" s="399"/>
      <c r="E35" s="399"/>
      <c r="F35" s="399"/>
      <c r="G35" s="399"/>
      <c r="H35" s="399"/>
      <c r="I35" s="399"/>
    </row>
    <row r="36" spans="1:9" x14ac:dyDescent="0.3">
      <c r="A36" s="66">
        <v>35</v>
      </c>
      <c r="B36" s="26"/>
      <c r="C36" s="26"/>
      <c r="D36" s="399"/>
      <c r="E36" s="399"/>
      <c r="F36" s="399"/>
      <c r="G36" s="399"/>
      <c r="H36" s="399"/>
      <c r="I36" s="399"/>
    </row>
    <row r="37" spans="1:9" x14ac:dyDescent="0.3">
      <c r="A37" s="66">
        <v>36</v>
      </c>
      <c r="B37" s="26"/>
      <c r="C37" s="26"/>
      <c r="D37" s="399"/>
      <c r="E37" s="399"/>
      <c r="F37" s="399"/>
      <c r="G37" s="399"/>
      <c r="H37" s="399"/>
      <c r="I37" s="399"/>
    </row>
    <row r="38" spans="1:9" x14ac:dyDescent="0.3">
      <c r="A38" s="66">
        <v>37</v>
      </c>
      <c r="B38" s="26"/>
      <c r="C38" s="26"/>
      <c r="D38" s="399"/>
      <c r="E38" s="399"/>
      <c r="F38" s="399"/>
      <c r="G38" s="399"/>
      <c r="H38" s="399"/>
      <c r="I38" s="399"/>
    </row>
    <row r="39" spans="1:9" x14ac:dyDescent="0.3">
      <c r="A39" s="66">
        <v>38</v>
      </c>
      <c r="B39" s="26"/>
      <c r="C39" s="26"/>
      <c r="D39" s="399"/>
      <c r="E39" s="399"/>
      <c r="F39" s="399"/>
      <c r="G39" s="399"/>
      <c r="H39" s="399"/>
      <c r="I39" s="399"/>
    </row>
    <row r="40" spans="1:9" x14ac:dyDescent="0.3">
      <c r="A40" s="66">
        <v>39</v>
      </c>
      <c r="B40" s="26"/>
      <c r="C40" s="26"/>
      <c r="D40" s="399"/>
      <c r="E40" s="399"/>
      <c r="F40" s="399"/>
      <c r="G40" s="399"/>
      <c r="H40" s="399"/>
      <c r="I40" s="399"/>
    </row>
    <row r="41" spans="1:9" x14ac:dyDescent="0.3">
      <c r="A41" s="66">
        <v>40</v>
      </c>
      <c r="B41" s="26"/>
      <c r="C41" s="26"/>
      <c r="D41" s="399"/>
      <c r="E41" s="399"/>
      <c r="F41" s="399"/>
      <c r="G41" s="399"/>
      <c r="H41" s="399"/>
      <c r="I41" s="399"/>
    </row>
    <row r="42" spans="1:9" x14ac:dyDescent="0.3">
      <c r="A42" s="66">
        <v>41</v>
      </c>
      <c r="B42" s="26"/>
      <c r="C42" s="26"/>
      <c r="D42" s="399"/>
      <c r="E42" s="399"/>
      <c r="F42" s="399"/>
      <c r="G42" s="399"/>
      <c r="H42" s="399"/>
      <c r="I42" s="399"/>
    </row>
    <row r="43" spans="1:9" x14ac:dyDescent="0.3">
      <c r="A43" s="66">
        <v>42</v>
      </c>
      <c r="B43" s="26"/>
      <c r="C43" s="26"/>
      <c r="D43" s="399"/>
      <c r="E43" s="399"/>
      <c r="F43" s="399"/>
      <c r="G43" s="399"/>
      <c r="H43" s="399"/>
      <c r="I43" s="399"/>
    </row>
    <row r="44" spans="1:9" x14ac:dyDescent="0.3">
      <c r="A44" s="66">
        <v>43</v>
      </c>
      <c r="B44" s="26"/>
      <c r="C44" s="26"/>
      <c r="D44" s="399"/>
      <c r="E44" s="399"/>
      <c r="F44" s="399"/>
      <c r="G44" s="399"/>
      <c r="H44" s="399"/>
      <c r="I44" s="399"/>
    </row>
    <row r="45" spans="1:9" x14ac:dyDescent="0.3">
      <c r="A45" s="66">
        <v>44</v>
      </c>
      <c r="B45" s="26"/>
      <c r="C45" s="26"/>
      <c r="D45" s="399"/>
      <c r="E45" s="399"/>
      <c r="F45" s="399"/>
      <c r="G45" s="399"/>
      <c r="H45" s="399"/>
      <c r="I45" s="399"/>
    </row>
    <row r="46" spans="1:9" x14ac:dyDescent="0.3">
      <c r="A46" s="66">
        <v>45</v>
      </c>
      <c r="B46" s="26"/>
      <c r="C46" s="26"/>
      <c r="D46" s="399"/>
      <c r="E46" s="399"/>
      <c r="F46" s="399"/>
      <c r="G46" s="399"/>
      <c r="H46" s="399"/>
      <c r="I46" s="399"/>
    </row>
    <row r="47" spans="1:9" x14ac:dyDescent="0.3">
      <c r="A47" s="66">
        <v>46</v>
      </c>
      <c r="B47" s="26"/>
      <c r="C47" s="26"/>
      <c r="D47" s="399"/>
      <c r="E47" s="399"/>
      <c r="F47" s="399"/>
      <c r="G47" s="399"/>
      <c r="H47" s="399"/>
      <c r="I47" s="399"/>
    </row>
    <row r="48" spans="1:9" x14ac:dyDescent="0.3">
      <c r="A48" s="66">
        <v>47</v>
      </c>
      <c r="B48" s="26"/>
      <c r="C48" s="26"/>
      <c r="D48" s="399"/>
      <c r="E48" s="399"/>
      <c r="F48" s="399"/>
      <c r="G48" s="399"/>
      <c r="H48" s="399"/>
      <c r="I48" s="399"/>
    </row>
    <row r="49" spans="1:9" x14ac:dyDescent="0.3">
      <c r="A49" s="66">
        <v>48</v>
      </c>
      <c r="B49" s="26"/>
      <c r="C49" s="26"/>
      <c r="D49" s="399"/>
      <c r="E49" s="399"/>
      <c r="F49" s="399"/>
      <c r="G49" s="399"/>
      <c r="H49" s="399"/>
      <c r="I49" s="399"/>
    </row>
    <row r="50" spans="1:9" x14ac:dyDescent="0.3">
      <c r="A50" s="66">
        <v>49</v>
      </c>
      <c r="B50" s="26"/>
      <c r="C50" s="26"/>
      <c r="D50" s="399"/>
      <c r="E50" s="399"/>
      <c r="F50" s="399"/>
      <c r="G50" s="399"/>
      <c r="H50" s="399"/>
      <c r="I50" s="399"/>
    </row>
    <row r="51" spans="1:9" x14ac:dyDescent="0.3">
      <c r="A51" s="66">
        <v>50</v>
      </c>
      <c r="B51" s="26"/>
      <c r="C51" s="26"/>
      <c r="D51" s="399"/>
      <c r="E51" s="399"/>
      <c r="F51" s="399"/>
      <c r="G51" s="399"/>
      <c r="H51" s="399"/>
      <c r="I51" s="399"/>
    </row>
    <row r="52" spans="1:9" x14ac:dyDescent="0.3">
      <c r="A52" s="66">
        <v>51</v>
      </c>
      <c r="B52" s="26"/>
      <c r="C52" s="26"/>
      <c r="D52" s="399"/>
      <c r="E52" s="399"/>
      <c r="F52" s="399"/>
      <c r="G52" s="399"/>
      <c r="H52" s="399"/>
      <c r="I52" s="399"/>
    </row>
    <row r="53" spans="1:9" x14ac:dyDescent="0.3">
      <c r="A53" s="66">
        <v>52</v>
      </c>
      <c r="B53" s="26"/>
      <c r="C53" s="26"/>
      <c r="D53" s="399"/>
      <c r="E53" s="399"/>
      <c r="F53" s="399"/>
      <c r="G53" s="399"/>
      <c r="H53" s="399"/>
      <c r="I53" s="399"/>
    </row>
    <row r="54" spans="1:9" x14ac:dyDescent="0.3">
      <c r="A54" s="66">
        <v>53</v>
      </c>
      <c r="B54" s="26"/>
      <c r="C54" s="26"/>
      <c r="D54" s="399"/>
      <c r="E54" s="399"/>
      <c r="F54" s="399"/>
      <c r="G54" s="399"/>
      <c r="H54" s="399"/>
      <c r="I54" s="399"/>
    </row>
    <row r="55" spans="1:9" x14ac:dyDescent="0.3">
      <c r="A55" s="66">
        <v>54</v>
      </c>
      <c r="B55" s="26"/>
      <c r="C55" s="26"/>
      <c r="D55" s="399"/>
      <c r="E55" s="399"/>
      <c r="F55" s="399"/>
      <c r="G55" s="399"/>
      <c r="H55" s="399"/>
      <c r="I55" s="399"/>
    </row>
    <row r="56" spans="1:9" x14ac:dyDescent="0.3">
      <c r="A56" s="66">
        <v>55</v>
      </c>
      <c r="B56" s="26"/>
      <c r="C56" s="26"/>
      <c r="D56" s="399"/>
      <c r="E56" s="399"/>
      <c r="F56" s="399"/>
      <c r="G56" s="399"/>
      <c r="H56" s="399"/>
      <c r="I56" s="399"/>
    </row>
    <row r="57" spans="1:9" x14ac:dyDescent="0.3">
      <c r="A57" s="66">
        <v>56</v>
      </c>
      <c r="B57" s="26"/>
      <c r="C57" s="26"/>
      <c r="D57" s="399"/>
      <c r="E57" s="399"/>
      <c r="F57" s="399"/>
      <c r="G57" s="399"/>
      <c r="H57" s="399"/>
      <c r="I57" s="399"/>
    </row>
    <row r="58" spans="1:9" x14ac:dyDescent="0.3">
      <c r="A58" s="66">
        <v>57</v>
      </c>
      <c r="B58" s="26"/>
      <c r="C58" s="26"/>
      <c r="D58" s="399"/>
      <c r="E58" s="399"/>
      <c r="F58" s="399"/>
      <c r="G58" s="399"/>
      <c r="H58" s="399"/>
      <c r="I58" s="399"/>
    </row>
    <row r="59" spans="1:9" x14ac:dyDescent="0.3">
      <c r="A59" s="66">
        <v>58</v>
      </c>
      <c r="B59" s="26"/>
      <c r="C59" s="26"/>
      <c r="D59" s="399"/>
      <c r="E59" s="399"/>
      <c r="F59" s="399"/>
      <c r="G59" s="399"/>
      <c r="H59" s="399"/>
      <c r="I59" s="399"/>
    </row>
    <row r="60" spans="1:9" x14ac:dyDescent="0.3">
      <c r="A60" s="66">
        <v>59</v>
      </c>
      <c r="B60" s="26"/>
      <c r="C60" s="26"/>
      <c r="D60" s="399"/>
      <c r="E60" s="399"/>
      <c r="F60" s="399"/>
      <c r="G60" s="399"/>
      <c r="H60" s="399"/>
      <c r="I60" s="399"/>
    </row>
    <row r="61" spans="1:9" x14ac:dyDescent="0.3">
      <c r="A61" s="66">
        <v>60</v>
      </c>
      <c r="B61" s="26"/>
      <c r="C61" s="26"/>
      <c r="D61" s="399"/>
      <c r="E61" s="399"/>
      <c r="F61" s="399"/>
      <c r="G61" s="399"/>
      <c r="H61" s="399"/>
      <c r="I61" s="399"/>
    </row>
    <row r="62" spans="1:9" x14ac:dyDescent="0.3">
      <c r="A62" s="66">
        <v>61</v>
      </c>
      <c r="B62" s="26"/>
      <c r="C62" s="26"/>
      <c r="D62" s="399"/>
      <c r="E62" s="399"/>
      <c r="F62" s="399"/>
      <c r="G62" s="399"/>
      <c r="H62" s="399"/>
      <c r="I62" s="399"/>
    </row>
    <row r="63" spans="1:9" x14ac:dyDescent="0.3">
      <c r="A63" s="66">
        <v>62</v>
      </c>
      <c r="B63" s="26"/>
      <c r="C63" s="26"/>
      <c r="D63" s="399"/>
      <c r="E63" s="399"/>
      <c r="F63" s="399"/>
      <c r="G63" s="399"/>
      <c r="H63" s="399"/>
      <c r="I63" s="399"/>
    </row>
    <row r="64" spans="1:9" x14ac:dyDescent="0.3">
      <c r="A64" s="66">
        <v>63</v>
      </c>
      <c r="B64" s="26"/>
      <c r="C64" s="26"/>
      <c r="D64" s="399"/>
      <c r="E64" s="399"/>
      <c r="F64" s="399"/>
      <c r="G64" s="399"/>
      <c r="H64" s="399"/>
      <c r="I64" s="399"/>
    </row>
    <row r="65" spans="1:9" x14ac:dyDescent="0.3">
      <c r="A65" s="66">
        <v>64</v>
      </c>
      <c r="B65" s="26"/>
      <c r="C65" s="26"/>
      <c r="D65" s="399"/>
      <c r="E65" s="399"/>
      <c r="F65" s="399"/>
      <c r="G65" s="399"/>
      <c r="H65" s="399"/>
      <c r="I65" s="399"/>
    </row>
    <row r="66" spans="1:9" x14ac:dyDescent="0.3">
      <c r="A66" s="66">
        <v>65</v>
      </c>
      <c r="B66" s="26"/>
      <c r="C66" s="26"/>
      <c r="D66" s="399"/>
      <c r="E66" s="399"/>
      <c r="F66" s="399"/>
      <c r="G66" s="399"/>
      <c r="H66" s="399"/>
      <c r="I66" s="399"/>
    </row>
    <row r="67" spans="1:9" x14ac:dyDescent="0.3">
      <c r="A67" s="66">
        <v>66</v>
      </c>
      <c r="B67" s="26"/>
      <c r="C67" s="26"/>
      <c r="D67" s="399"/>
      <c r="E67" s="399"/>
      <c r="F67" s="399"/>
      <c r="G67" s="399"/>
      <c r="H67" s="399"/>
      <c r="I67" s="399"/>
    </row>
    <row r="68" spans="1:9" x14ac:dyDescent="0.3">
      <c r="A68" s="66">
        <v>67</v>
      </c>
      <c r="B68" s="26"/>
      <c r="C68" s="26"/>
      <c r="D68" s="399"/>
      <c r="E68" s="399"/>
      <c r="F68" s="399"/>
      <c r="G68" s="399"/>
      <c r="H68" s="399"/>
      <c r="I68" s="399"/>
    </row>
    <row r="69" spans="1:9" x14ac:dyDescent="0.3">
      <c r="A69" s="66">
        <v>68</v>
      </c>
      <c r="B69" s="26"/>
      <c r="C69" s="26"/>
      <c r="D69" s="399"/>
      <c r="E69" s="399"/>
      <c r="F69" s="399"/>
      <c r="G69" s="399"/>
      <c r="H69" s="399"/>
      <c r="I69" s="399"/>
    </row>
    <row r="70" spans="1:9" x14ac:dyDescent="0.3">
      <c r="A70" s="66">
        <v>69</v>
      </c>
      <c r="B70" s="26"/>
      <c r="C70" s="26"/>
      <c r="D70" s="399"/>
      <c r="E70" s="399"/>
      <c r="F70" s="399"/>
      <c r="G70" s="399"/>
      <c r="H70" s="399"/>
      <c r="I70" s="399"/>
    </row>
    <row r="71" spans="1:9" x14ac:dyDescent="0.3">
      <c r="A71" s="66">
        <v>70</v>
      </c>
      <c r="B71" s="26"/>
      <c r="C71" s="26"/>
      <c r="D71" s="399"/>
      <c r="E71" s="399"/>
      <c r="F71" s="399"/>
      <c r="G71" s="399"/>
      <c r="H71" s="399"/>
      <c r="I71" s="399"/>
    </row>
    <row r="72" spans="1:9" x14ac:dyDescent="0.3">
      <c r="A72" s="66">
        <v>71</v>
      </c>
      <c r="B72" s="26"/>
      <c r="C72" s="26"/>
      <c r="D72" s="399"/>
      <c r="E72" s="399"/>
      <c r="F72" s="399"/>
      <c r="G72" s="399"/>
      <c r="H72" s="399"/>
      <c r="I72" s="399"/>
    </row>
    <row r="73" spans="1:9" x14ac:dyDescent="0.3">
      <c r="A73" s="66">
        <v>72</v>
      </c>
      <c r="B73" s="26"/>
      <c r="C73" s="26"/>
      <c r="D73" s="399"/>
      <c r="E73" s="399"/>
      <c r="F73" s="399"/>
      <c r="G73" s="399"/>
      <c r="H73" s="399"/>
      <c r="I73" s="399"/>
    </row>
    <row r="74" spans="1:9" x14ac:dyDescent="0.3">
      <c r="A74" s="66">
        <v>73</v>
      </c>
      <c r="B74" s="26"/>
      <c r="C74" s="26"/>
      <c r="D74" s="399"/>
      <c r="E74" s="399"/>
      <c r="F74" s="399"/>
      <c r="G74" s="399"/>
      <c r="H74" s="399"/>
      <c r="I74" s="399"/>
    </row>
    <row r="75" spans="1:9" x14ac:dyDescent="0.3">
      <c r="A75" s="66">
        <v>74</v>
      </c>
      <c r="B75" s="26"/>
      <c r="C75" s="26"/>
      <c r="D75" s="399"/>
      <c r="E75" s="399"/>
      <c r="F75" s="399"/>
      <c r="G75" s="399"/>
      <c r="H75" s="399"/>
      <c r="I75" s="399"/>
    </row>
    <row r="76" spans="1:9" x14ac:dyDescent="0.3">
      <c r="A76" s="66">
        <v>75</v>
      </c>
      <c r="B76" s="26"/>
      <c r="C76" s="26"/>
      <c r="D76" s="399"/>
      <c r="E76" s="399"/>
      <c r="F76" s="399"/>
      <c r="G76" s="399"/>
      <c r="H76" s="399"/>
      <c r="I76" s="399"/>
    </row>
    <row r="77" spans="1:9" x14ac:dyDescent="0.3">
      <c r="A77" s="66">
        <v>76</v>
      </c>
      <c r="B77" s="26"/>
      <c r="C77" s="26"/>
      <c r="D77" s="399"/>
      <c r="E77" s="399"/>
      <c r="F77" s="399"/>
      <c r="G77" s="399"/>
      <c r="H77" s="399"/>
      <c r="I77" s="399"/>
    </row>
    <row r="78" spans="1:9" x14ac:dyDescent="0.3">
      <c r="A78" s="66">
        <v>77</v>
      </c>
      <c r="B78" s="26"/>
      <c r="C78" s="26"/>
      <c r="D78" s="399"/>
      <c r="E78" s="399"/>
      <c r="F78" s="399"/>
      <c r="G78" s="399"/>
      <c r="H78" s="399"/>
      <c r="I78" s="399"/>
    </row>
    <row r="79" spans="1:9" x14ac:dyDescent="0.3">
      <c r="A79" s="66">
        <v>78</v>
      </c>
      <c r="B79" s="26"/>
      <c r="C79" s="26"/>
      <c r="D79" s="399"/>
      <c r="E79" s="399"/>
      <c r="F79" s="399"/>
      <c r="G79" s="399"/>
      <c r="H79" s="399"/>
      <c r="I79" s="399"/>
    </row>
    <row r="80" spans="1:9" x14ac:dyDescent="0.3">
      <c r="A80" s="66">
        <v>79</v>
      </c>
      <c r="B80" s="26"/>
      <c r="C80" s="26"/>
      <c r="D80" s="399"/>
      <c r="E80" s="399"/>
      <c r="F80" s="399"/>
      <c r="G80" s="399"/>
      <c r="H80" s="399"/>
      <c r="I80" s="399"/>
    </row>
    <row r="81" spans="1:9" x14ac:dyDescent="0.3">
      <c r="A81" s="66">
        <v>80</v>
      </c>
      <c r="B81" s="26"/>
      <c r="C81" s="26"/>
      <c r="D81" s="399"/>
      <c r="E81" s="399"/>
      <c r="F81" s="399"/>
      <c r="G81" s="399"/>
      <c r="H81" s="399"/>
      <c r="I81" s="399"/>
    </row>
    <row r="82" spans="1:9" x14ac:dyDescent="0.3">
      <c r="A82" s="66">
        <v>81</v>
      </c>
      <c r="B82" s="26"/>
      <c r="C82" s="26"/>
      <c r="D82" s="399"/>
      <c r="E82" s="399"/>
      <c r="F82" s="399"/>
      <c r="G82" s="399"/>
      <c r="H82" s="399"/>
      <c r="I82" s="399"/>
    </row>
    <row r="83" spans="1:9" x14ac:dyDescent="0.3">
      <c r="A83" s="66">
        <v>82</v>
      </c>
      <c r="B83" s="26"/>
      <c r="C83" s="26"/>
      <c r="D83" s="399"/>
      <c r="E83" s="399"/>
      <c r="F83" s="399"/>
      <c r="G83" s="399"/>
      <c r="H83" s="399"/>
      <c r="I83" s="399"/>
    </row>
    <row r="84" spans="1:9" x14ac:dyDescent="0.3">
      <c r="A84" s="66">
        <v>83</v>
      </c>
      <c r="B84" s="26"/>
      <c r="C84" s="26"/>
      <c r="D84" s="399"/>
      <c r="E84" s="399"/>
      <c r="F84" s="399"/>
      <c r="G84" s="399"/>
      <c r="H84" s="399"/>
      <c r="I84" s="399"/>
    </row>
    <row r="85" spans="1:9" x14ac:dyDescent="0.3">
      <c r="A85" s="66">
        <v>84</v>
      </c>
      <c r="B85" s="26"/>
      <c r="C85" s="26"/>
      <c r="D85" s="399"/>
      <c r="E85" s="399"/>
      <c r="F85" s="399"/>
      <c r="G85" s="399"/>
      <c r="H85" s="399"/>
      <c r="I85" s="399"/>
    </row>
    <row r="86" spans="1:9" x14ac:dyDescent="0.3">
      <c r="A86" s="66">
        <v>85</v>
      </c>
      <c r="B86" s="26"/>
      <c r="C86" s="26"/>
      <c r="D86" s="399"/>
      <c r="E86" s="399"/>
      <c r="F86" s="399"/>
      <c r="G86" s="399"/>
      <c r="H86" s="399"/>
      <c r="I86" s="399"/>
    </row>
    <row r="87" spans="1:9" x14ac:dyDescent="0.3">
      <c r="A87" s="66">
        <v>86</v>
      </c>
      <c r="B87" s="26"/>
      <c r="C87" s="26"/>
      <c r="D87" s="399"/>
      <c r="E87" s="399"/>
      <c r="F87" s="399"/>
      <c r="G87" s="399"/>
      <c r="H87" s="399"/>
      <c r="I87" s="399"/>
    </row>
    <row r="88" spans="1:9" x14ac:dyDescent="0.3">
      <c r="A88" s="66">
        <v>87</v>
      </c>
      <c r="B88" s="26"/>
      <c r="C88" s="26"/>
      <c r="D88" s="399"/>
      <c r="E88" s="399"/>
      <c r="F88" s="399"/>
      <c r="G88" s="399"/>
      <c r="H88" s="399"/>
      <c r="I88" s="399"/>
    </row>
    <row r="89" spans="1:9" x14ac:dyDescent="0.3">
      <c r="A89" s="66">
        <v>88</v>
      </c>
      <c r="B89" s="26"/>
      <c r="C89" s="26"/>
      <c r="D89" s="399"/>
      <c r="E89" s="399"/>
      <c r="F89" s="399"/>
      <c r="G89" s="399"/>
      <c r="H89" s="399"/>
      <c r="I89" s="399"/>
    </row>
    <row r="90" spans="1:9" x14ac:dyDescent="0.3">
      <c r="A90" s="66">
        <v>89</v>
      </c>
      <c r="B90" s="26"/>
      <c r="C90" s="26"/>
      <c r="D90" s="399"/>
      <c r="E90" s="399"/>
      <c r="F90" s="399"/>
      <c r="G90" s="399"/>
      <c r="H90" s="399"/>
      <c r="I90" s="399"/>
    </row>
    <row r="91" spans="1:9" x14ac:dyDescent="0.3">
      <c r="A91" s="66">
        <v>90</v>
      </c>
      <c r="B91" s="26"/>
      <c r="C91" s="26"/>
      <c r="D91" s="399"/>
      <c r="E91" s="399"/>
      <c r="F91" s="399"/>
      <c r="G91" s="399"/>
      <c r="H91" s="399"/>
      <c r="I91" s="399"/>
    </row>
    <row r="92" spans="1:9" x14ac:dyDescent="0.3">
      <c r="A92" s="66">
        <v>91</v>
      </c>
      <c r="B92" s="26"/>
      <c r="C92" s="26"/>
      <c r="D92" s="399"/>
      <c r="E92" s="399"/>
      <c r="F92" s="399"/>
      <c r="G92" s="399"/>
      <c r="H92" s="399"/>
      <c r="I92" s="399"/>
    </row>
    <row r="93" spans="1:9" x14ac:dyDescent="0.3">
      <c r="A93" s="66">
        <v>92</v>
      </c>
      <c r="B93" s="26"/>
      <c r="C93" s="26"/>
      <c r="D93" s="399"/>
      <c r="E93" s="399"/>
      <c r="F93" s="399"/>
      <c r="G93" s="399"/>
      <c r="H93" s="399"/>
      <c r="I93" s="399"/>
    </row>
    <row r="94" spans="1:9" x14ac:dyDescent="0.3">
      <c r="A94" s="66">
        <v>93</v>
      </c>
      <c r="B94" s="26"/>
      <c r="C94" s="26"/>
      <c r="D94" s="399"/>
      <c r="E94" s="399"/>
      <c r="F94" s="399"/>
      <c r="G94" s="399"/>
      <c r="H94" s="399"/>
      <c r="I94" s="399"/>
    </row>
    <row r="95" spans="1:9" x14ac:dyDescent="0.3">
      <c r="A95" s="66">
        <v>94</v>
      </c>
      <c r="B95" s="26"/>
      <c r="C95" s="26"/>
      <c r="D95" s="399"/>
      <c r="E95" s="399"/>
      <c r="F95" s="399"/>
      <c r="G95" s="399"/>
      <c r="H95" s="399"/>
      <c r="I95" s="399"/>
    </row>
    <row r="96" spans="1:9" x14ac:dyDescent="0.3">
      <c r="A96" s="66">
        <v>95</v>
      </c>
      <c r="B96" s="26"/>
      <c r="C96" s="26"/>
      <c r="D96" s="399"/>
      <c r="E96" s="399"/>
      <c r="F96" s="399"/>
      <c r="G96" s="399"/>
      <c r="H96" s="399"/>
      <c r="I96" s="399"/>
    </row>
    <row r="97" spans="1:9" x14ac:dyDescent="0.3">
      <c r="A97" s="66">
        <v>96</v>
      </c>
      <c r="B97" s="26"/>
      <c r="C97" s="26"/>
      <c r="D97" s="399"/>
      <c r="E97" s="399"/>
      <c r="F97" s="399"/>
      <c r="G97" s="399"/>
      <c r="H97" s="399"/>
      <c r="I97" s="399"/>
    </row>
    <row r="98" spans="1:9" x14ac:dyDescent="0.3">
      <c r="A98" s="66">
        <v>97</v>
      </c>
      <c r="B98" s="26"/>
      <c r="C98" s="26"/>
      <c r="D98" s="399"/>
      <c r="E98" s="399"/>
      <c r="F98" s="399"/>
      <c r="G98" s="399"/>
      <c r="H98" s="399"/>
      <c r="I98" s="399"/>
    </row>
    <row r="99" spans="1:9" x14ac:dyDescent="0.3">
      <c r="A99" s="66">
        <v>98</v>
      </c>
      <c r="B99" s="26"/>
      <c r="C99" s="26"/>
      <c r="D99" s="399"/>
      <c r="E99" s="399"/>
      <c r="F99" s="399"/>
      <c r="G99" s="399"/>
      <c r="H99" s="399"/>
      <c r="I99" s="399"/>
    </row>
    <row r="100" spans="1:9" x14ac:dyDescent="0.3">
      <c r="A100" s="66">
        <v>99</v>
      </c>
      <c r="B100" s="26"/>
      <c r="C100" s="26"/>
      <c r="D100" s="399"/>
      <c r="E100" s="399"/>
      <c r="F100" s="399"/>
      <c r="G100" s="399"/>
      <c r="H100" s="399"/>
      <c r="I100" s="399"/>
    </row>
  </sheetData>
  <mergeCells count="300">
    <mergeCell ref="D3:E3"/>
    <mergeCell ref="F3:G3"/>
    <mergeCell ref="H3:I3"/>
    <mergeCell ref="D4:E4"/>
    <mergeCell ref="F4:G4"/>
    <mergeCell ref="H4:I4"/>
    <mergeCell ref="D1:E1"/>
    <mergeCell ref="F1:G1"/>
    <mergeCell ref="H1:I1"/>
    <mergeCell ref="D2:E2"/>
    <mergeCell ref="F2:G2"/>
    <mergeCell ref="H2:I2"/>
    <mergeCell ref="D7:E7"/>
    <mergeCell ref="F7:G7"/>
    <mergeCell ref="H7:I7"/>
    <mergeCell ref="D8:E8"/>
    <mergeCell ref="F8:G8"/>
    <mergeCell ref="H8:I8"/>
    <mergeCell ref="D5:E5"/>
    <mergeCell ref="F5:G5"/>
    <mergeCell ref="H5:I5"/>
    <mergeCell ref="D6:E6"/>
    <mergeCell ref="F6:G6"/>
    <mergeCell ref="H6:I6"/>
    <mergeCell ref="D11:E11"/>
    <mergeCell ref="F11:G11"/>
    <mergeCell ref="H11:I11"/>
    <mergeCell ref="D12:E12"/>
    <mergeCell ref="F12:G12"/>
    <mergeCell ref="H12:I12"/>
    <mergeCell ref="D9:E9"/>
    <mergeCell ref="F9:G9"/>
    <mergeCell ref="H9:I9"/>
    <mergeCell ref="D10:E10"/>
    <mergeCell ref="F10:G10"/>
    <mergeCell ref="H10:I10"/>
    <mergeCell ref="D15:E15"/>
    <mergeCell ref="F15:G15"/>
    <mergeCell ref="H15:I15"/>
    <mergeCell ref="D16:E16"/>
    <mergeCell ref="F16:G16"/>
    <mergeCell ref="H16:I16"/>
    <mergeCell ref="D13:E13"/>
    <mergeCell ref="F13:G13"/>
    <mergeCell ref="H13:I13"/>
    <mergeCell ref="D14:E14"/>
    <mergeCell ref="F14:G14"/>
    <mergeCell ref="H14:I14"/>
    <mergeCell ref="D19:E19"/>
    <mergeCell ref="F19:G19"/>
    <mergeCell ref="H19:I19"/>
    <mergeCell ref="D20:E20"/>
    <mergeCell ref="F20:G20"/>
    <mergeCell ref="H20:I20"/>
    <mergeCell ref="D17:E17"/>
    <mergeCell ref="F17:G17"/>
    <mergeCell ref="H17:I17"/>
    <mergeCell ref="D18:E18"/>
    <mergeCell ref="F18:G18"/>
    <mergeCell ref="H18:I18"/>
    <mergeCell ref="D23:E23"/>
    <mergeCell ref="F23:G23"/>
    <mergeCell ref="H23:I23"/>
    <mergeCell ref="D24:E24"/>
    <mergeCell ref="F24:G24"/>
    <mergeCell ref="H24:I24"/>
    <mergeCell ref="D21:E21"/>
    <mergeCell ref="F21:G21"/>
    <mergeCell ref="H21:I21"/>
    <mergeCell ref="D22:E22"/>
    <mergeCell ref="F22:G22"/>
    <mergeCell ref="H22:I22"/>
    <mergeCell ref="D27:E27"/>
    <mergeCell ref="F27:G27"/>
    <mergeCell ref="H27:I27"/>
    <mergeCell ref="D28:E28"/>
    <mergeCell ref="F28:G28"/>
    <mergeCell ref="H28:I28"/>
    <mergeCell ref="D25:E25"/>
    <mergeCell ref="F25:G25"/>
    <mergeCell ref="H25:I25"/>
    <mergeCell ref="D26:E26"/>
    <mergeCell ref="F26:G26"/>
    <mergeCell ref="H26:I26"/>
    <mergeCell ref="D31:E31"/>
    <mergeCell ref="F31:G31"/>
    <mergeCell ref="H31:I31"/>
    <mergeCell ref="D32:E32"/>
    <mergeCell ref="F32:G32"/>
    <mergeCell ref="H32:I32"/>
    <mergeCell ref="D29:E29"/>
    <mergeCell ref="F29:G29"/>
    <mergeCell ref="H29:I29"/>
    <mergeCell ref="D30:E30"/>
    <mergeCell ref="F30:G30"/>
    <mergeCell ref="H30:I30"/>
    <mergeCell ref="D35:E35"/>
    <mergeCell ref="F35:G35"/>
    <mergeCell ref="H35:I35"/>
    <mergeCell ref="D36:E36"/>
    <mergeCell ref="F36:G36"/>
    <mergeCell ref="H36:I36"/>
    <mergeCell ref="D33:E33"/>
    <mergeCell ref="F33:G33"/>
    <mergeCell ref="H33:I33"/>
    <mergeCell ref="D34:E34"/>
    <mergeCell ref="F34:G34"/>
    <mergeCell ref="H34:I34"/>
    <mergeCell ref="D39:E39"/>
    <mergeCell ref="F39:G39"/>
    <mergeCell ref="H39:I39"/>
    <mergeCell ref="D40:E40"/>
    <mergeCell ref="F40:G40"/>
    <mergeCell ref="H40:I40"/>
    <mergeCell ref="D37:E37"/>
    <mergeCell ref="F37:G37"/>
    <mergeCell ref="H37:I37"/>
    <mergeCell ref="D38:E38"/>
    <mergeCell ref="F38:G38"/>
    <mergeCell ref="H38:I38"/>
    <mergeCell ref="D43:E43"/>
    <mergeCell ref="F43:G43"/>
    <mergeCell ref="H43:I43"/>
    <mergeCell ref="D44:E44"/>
    <mergeCell ref="F44:G44"/>
    <mergeCell ref="H44:I44"/>
    <mergeCell ref="D41:E41"/>
    <mergeCell ref="F41:G41"/>
    <mergeCell ref="H41:I41"/>
    <mergeCell ref="D42:E42"/>
    <mergeCell ref="F42:G42"/>
    <mergeCell ref="H42:I42"/>
    <mergeCell ref="D47:E47"/>
    <mergeCell ref="F47:G47"/>
    <mergeCell ref="H47:I47"/>
    <mergeCell ref="D48:E48"/>
    <mergeCell ref="F48:G48"/>
    <mergeCell ref="H48:I48"/>
    <mergeCell ref="D45:E45"/>
    <mergeCell ref="F45:G45"/>
    <mergeCell ref="H45:I45"/>
    <mergeCell ref="D46:E46"/>
    <mergeCell ref="F46:G46"/>
    <mergeCell ref="H46:I46"/>
    <mergeCell ref="D51:E51"/>
    <mergeCell ref="F51:G51"/>
    <mergeCell ref="H51:I51"/>
    <mergeCell ref="D52:E52"/>
    <mergeCell ref="F52:G52"/>
    <mergeCell ref="H52:I52"/>
    <mergeCell ref="D49:E49"/>
    <mergeCell ref="F49:G49"/>
    <mergeCell ref="H49:I49"/>
    <mergeCell ref="D50:E50"/>
    <mergeCell ref="F50:G50"/>
    <mergeCell ref="H50:I50"/>
    <mergeCell ref="D55:E55"/>
    <mergeCell ref="F55:G55"/>
    <mergeCell ref="H55:I55"/>
    <mergeCell ref="D56:E56"/>
    <mergeCell ref="F56:G56"/>
    <mergeCell ref="H56:I56"/>
    <mergeCell ref="D53:E53"/>
    <mergeCell ref="F53:G53"/>
    <mergeCell ref="H53:I53"/>
    <mergeCell ref="D54:E54"/>
    <mergeCell ref="F54:G54"/>
    <mergeCell ref="H54:I54"/>
    <mergeCell ref="D59:E59"/>
    <mergeCell ref="F59:G59"/>
    <mergeCell ref="H59:I59"/>
    <mergeCell ref="D60:E60"/>
    <mergeCell ref="F60:G60"/>
    <mergeCell ref="H60:I60"/>
    <mergeCell ref="D57:E57"/>
    <mergeCell ref="F57:G57"/>
    <mergeCell ref="H57:I57"/>
    <mergeCell ref="D58:E58"/>
    <mergeCell ref="F58:G58"/>
    <mergeCell ref="H58:I58"/>
    <mergeCell ref="D63:E63"/>
    <mergeCell ref="F63:G63"/>
    <mergeCell ref="H63:I63"/>
    <mergeCell ref="D64:E64"/>
    <mergeCell ref="F64:G64"/>
    <mergeCell ref="H64:I64"/>
    <mergeCell ref="D61:E61"/>
    <mergeCell ref="F61:G61"/>
    <mergeCell ref="H61:I61"/>
    <mergeCell ref="D62:E62"/>
    <mergeCell ref="F62:G62"/>
    <mergeCell ref="H62:I62"/>
    <mergeCell ref="D67:E67"/>
    <mergeCell ref="F67:G67"/>
    <mergeCell ref="H67:I67"/>
    <mergeCell ref="D68:E68"/>
    <mergeCell ref="F68:G68"/>
    <mergeCell ref="H68:I68"/>
    <mergeCell ref="D65:E65"/>
    <mergeCell ref="F65:G65"/>
    <mergeCell ref="H65:I65"/>
    <mergeCell ref="D66:E66"/>
    <mergeCell ref="F66:G66"/>
    <mergeCell ref="H66:I66"/>
    <mergeCell ref="D71:E71"/>
    <mergeCell ref="F71:G71"/>
    <mergeCell ref="H71:I71"/>
    <mergeCell ref="D72:E72"/>
    <mergeCell ref="F72:G72"/>
    <mergeCell ref="H72:I72"/>
    <mergeCell ref="D69:E69"/>
    <mergeCell ref="F69:G69"/>
    <mergeCell ref="H69:I69"/>
    <mergeCell ref="D70:E70"/>
    <mergeCell ref="F70:G70"/>
    <mergeCell ref="H70:I70"/>
    <mergeCell ref="D75:E75"/>
    <mergeCell ref="F75:G75"/>
    <mergeCell ref="H75:I75"/>
    <mergeCell ref="D76:E76"/>
    <mergeCell ref="F76:G76"/>
    <mergeCell ref="H76:I76"/>
    <mergeCell ref="D73:E73"/>
    <mergeCell ref="F73:G73"/>
    <mergeCell ref="H73:I73"/>
    <mergeCell ref="D74:E74"/>
    <mergeCell ref="F74:G74"/>
    <mergeCell ref="H74:I74"/>
    <mergeCell ref="D79:E79"/>
    <mergeCell ref="F79:G79"/>
    <mergeCell ref="H79:I79"/>
    <mergeCell ref="D80:E80"/>
    <mergeCell ref="F80:G80"/>
    <mergeCell ref="H80:I80"/>
    <mergeCell ref="D77:E77"/>
    <mergeCell ref="F77:G77"/>
    <mergeCell ref="H77:I77"/>
    <mergeCell ref="D78:E78"/>
    <mergeCell ref="F78:G78"/>
    <mergeCell ref="H78:I78"/>
    <mergeCell ref="D83:E83"/>
    <mergeCell ref="F83:G83"/>
    <mergeCell ref="H83:I83"/>
    <mergeCell ref="D84:E84"/>
    <mergeCell ref="F84:G84"/>
    <mergeCell ref="H84:I84"/>
    <mergeCell ref="D81:E81"/>
    <mergeCell ref="F81:G81"/>
    <mergeCell ref="H81:I81"/>
    <mergeCell ref="D82:E82"/>
    <mergeCell ref="F82:G82"/>
    <mergeCell ref="H82:I82"/>
    <mergeCell ref="D87:E87"/>
    <mergeCell ref="F87:G87"/>
    <mergeCell ref="H87:I87"/>
    <mergeCell ref="D88:E88"/>
    <mergeCell ref="F88:G88"/>
    <mergeCell ref="H88:I88"/>
    <mergeCell ref="D85:E85"/>
    <mergeCell ref="F85:G85"/>
    <mergeCell ref="H85:I85"/>
    <mergeCell ref="D86:E86"/>
    <mergeCell ref="F86:G86"/>
    <mergeCell ref="H86:I86"/>
    <mergeCell ref="D91:E91"/>
    <mergeCell ref="F91:G91"/>
    <mergeCell ref="H91:I91"/>
    <mergeCell ref="D92:E92"/>
    <mergeCell ref="F92:G92"/>
    <mergeCell ref="H92:I92"/>
    <mergeCell ref="D89:E89"/>
    <mergeCell ref="F89:G89"/>
    <mergeCell ref="H89:I89"/>
    <mergeCell ref="D90:E90"/>
    <mergeCell ref="F90:G90"/>
    <mergeCell ref="H90:I90"/>
    <mergeCell ref="D95:E95"/>
    <mergeCell ref="F95:G95"/>
    <mergeCell ref="H95:I95"/>
    <mergeCell ref="D96:E96"/>
    <mergeCell ref="F96:G96"/>
    <mergeCell ref="H96:I96"/>
    <mergeCell ref="D93:E93"/>
    <mergeCell ref="F93:G93"/>
    <mergeCell ref="H93:I93"/>
    <mergeCell ref="D94:E94"/>
    <mergeCell ref="F94:G94"/>
    <mergeCell ref="H94:I94"/>
    <mergeCell ref="D99:E99"/>
    <mergeCell ref="F99:G99"/>
    <mergeCell ref="H99:I99"/>
    <mergeCell ref="D100:E100"/>
    <mergeCell ref="F100:G100"/>
    <mergeCell ref="H100:I100"/>
    <mergeCell ref="D97:E97"/>
    <mergeCell ref="F97:G97"/>
    <mergeCell ref="H97:I97"/>
    <mergeCell ref="D98:E98"/>
    <mergeCell ref="F98:G98"/>
    <mergeCell ref="H98:I9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30</vt:i4>
      </vt:variant>
    </vt:vector>
  </HeadingPairs>
  <TitlesOfParts>
    <vt:vector size="30" baseType="lpstr"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24년 1월</vt:lpstr>
      <vt:lpstr>24년 2월</vt:lpstr>
      <vt:lpstr>24년 7월</vt:lpstr>
      <vt:lpstr>Sheet1</vt:lpstr>
      <vt:lpstr>24년 8월</vt:lpstr>
      <vt:lpstr>24년 9월</vt:lpstr>
      <vt:lpstr>24년 10월</vt:lpstr>
      <vt:lpstr>24년 11월</vt:lpstr>
      <vt:lpstr>24년 12월</vt:lpstr>
      <vt:lpstr>25년 1월</vt:lpstr>
      <vt:lpstr>25년 2월</vt:lpstr>
      <vt:lpstr>25년 3월</vt:lpstr>
      <vt:lpstr>25년 4월</vt:lpstr>
      <vt:lpstr>25년 5월</vt:lpstr>
      <vt:lpstr>25년 10월</vt:lpstr>
      <vt:lpstr>25년 11월</vt:lpstr>
      <vt:lpstr>25년 12월</vt:lpstr>
      <vt:lpstr>26년 1월</vt:lpstr>
      <vt:lpstr>26년 2월</vt:lpstr>
      <vt:lpstr>복사용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allpet</dc:creator>
  <cp:lastModifiedBy>LOVE</cp:lastModifiedBy>
  <dcterms:created xsi:type="dcterms:W3CDTF">2023-03-07T08:20:28Z</dcterms:created>
  <dcterms:modified xsi:type="dcterms:W3CDTF">2026-02-13T08:59:11Z</dcterms:modified>
</cp:coreProperties>
</file>